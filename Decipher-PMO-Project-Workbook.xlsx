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Glossary" sheetId="2" state="visible" r:id="rId4"/>
    <sheet name="Identification" sheetId="3" state="visible" r:id="rId5"/>
    <sheet name="Charter" sheetId="4" state="visible" r:id="rId6"/>
    <sheet name="RACI" sheetId="5" state="visible" r:id="rId7"/>
    <sheet name="WBS &amp; Estimates" sheetId="6" state="visible" r:id="rId8"/>
    <sheet name="Schedule" sheetId="7" state="visible" r:id="rId9"/>
    <sheet name="Budget &amp; EVM" sheetId="8" state="visible" r:id="rId10"/>
    <sheet name="Time &amp; Cost" sheetId="9" state="visible" r:id="rId11"/>
    <sheet name="Risk Register" sheetId="10" state="visible" r:id="rId12"/>
    <sheet name="RAID" sheetId="11" state="visible" r:id="rId13"/>
    <sheet name="RTM" sheetId="12" state="visible" r:id="rId14"/>
    <sheet name="Dependencies" sheetId="13" state="visible" r:id="rId15"/>
    <sheet name="Decisions &amp; Changes" sheetId="14" state="visible" r:id="rId16"/>
    <sheet name="Change Requests" sheetId="15" state="visible" r:id="rId17"/>
    <sheet name="UAT Log" sheetId="16" state="visible" r:id="rId18"/>
    <sheet name="Escalation Log" sheetId="17" state="visible" r:id="rId19"/>
    <sheet name="Status" sheetId="18" state="visible" r:id="rId20"/>
    <sheet name="Lesson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<sst xmlns="http://schemas.openxmlformats.org/spreadsheetml/2006/main" count="572" uniqueCount="467">
  <si>
    <t xml:space="preserve">Decipher PMO — Project Workbook</t>
  </si>
  <si>
    <t xml:space="preserve">Live tabs for tracking a single project end to end. Blue = inputs you change. Other cells calculate.</t>
  </si>
  <si>
    <t xml:space="preserve">Tab</t>
  </si>
  <si>
    <t xml:space="preserve">What it tracks</t>
  </si>
  <si>
    <t xml:space="preserve">Identification</t>
  </si>
  <si>
    <t xml:space="preserve">Project name, sponsor, TPM, dates, current RAG</t>
  </si>
  <si>
    <t xml:space="preserve">Charter</t>
  </si>
  <si>
    <t xml:space="preserve">Authorization summary — objectives, scope, budget</t>
  </si>
  <si>
    <t xml:space="preserve">RACI</t>
  </si>
  <si>
    <t xml:space="preserve">Decision/deliverable accountability (one A per row)</t>
  </si>
  <si>
    <t xml:space="preserve">WBS &amp; Estimates</t>
  </si>
  <si>
    <t xml:space="preserve">Scope decomposition + three-point (PERT) estimates</t>
  </si>
  <si>
    <t xml:space="preserve">Schedule</t>
  </si>
  <si>
    <t xml:space="preserve">Milestones: baseline vs forecast, variance, RAG</t>
  </si>
  <si>
    <t xml:space="preserve">Budget &amp; EVM</t>
  </si>
  <si>
    <t xml:space="preserve">Earned value: PV/EV/AC and CPI/SPI/EAC</t>
  </si>
  <si>
    <t xml:space="preserve">Risk Register</t>
  </si>
  <si>
    <t xml:space="preserve">Scored risks: inherent vs residual, response, owner</t>
  </si>
  <si>
    <t xml:space="preserve">RAID</t>
  </si>
  <si>
    <t xml:space="preserve">Risks/Assumptions/Issues/Dependencies running log</t>
  </si>
  <si>
    <t xml:space="preserve">RTM</t>
  </si>
  <si>
    <t xml:space="preserve">Requirement -&gt; design -&gt; test traceability + coverage</t>
  </si>
  <si>
    <t xml:space="preserve">Dependencies</t>
  </si>
  <si>
    <t xml:space="preserve">Cross-team dependencies and float</t>
  </si>
  <si>
    <t xml:space="preserve">Decisions &amp; Changes</t>
  </si>
  <si>
    <t xml:space="preserve">Decision log + change register</t>
  </si>
  <si>
    <t xml:space="preserve">Change Requests</t>
  </si>
  <si>
    <t xml:space="preserve">Formal change control / CCB</t>
  </si>
  <si>
    <t xml:space="preserve">UAT Log</t>
  </si>
  <si>
    <t xml:space="preserve">Test case execution and pass rate</t>
  </si>
  <si>
    <t xml:space="preserve">Escalation Log</t>
  </si>
  <si>
    <t xml:space="preserve">Tiered escalations and resolution</t>
  </si>
  <si>
    <t xml:space="preserve">Status</t>
  </si>
  <si>
    <t xml:space="preserve">Weekly RAG rollup</t>
  </si>
  <si>
    <t xml:space="preserve">Lessons</t>
  </si>
  <si>
    <t xml:space="preserve">Lessons learned register</t>
  </si>
  <si>
    <t xml:space="preserve">Glossary — acronyms used in this workbook</t>
  </si>
  <si>
    <t xml:space="preserve">Every abbreviation used in the tabs, written out.</t>
  </si>
  <si>
    <t xml:space="preserve">Acronym</t>
  </si>
  <si>
    <t xml:space="preserve">Full term</t>
  </si>
  <si>
    <t xml:space="preserve">PMO</t>
  </si>
  <si>
    <t xml:space="preserve">Project / Program Management Office</t>
  </si>
  <si>
    <t xml:space="preserve">PM</t>
  </si>
  <si>
    <t xml:space="preserve">Project Manager</t>
  </si>
  <si>
    <t xml:space="preserve">PgM</t>
  </si>
  <si>
    <t xml:space="preserve">Program Manager</t>
  </si>
  <si>
    <t xml:space="preserve">TPM</t>
  </si>
  <si>
    <t xml:space="preserve">Technical Program Manager</t>
  </si>
  <si>
    <t xml:space="preserve">SRO</t>
  </si>
  <si>
    <t xml:space="preserve">Senior Responsible Owner</t>
  </si>
  <si>
    <t xml:space="preserve">BAU</t>
  </si>
  <si>
    <t xml:space="preserve">Business as Usual (steady-state operations)</t>
  </si>
  <si>
    <t xml:space="preserve">RAG</t>
  </si>
  <si>
    <t xml:space="preserve">Red / Amber / Green status rating</t>
  </si>
  <si>
    <t xml:space="preserve">Risks, Assumptions, Issues, Dependencies</t>
  </si>
  <si>
    <t xml:space="preserve">Responsible, Accountable, Consulted, Informed</t>
  </si>
  <si>
    <t xml:space="preserve">CCB</t>
  </si>
  <si>
    <t xml:space="preserve">Change Control Board</t>
  </si>
  <si>
    <t xml:space="preserve">CR</t>
  </si>
  <si>
    <t xml:space="preserve">Change Request</t>
  </si>
  <si>
    <t xml:space="preserve">ECD</t>
  </si>
  <si>
    <t xml:space="preserve">Estimated Completion Date</t>
  </si>
  <si>
    <t xml:space="preserve">KPI</t>
  </si>
  <si>
    <t xml:space="preserve">Key Performance Indicator</t>
  </si>
  <si>
    <t xml:space="preserve">OKR</t>
  </si>
  <si>
    <t xml:space="preserve">Objectives and Key Results</t>
  </si>
  <si>
    <t xml:space="preserve">EVM</t>
  </si>
  <si>
    <t xml:space="preserve">Earned Value Management</t>
  </si>
  <si>
    <t xml:space="preserve">PV</t>
  </si>
  <si>
    <t xml:space="preserve">Planned Value</t>
  </si>
  <si>
    <t xml:space="preserve">EV</t>
  </si>
  <si>
    <t xml:space="preserve">Earned Value</t>
  </si>
  <si>
    <t xml:space="preserve">AC</t>
  </si>
  <si>
    <t xml:space="preserve">Actual Cost</t>
  </si>
  <si>
    <t xml:space="preserve">CV</t>
  </si>
  <si>
    <t xml:space="preserve">Cost Variance (EV minus AC)</t>
  </si>
  <si>
    <t xml:space="preserve">SV</t>
  </si>
  <si>
    <t xml:space="preserve">Schedule Variance (EV minus PV)</t>
  </si>
  <si>
    <t xml:space="preserve">CPI</t>
  </si>
  <si>
    <t xml:space="preserve">Cost Performance Index (EV divided by AC)</t>
  </si>
  <si>
    <t xml:space="preserve">SPI</t>
  </si>
  <si>
    <t xml:space="preserve">Schedule Performance Index (EV divided by PV)</t>
  </si>
  <si>
    <t xml:space="preserve">BAC</t>
  </si>
  <si>
    <t xml:space="preserve">Budget at Completion</t>
  </si>
  <si>
    <t xml:space="preserve">EAC</t>
  </si>
  <si>
    <t xml:space="preserve">Estimate at Completion (forecast final cost)</t>
  </si>
  <si>
    <t xml:space="preserve">ETC</t>
  </si>
  <si>
    <t xml:space="preserve">Estimate to Complete</t>
  </si>
  <si>
    <t xml:space="preserve">VAC</t>
  </si>
  <si>
    <t xml:space="preserve">Variance at Completion</t>
  </si>
  <si>
    <t xml:space="preserve">WBS</t>
  </si>
  <si>
    <t xml:space="preserve">Work Breakdown Structure</t>
  </si>
  <si>
    <t xml:space="preserve">PERT</t>
  </si>
  <si>
    <t xml:space="preserve">Program Evaluation and Review Technique</t>
  </si>
  <si>
    <t xml:space="preserve">P x I</t>
  </si>
  <si>
    <t xml:space="preserve">Probability x Impact (risk score)</t>
  </si>
  <si>
    <t xml:space="preserve">Requirements Traceability Matrix</t>
  </si>
  <si>
    <t xml:space="preserve">UAT</t>
  </si>
  <si>
    <t xml:space="preserve">User Acceptance Testing</t>
  </si>
  <si>
    <t xml:space="preserve">DoR</t>
  </si>
  <si>
    <t xml:space="preserve">Definition of Ready</t>
  </si>
  <si>
    <t xml:space="preserve">DoD</t>
  </si>
  <si>
    <t xml:space="preserve">Definition of Done</t>
  </si>
  <si>
    <t xml:space="preserve">SOW</t>
  </si>
  <si>
    <t xml:space="preserve">Statement of Work</t>
  </si>
  <si>
    <t xml:space="preserve">RFP</t>
  </si>
  <si>
    <t xml:space="preserve">Request for Proposal</t>
  </si>
  <si>
    <t xml:space="preserve">SLA</t>
  </si>
  <si>
    <t xml:space="preserve">Service Level Agreement</t>
  </si>
  <si>
    <t xml:space="preserve">OCM</t>
  </si>
  <si>
    <t xml:space="preserve">Organizational Change Management</t>
  </si>
  <si>
    <t xml:space="preserve">FTE</t>
  </si>
  <si>
    <t xml:space="preserve">Full-Time Equivalent (one full-time person)</t>
  </si>
  <si>
    <t xml:space="preserve">NPV</t>
  </si>
  <si>
    <t xml:space="preserve">Net Present Value</t>
  </si>
  <si>
    <t xml:space="preserve">IRR</t>
  </si>
  <si>
    <t xml:space="preserve">Internal Rate of Return</t>
  </si>
  <si>
    <t xml:space="preserve">ROI</t>
  </si>
  <si>
    <t xml:space="preserve">Return on Investment</t>
  </si>
  <si>
    <t xml:space="preserve">GRC</t>
  </si>
  <si>
    <t xml:space="preserve">Governance, Risk, and Compliance</t>
  </si>
  <si>
    <t xml:space="preserve">IAM</t>
  </si>
  <si>
    <t xml:space="preserve">Identity and Access Management</t>
  </si>
  <si>
    <t xml:space="preserve">ZTNA</t>
  </si>
  <si>
    <t xml:space="preserve">Zero Trust Network Access</t>
  </si>
  <si>
    <t xml:space="preserve">PAM</t>
  </si>
  <si>
    <t xml:space="preserve">Privileged Access Management</t>
  </si>
  <si>
    <t xml:space="preserve">SIEM</t>
  </si>
  <si>
    <t xml:space="preserve">Security Information and Event Management</t>
  </si>
  <si>
    <t xml:space="preserve">MFA</t>
  </si>
  <si>
    <t xml:space="preserve">Multi-Factor Authentication</t>
  </si>
  <si>
    <t xml:space="preserve">IdP</t>
  </si>
  <si>
    <t xml:space="preserve">Identity Provider</t>
  </si>
  <si>
    <t xml:space="preserve">VPN</t>
  </si>
  <si>
    <t xml:space="preserve">Virtual Private Network</t>
  </si>
  <si>
    <t xml:space="preserve">PCI-DSS</t>
  </si>
  <si>
    <t xml:space="preserve">Payment Card Industry Data Security Standard</t>
  </si>
  <si>
    <t xml:space="preserve">ISO</t>
  </si>
  <si>
    <t xml:space="preserve">International Organization for Standardization</t>
  </si>
  <si>
    <t xml:space="preserve">NIST</t>
  </si>
  <si>
    <t xml:space="preserve">National Institute of Standards and Technology</t>
  </si>
  <si>
    <t xml:space="preserve">Project Identification</t>
  </si>
  <si>
    <t xml:space="preserve">Field</t>
  </si>
  <si>
    <t xml:space="preserve">Value</t>
  </si>
  <si>
    <t xml:space="preserve">Project name</t>
  </si>
  <si>
    <t xml:space="preserve">Project Atlas — ZTNA + PAM</t>
  </si>
  <si>
    <t xml:space="preserve">Sponsor</t>
  </si>
  <si>
    <t xml:space="preserve">CISO, Bristol Financial</t>
  </si>
  <si>
    <t xml:space="preserve">(name)</t>
  </si>
  <si>
    <t xml:space="preserve">Start date</t>
  </si>
  <si>
    <t xml:space="preserve">2026-01-12</t>
  </si>
  <si>
    <t xml:space="preserve">Target end</t>
  </si>
  <si>
    <t xml:space="preserve">2026-09-30</t>
  </si>
  <si>
    <t xml:space="preserve">Budget at completion (BAC)</t>
  </si>
  <si>
    <t xml:space="preserve">2400000</t>
  </si>
  <si>
    <t xml:space="preserve">Current phase</t>
  </si>
  <si>
    <t xml:space="preserve">Execute</t>
  </si>
  <si>
    <t xml:space="preserve">Overall RAG</t>
  </si>
  <si>
    <t xml:space="preserve">Amber</t>
  </si>
  <si>
    <t xml:space="preserve">Charter — Summary</t>
  </si>
  <si>
    <t xml:space="preserve">Item</t>
  </si>
  <si>
    <t xml:space="preserve">Detail</t>
  </si>
  <si>
    <t xml:space="preserve">Problem / opportunity</t>
  </si>
  <si>
    <t xml:space="preserve">14 legacy access paths; 3 audit findings; rising breach exposure</t>
  </si>
  <si>
    <t xml:space="preserve">Objective 1</t>
  </si>
  <si>
    <t xml:space="preserve">Reduce standing privileged access by 80% by go-live</t>
  </si>
  <si>
    <t xml:space="preserve">Objective 2</t>
  </si>
  <si>
    <t xml:space="preserve">Conditional access on 100% of in-scope apps</t>
  </si>
  <si>
    <t xml:space="preserve">In scope</t>
  </si>
  <si>
    <t xml:space="preserve">ZTNA rollout (3 waves); PAM for privileged accounts</t>
  </si>
  <si>
    <t xml:space="preserve">Out of scope</t>
  </si>
  <si>
    <t xml:space="preserve">Legacy firewall decommission (Phase 2)</t>
  </si>
  <si>
    <t xml:space="preserve">Contingency reserve ($)</t>
  </si>
  <si>
    <t xml:space="preserve">288000</t>
  </si>
  <si>
    <t xml:space="preserve">Sponsor sign-off date</t>
  </si>
  <si>
    <t xml:space="preserve">2026-01-10</t>
  </si>
  <si>
    <t xml:space="preserve">RACI Matrix (Responsible, Accountable, Consulted, Informed)</t>
  </si>
  <si>
    <t xml:space="preserve">Use exactly one A per row.</t>
  </si>
  <si>
    <t xml:space="preserve">Activity / Decision</t>
  </si>
  <si>
    <t xml:space="preserve">Eng Lead</t>
  </si>
  <si>
    <t xml:space="preserve">Security</t>
  </si>
  <si>
    <t xml:space="preserve">Business Owner</t>
  </si>
  <si>
    <t xml:space="preserve">One-A check</t>
  </si>
  <si>
    <t xml:space="preserve">Approve charter</t>
  </si>
  <si>
    <t xml:space="preserve">A</t>
  </si>
  <si>
    <t xml:space="preserve">R</t>
  </si>
  <si>
    <t xml:space="preserve">C</t>
  </si>
  <si>
    <t xml:space="preserve">Go/no-go cutover</t>
  </si>
  <si>
    <t xml:space="preserve">Approve change request</t>
  </si>
  <si>
    <t xml:space="preserve">Risk acceptance</t>
  </si>
  <si>
    <t xml:space="preserve">UAT sign-off</t>
  </si>
  <si>
    <t xml:space="preserve">Work Breakdown Structure (WBS) &amp; Three-Point Estimates</t>
  </si>
  <si>
    <t xml:space="preserve">PERT expected = (O + 4M + P)/6</t>
  </si>
  <si>
    <t xml:space="preserve">WBS ID</t>
  </si>
  <si>
    <t xml:space="preserve">Work package</t>
  </si>
  <si>
    <t xml:space="preserve">Owner</t>
  </si>
  <si>
    <t xml:space="preserve">Optimistic (d)</t>
  </si>
  <si>
    <t xml:space="preserve">Most likely (d)</t>
  </si>
  <si>
    <t xml:space="preserve">Pessimistic (d)</t>
  </si>
  <si>
    <t xml:space="preserve">PERT expected (d)</t>
  </si>
  <si>
    <t xml:space="preserve">Std dev</t>
  </si>
  <si>
    <t xml:space="preserve">1.1</t>
  </si>
  <si>
    <t xml:space="preserve">ZTNA discovery</t>
  </si>
  <si>
    <t xml:space="preserve">Sec Eng</t>
  </si>
  <si>
    <t xml:space="preserve">1.2</t>
  </si>
  <si>
    <t xml:space="preserve">Policy engine design</t>
  </si>
  <si>
    <t xml:space="preserve">Architect</t>
  </si>
  <si>
    <t xml:space="preserve">1.3</t>
  </si>
  <si>
    <t xml:space="preserve">Build &amp; integrate</t>
  </si>
  <si>
    <t xml:space="preserve">Eng</t>
  </si>
  <si>
    <t xml:space="preserve">1.4</t>
  </si>
  <si>
    <t xml:space="preserve">UAT &amp; cutover</t>
  </si>
  <si>
    <t xml:space="preserve">2.1</t>
  </si>
  <si>
    <t xml:space="preserve">PAM discovery</t>
  </si>
  <si>
    <t xml:space="preserve">2.2</t>
  </si>
  <si>
    <t xml:space="preserve">PAM build</t>
  </si>
  <si>
    <t xml:space="preserve">Total expected effort (d)</t>
  </si>
  <si>
    <t xml:space="preserve">Schedule &amp; Milestones</t>
  </si>
  <si>
    <t xml:space="preserve">Variance = forecast - baseline (days). RAG auto.</t>
  </si>
  <si>
    <t xml:space="preserve">Milestone</t>
  </si>
  <si>
    <t xml:space="preserve">Baseline date</t>
  </si>
  <si>
    <t xml:space="preserve">Forecast date</t>
  </si>
  <si>
    <t xml:space="preserve">Variance (days)</t>
  </si>
  <si>
    <t xml:space="preserve">Discovery complete</t>
  </si>
  <si>
    <t xml:space="preserve">2026-02-13</t>
  </si>
  <si>
    <t xml:space="preserve">Pilot go-live</t>
  </si>
  <si>
    <t xml:space="preserve">2026-04-10</t>
  </si>
  <si>
    <t xml:space="preserve">2026-04-17</t>
  </si>
  <si>
    <t xml:space="preserve">Wave 1 cutover</t>
  </si>
  <si>
    <t xml:space="preserve">2026-05-29</t>
  </si>
  <si>
    <t xml:space="preserve">2026-06-12</t>
  </si>
  <si>
    <t xml:space="preserve">UAT exit</t>
  </si>
  <si>
    <t xml:space="preserve">2026-07-10</t>
  </si>
  <si>
    <t xml:space="preserve">Program close</t>
  </si>
  <si>
    <t xml:space="preserve">2026-10-09</t>
  </si>
  <si>
    <t xml:space="preserve">Budget &amp; Earned Value (EVM)</t>
  </si>
  <si>
    <t xml:space="preserve">EVM = Earned Value Management. CPI = Cost Performance Index (EV/AC); SPI = Schedule Performance Index (EV/PV); EAC = Estimate at Completion (BAC/CPI). Blue = inputs.</t>
  </si>
  <si>
    <t xml:space="preserve">BAC ($)</t>
  </si>
  <si>
    <t xml:space="preserve">Period</t>
  </si>
  <si>
    <t xml:space="preserve">Planned Value (PV)</t>
  </si>
  <si>
    <t xml:space="preserve">Earned Value (EV)</t>
  </si>
  <si>
    <t xml:space="preserve">Actual Cost (AC)</t>
  </si>
  <si>
    <t xml:space="preserve">Wk 4</t>
  </si>
  <si>
    <t xml:space="preserve">Wk 8</t>
  </si>
  <si>
    <t xml:space="preserve">Wk 13</t>
  </si>
  <si>
    <t xml:space="preserve">EAC (BAC/CPI)</t>
  </si>
  <si>
    <t xml:space="preserve">VAC (BAC-EAC)</t>
  </si>
  <si>
    <t xml:space="preserve">Resource Tracking — Time &amp; Cost</t>
  </si>
  <si>
    <t xml:space="preserve">Actual hours and cost by person (employees &amp; contractors). Cost = rate x hours. Burn = cost / budget. Blue = inputs.</t>
  </si>
  <si>
    <t xml:space="preserve">Name</t>
  </si>
  <si>
    <t xml:space="preserve">Type</t>
  </si>
  <si>
    <t xml:space="preserve">Role</t>
  </si>
  <si>
    <t xml:space="preserve">Bill rate ($/hr)</t>
  </si>
  <si>
    <t xml:space="preserve">Hours (period)</t>
  </si>
  <si>
    <t xml:space="preserve">Cost (period)</t>
  </si>
  <si>
    <t xml:space="preserve">Cum. hours</t>
  </si>
  <si>
    <t xml:space="preserve">Budget hours</t>
  </si>
  <si>
    <t xml:space="preserve">Budget cost ($)</t>
  </si>
  <si>
    <t xml:space="preserve">Burn %</t>
  </si>
  <si>
    <t xml:space="preserve">PO / Invoice ref</t>
  </si>
  <si>
    <t xml:space="preserve">M. Vasquez</t>
  </si>
  <si>
    <t xml:space="preserve">Employee</t>
  </si>
  <si>
    <t xml:space="preserve">ZTNA lead</t>
  </si>
  <si>
    <t xml:space="preserve">-</t>
  </si>
  <si>
    <t xml:space="preserve">On plan</t>
  </si>
  <si>
    <t xml:space="preserve">T. Adebayo</t>
  </si>
  <si>
    <t xml:space="preserve">PAM lead</t>
  </si>
  <si>
    <t xml:space="preserve">A. Okafor</t>
  </si>
  <si>
    <t xml:space="preserve">Contractor</t>
  </si>
  <si>
    <t xml:space="preserve">Identity engineer</t>
  </si>
  <si>
    <t xml:space="preserve">PO-2231 / INV-014</t>
  </si>
  <si>
    <t xml:space="preserve">Active</t>
  </si>
  <si>
    <t xml:space="preserve">L. Chen</t>
  </si>
  <si>
    <t xml:space="preserve">Pen tester (Ph3)</t>
  </si>
  <si>
    <t xml:space="preserve">PO-2240 / -</t>
  </si>
  <si>
    <t xml:space="preserve">Mobilizing</t>
  </si>
  <si>
    <t xml:space="preserve">Total</t>
  </si>
  <si>
    <t xml:space="preserve">Note: contractor cost (period) feeds Budget &amp; EVM Actual Cost (AC). Reconcile PO/invoice monthly.</t>
  </si>
  <si>
    <t xml:space="preserve">Risk Register &amp; Response</t>
  </si>
  <si>
    <t xml:space="preserve">Score = Probability x Impact (P x I, 1-5 each). Residual after response.</t>
  </si>
  <si>
    <t xml:space="preserve">ID</t>
  </si>
  <si>
    <t xml:space="preserve">Risk (if/then)</t>
  </si>
  <si>
    <t xml:space="preserve">Category</t>
  </si>
  <si>
    <t xml:space="preserve">P</t>
  </si>
  <si>
    <t xml:space="preserve">I</t>
  </si>
  <si>
    <t xml:space="preserve">Inherent</t>
  </si>
  <si>
    <t xml:space="preserve">Response</t>
  </si>
  <si>
    <t xml:space="preserve">Res P</t>
  </si>
  <si>
    <t xml:space="preserve">Res I</t>
  </si>
  <si>
    <t xml:space="preserve">Residual</t>
  </si>
  <si>
    <t xml:space="preserve">R-01</t>
  </si>
  <si>
    <t xml:space="preserve">If PAM onboarding slips, UAT delayed</t>
  </si>
  <si>
    <t xml:space="preserve">Vendor</t>
  </si>
  <si>
    <t xml:space="preserve">Mitigate: weekly checkpoint + credit</t>
  </si>
  <si>
    <t xml:space="preserve">Mitigating</t>
  </si>
  <si>
    <t xml:space="preserve">R-02</t>
  </si>
  <si>
    <t xml:space="preserve">If policy engine cannot enforce legacy rules, access lost</t>
  </si>
  <si>
    <t xml:space="preserve">Technical</t>
  </si>
  <si>
    <t xml:space="preserve">Mitigate: fallback VPN 30d</t>
  </si>
  <si>
    <t xml:space="preserve">R-03</t>
  </si>
  <si>
    <t xml:space="preserve">If EMEA testers unavailable, sign-off slips</t>
  </si>
  <si>
    <t xml:space="preserve">Org</t>
  </si>
  <si>
    <t xml:space="preserve">Sponsor ask for named testers</t>
  </si>
  <si>
    <t xml:space="preserve">Open</t>
  </si>
  <si>
    <t xml:space="preserve">R-04</t>
  </si>
  <si>
    <t xml:space="preserve">Holiday freeze compresses cutover</t>
  </si>
  <si>
    <t xml:space="preserve">Accept; 5d reserve</t>
  </si>
  <si>
    <t xml:space="preserve">Accepted</t>
  </si>
  <si>
    <t xml:space="preserve">Total residual exposure</t>
  </si>
  <si>
    <t xml:space="preserve">RAID Log (Risks, Assumptions, Issues, Dependencies)</t>
  </si>
  <si>
    <t xml:space="preserve">Description</t>
  </si>
  <si>
    <t xml:space="preserve">P x I / Urgency</t>
  </si>
  <si>
    <t xml:space="preserve">Due</t>
  </si>
  <si>
    <t xml:space="preserve">A1</t>
  </si>
  <si>
    <t xml:space="preserve">Assumption</t>
  </si>
  <si>
    <t xml:space="preserve">Directory sync ready by Feb</t>
  </si>
  <si>
    <t xml:space="preserve">2026-02-01</t>
  </si>
  <si>
    <t xml:space="preserve">I1</t>
  </si>
  <si>
    <t xml:space="preserve">Issue</t>
  </si>
  <si>
    <t xml:space="preserve">Test data masking incomplete</t>
  </si>
  <si>
    <t xml:space="preserve">High</t>
  </si>
  <si>
    <t xml:space="preserve">QA</t>
  </si>
  <si>
    <t xml:space="preserve">2026-03-10</t>
  </si>
  <si>
    <t xml:space="preserve">D1</t>
  </si>
  <si>
    <t xml:space="preserve">Dependency</t>
  </si>
  <si>
    <t xml:space="preserve">IdP federation from Platform team</t>
  </si>
  <si>
    <t xml:space="preserve">Platform</t>
  </si>
  <si>
    <t xml:space="preserve">2026-02-20</t>
  </si>
  <si>
    <t xml:space="preserve">At risk</t>
  </si>
  <si>
    <t xml:space="preserve">Requirements Traceability</t>
  </si>
  <si>
    <t xml:space="preserve">Requirements Traceability Matrix (RTM). Coverage = % of requirements with a passing test.</t>
  </si>
  <si>
    <t xml:space="preserve">Req ID</t>
  </si>
  <si>
    <t xml:space="preserve">Requirement</t>
  </si>
  <si>
    <t xml:space="preserve">Priority</t>
  </si>
  <si>
    <t xml:space="preserve">Design ref</t>
  </si>
  <si>
    <t xml:space="preserve">Build item</t>
  </si>
  <si>
    <t xml:space="preserve">Test case</t>
  </si>
  <si>
    <t xml:space="preserve">Result</t>
  </si>
  <si>
    <t xml:space="preserve">Accepted?</t>
  </si>
  <si>
    <t xml:space="preserve">BRD-014</t>
  </si>
  <si>
    <t xml:space="preserve">Conditional access by device posture</t>
  </si>
  <si>
    <t xml:space="preserve">Must</t>
  </si>
  <si>
    <t xml:space="preserve">PE 4.2</t>
  </si>
  <si>
    <t xml:space="preserve">PE-217</t>
  </si>
  <si>
    <t xml:space="preserve">TC-031</t>
  </si>
  <si>
    <t xml:space="preserve">Pass</t>
  </si>
  <si>
    <t xml:space="preserve">Yes</t>
  </si>
  <si>
    <t xml:space="preserve">BRD-022</t>
  </si>
  <si>
    <t xml:space="preserve">Self-service access request</t>
  </si>
  <si>
    <t xml:space="preserve">Should</t>
  </si>
  <si>
    <t xml:space="preserve">Portal PRD</t>
  </si>
  <si>
    <t xml:space="preserve">PORTAL-88</t>
  </si>
  <si>
    <t xml:space="preserve">TC-050</t>
  </si>
  <si>
    <t xml:space="preserve">Fail</t>
  </si>
  <si>
    <t xml:space="preserve">Conditional</t>
  </si>
  <si>
    <t xml:space="preserve">BRD-031</t>
  </si>
  <si>
    <t xml:space="preserve">Custom block-page branding</t>
  </si>
  <si>
    <t xml:space="preserve">Could</t>
  </si>
  <si>
    <t xml:space="preserve">Deferred</t>
  </si>
  <si>
    <t xml:space="preserve">No</t>
  </si>
  <si>
    <t xml:space="preserve">Pass coverage (all reqs)</t>
  </si>
  <si>
    <t xml:space="preserve">Cross-Team Dependencies</t>
  </si>
  <si>
    <t xml:space="preserve">Provider team</t>
  </si>
  <si>
    <t xml:space="preserve">Receiver</t>
  </si>
  <si>
    <t xml:space="preserve">Deliverable</t>
  </si>
  <si>
    <t xml:space="preserve">Needed by</t>
  </si>
  <si>
    <t xml:space="preserve">Float (days)</t>
  </si>
  <si>
    <t xml:space="preserve">DEP-1</t>
  </si>
  <si>
    <t xml:space="preserve">Platform/IdP</t>
  </si>
  <si>
    <t xml:space="preserve">SAML federation</t>
  </si>
  <si>
    <t xml:space="preserve">DEP-2</t>
  </si>
  <si>
    <t xml:space="preserve">Network</t>
  </si>
  <si>
    <t xml:space="preserve">Firewall rule changes</t>
  </si>
  <si>
    <t xml:space="preserve">2026-03-05</t>
  </si>
  <si>
    <t xml:space="preserve">On track</t>
  </si>
  <si>
    <t xml:space="preserve">DEP-3</t>
  </si>
  <si>
    <t xml:space="preserve">Vendor (BeyondTrust)</t>
  </si>
  <si>
    <t xml:space="preserve">Vault deployment</t>
  </si>
  <si>
    <t xml:space="preserve">2026-03-15</t>
  </si>
  <si>
    <t xml:space="preserve">Decisions &amp; Changes Log</t>
  </si>
  <si>
    <t xml:space="preserve">Decision / change</t>
  </si>
  <si>
    <t xml:space="preserve">Rationale</t>
  </si>
  <si>
    <t xml:space="preserve">Authority</t>
  </si>
  <si>
    <t xml:space="preserve">Date</t>
  </si>
  <si>
    <t xml:space="preserve">D-12</t>
  </si>
  <si>
    <t xml:space="preserve">Decision</t>
  </si>
  <si>
    <t xml:space="preserve">Retain VPN path 30 days post-cutover</t>
  </si>
  <si>
    <t xml:space="preserve">Mitigate R-02</t>
  </si>
  <si>
    <t xml:space="preserve">SteerCo</t>
  </si>
  <si>
    <t xml:space="preserve">2026-04-02</t>
  </si>
  <si>
    <t xml:space="preserve">Closed</t>
  </si>
  <si>
    <t xml:space="preserve">C-07</t>
  </si>
  <si>
    <t xml:space="preserve">Change</t>
  </si>
  <si>
    <t xml:space="preserve">Defer biometric auth to Phase 2</t>
  </si>
  <si>
    <t xml:space="preserve">Enrollment infra not ready</t>
  </si>
  <si>
    <t xml:space="preserve">2026-04-18</t>
  </si>
  <si>
    <t xml:space="preserve">Approved</t>
  </si>
  <si>
    <t xml:space="preserve">Change Control (CCB)</t>
  </si>
  <si>
    <t xml:space="preserve">Formal change control. CCB = Change Control Board. Impact assessed before approval.</t>
  </si>
  <si>
    <t xml:space="preserve">CR ID</t>
  </si>
  <si>
    <t xml:space="preserve">Scope impact</t>
  </si>
  <si>
    <t xml:space="preserve">Schedule (d)</t>
  </si>
  <si>
    <t xml:space="preserve">Cost ($)</t>
  </si>
  <si>
    <t xml:space="preserve">Risk impact</t>
  </si>
  <si>
    <t xml:space="preserve">Recommendation</t>
  </si>
  <si>
    <t xml:space="preserve">CCB decision</t>
  </si>
  <si>
    <t xml:space="preserve">CR-09</t>
  </si>
  <si>
    <t xml:space="preserve">Add custom block-page branding</t>
  </si>
  <si>
    <t xml:space="preserve">+1 feature</t>
  </si>
  <si>
    <t xml:space="preserve">Low</t>
  </si>
  <si>
    <t xml:space="preserve">Defer to Wave 2</t>
  </si>
  <si>
    <t xml:space="preserve">CR-11</t>
  </si>
  <si>
    <t xml:space="preserve">Add 2 EMEA test environments</t>
  </si>
  <si>
    <t xml:space="preserve">Test scope</t>
  </si>
  <si>
    <t xml:space="preserve">Reduces UAT risk</t>
  </si>
  <si>
    <t xml:space="preserve">Approve</t>
  </si>
  <si>
    <t xml:space="preserve">User Acceptance Testing (UAT) — Test Case Log</t>
  </si>
  <si>
    <t xml:space="preserve">Pass rate auto-calculated.</t>
  </si>
  <si>
    <t xml:space="preserve">Test ID</t>
  </si>
  <si>
    <t xml:space="preserve">Scenario</t>
  </si>
  <si>
    <t xml:space="preserve">Severity if fail</t>
  </si>
  <si>
    <t xml:space="preserve">Defect ID</t>
  </si>
  <si>
    <t xml:space="preserve">Finance managed device reaches payroll &lt;2s</t>
  </si>
  <si>
    <t xml:space="preserve">S2</t>
  </si>
  <si>
    <t xml:space="preserve">TC-032</t>
  </si>
  <si>
    <t xml:space="preserve">Unmanaged device blocked w/ message</t>
  </si>
  <si>
    <t xml:space="preserve">S1</t>
  </si>
  <si>
    <t xml:space="preserve">Self-service reset end-to-end</t>
  </si>
  <si>
    <t xml:space="preserve">S3</t>
  </si>
  <si>
    <t xml:space="preserve">DEF-22</t>
  </si>
  <si>
    <t xml:space="preserve">TC-051</t>
  </si>
  <si>
    <t xml:space="preserve">Break-glass access logged</t>
  </si>
  <si>
    <t xml:space="preserve">Pass rate</t>
  </si>
  <si>
    <t xml:space="preserve">Tier</t>
  </si>
  <si>
    <t xml:space="preserve">Raised</t>
  </si>
  <si>
    <t xml:space="preserve">SLA (h)</t>
  </si>
  <si>
    <t xml:space="preserve">Resolved</t>
  </si>
  <si>
    <t xml:space="preserve">Outcome</t>
  </si>
  <si>
    <t xml:space="preserve">E-1</t>
  </si>
  <si>
    <t xml:space="preserve">Tier 2 (Sponsor)</t>
  </si>
  <si>
    <t xml:space="preserve">PAM vendor slip &gt; buffer</t>
  </si>
  <si>
    <t xml:space="preserve">2026-04-30</t>
  </si>
  <si>
    <t xml:space="preserve">2026-05-02</t>
  </si>
  <si>
    <t xml:space="preserve">Credit invoked; weekly checkpoint</t>
  </si>
  <si>
    <t xml:space="preserve">Weekly Status Rollup</t>
  </si>
  <si>
    <t xml:space="preserve">RAG thresholds objective (see Schedule/EVM).</t>
  </si>
  <si>
    <t xml:space="preserve">Week</t>
  </si>
  <si>
    <t xml:space="preserve">Scope RAG</t>
  </si>
  <si>
    <t xml:space="preserve">Schedule RAG</t>
  </si>
  <si>
    <t xml:space="preserve">Cost RAG</t>
  </si>
  <si>
    <t xml:space="preserve">Overall</t>
  </si>
  <si>
    <t xml:space="preserve">Top risk</t>
  </si>
  <si>
    <t xml:space="preserve">Next milestone</t>
  </si>
  <si>
    <t xml:space="preserve">Green</t>
  </si>
  <si>
    <t xml:space="preserve">R-01 PAM slip</t>
  </si>
  <si>
    <t xml:space="preserve">Lessons Learned Register</t>
  </si>
  <si>
    <t xml:space="preserve">What happened</t>
  </si>
  <si>
    <t xml:space="preserve">Root cause</t>
  </si>
  <si>
    <t xml:space="preserve">L-1</t>
  </si>
  <si>
    <t xml:space="preserve">Directory-sync lead time underestimated</t>
  </si>
  <si>
    <t xml:space="preserve">Optimistic vendor estimate</t>
  </si>
  <si>
    <t xml:space="preserve">Add 2-wk buffer for IdP deps</t>
  </si>
  <si>
    <t xml:space="preserve">L-2</t>
  </si>
  <si>
    <t xml:space="preserve">Legacy-app rules needed dedicated DoD</t>
  </si>
  <si>
    <t xml:space="preserve">Coverage gap in quality plan</t>
  </si>
  <si>
    <t xml:space="preserve">Add legacy-app DoD checklist</t>
  </si>
  <si>
    <t xml:space="preserve">Adopted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</si>
</sst>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202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5F1E8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2028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1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0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15" hidden="false" customHeight="true" outlineLevel="0" collapsed="false">
      <c r="A5" s="5" t="s">
        <v>4</v>
      </c>
      <c r="B5" s="5" t="s">
        <v>5</v>
      </c>
    </row>
    <row r="6" customFormat="false" ht="15" hidden="false" customHeight="true" outlineLevel="0" collapsed="false">
      <c r="A6" s="5" t="s">
        <v>6</v>
      </c>
      <c r="B6" s="5" t="s">
        <v>7</v>
      </c>
    </row>
    <row r="7" customFormat="false" ht="15" hidden="false" customHeight="true" outlineLevel="0" collapsed="false">
      <c r="A7" s="5" t="s">
        <v>8</v>
      </c>
      <c r="B7" s="5" t="s">
        <v>9</v>
      </c>
    </row>
    <row r="8" customFormat="false" ht="15" hidden="false" customHeight="true" outlineLevel="0" collapsed="false">
      <c r="A8" s="5" t="s">
        <v>10</v>
      </c>
      <c r="B8" s="5" t="s">
        <v>11</v>
      </c>
    </row>
    <row r="9" customFormat="false" ht="15" hidden="false" customHeight="true" outlineLevel="0" collapsed="false">
      <c r="A9" s="5" t="s">
        <v>12</v>
      </c>
      <c r="B9" s="5" t="s">
        <v>13</v>
      </c>
    </row>
    <row r="10" customFormat="false" ht="15" hidden="false" customHeight="true" outlineLevel="0" collapsed="false">
      <c r="A10" s="5" t="s">
        <v>14</v>
      </c>
      <c r="B10" s="5" t="s">
        <v>15</v>
      </c>
    </row>
    <row r="11" customFormat="false" ht="15" hidden="false" customHeight="true" outlineLevel="0" collapsed="false">
      <c r="A11" s="5" t="s">
        <v>16</v>
      </c>
      <c r="B11" s="5" t="s">
        <v>17</v>
      </c>
    </row>
    <row r="12" customFormat="false" ht="15" hidden="false" customHeight="true" outlineLevel="0" collapsed="false">
      <c r="A12" s="5" t="s">
        <v>18</v>
      </c>
      <c r="B12" s="5" t="s">
        <v>19</v>
      </c>
    </row>
    <row r="13" customFormat="false" ht="15" hidden="false" customHeight="true" outlineLevel="0" collapsed="false">
      <c r="A13" s="5" t="s">
        <v>20</v>
      </c>
      <c r="B13" s="5" t="s">
        <v>21</v>
      </c>
    </row>
    <row r="14" customFormat="false" ht="15" hidden="false" customHeight="true" outlineLevel="0" collapsed="false">
      <c r="A14" s="5" t="s">
        <v>22</v>
      </c>
      <c r="B14" s="5" t="s">
        <v>23</v>
      </c>
    </row>
    <row r="15" customFormat="false" ht="15" hidden="false" customHeight="true" outlineLevel="0" collapsed="false">
      <c r="A15" s="5" t="s">
        <v>24</v>
      </c>
      <c r="B15" s="5" t="s">
        <v>25</v>
      </c>
    </row>
    <row r="16" customFormat="false" ht="15" hidden="false" customHeight="true" outlineLevel="0" collapsed="false">
      <c r="A16" s="5" t="s">
        <v>26</v>
      </c>
      <c r="B16" s="5" t="s">
        <v>27</v>
      </c>
    </row>
    <row r="17" customFormat="false" ht="15" hidden="false" customHeight="true" outlineLevel="0" collapsed="false">
      <c r="A17" s="5" t="s">
        <v>28</v>
      </c>
      <c r="B17" s="5" t="s">
        <v>29</v>
      </c>
    </row>
    <row r="18" customFormat="false" ht="15" hidden="false" customHeight="true" outlineLevel="0" collapsed="false">
      <c r="A18" s="5" t="s">
        <v>30</v>
      </c>
      <c r="B18" s="5" t="s">
        <v>31</v>
      </c>
    </row>
    <row r="19" customFormat="false" ht="15" hidden="false" customHeight="true" outlineLevel="0" collapsed="false">
      <c r="A19" s="5" t="s">
        <v>32</v>
      </c>
      <c r="B19" s="5" t="s">
        <v>33</v>
      </c>
    </row>
    <row r="20" customFormat="false" ht="15" hidden="false" customHeight="true" outlineLevel="0" collapsed="false">
      <c r="A20" s="5" t="s">
        <v>34</v>
      </c>
      <c r="B20" s="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</cols>
  <sheetData>
    <row r="1" customFormat="false" ht="19.7" hidden="false" customHeight="false" outlineLevel="0" collapsed="false">
      <c r="A1" s="6" t="s">
        <v>36</v>
      </c>
    </row>
    <row r="2" customFormat="false" ht="15" hidden="false" customHeight="false" outlineLevel="0" collapsed="false">
      <c r="A2" s="7" t="s">
        <v>37</v>
      </c>
    </row>
    <row r="4" customFormat="false" ht="15" hidden="false" customHeight="false" outlineLevel="0" collapsed="false">
      <c r="A4" s="8" t="s">
        <v>38</v>
      </c>
      <c r="B4" s="8" t="s">
        <v>39</v>
      </c>
    </row>
    <row r="5" customFormat="false" ht="15" hidden="false" customHeight="false" outlineLevel="0" collapsed="false">
      <c r="A5" s="9" t="s">
        <v>40</v>
      </c>
      <c r="B5" s="5" t="s">
        <v>41</v>
      </c>
    </row>
    <row r="6" customFormat="false" ht="15" hidden="false" customHeight="false" outlineLevel="0" collapsed="false">
      <c r="A6" s="9" t="s">
        <v>42</v>
      </c>
      <c r="B6" s="5" t="s">
        <v>43</v>
      </c>
    </row>
    <row r="7" customFormat="false" ht="15" hidden="false" customHeight="false" outlineLevel="0" collapsed="false">
      <c r="A7" s="9" t="s">
        <v>44</v>
      </c>
      <c r="B7" s="5" t="s">
        <v>45</v>
      </c>
    </row>
    <row r="8" customFormat="false" ht="15" hidden="false" customHeight="false" outlineLevel="0" collapsed="false">
      <c r="A8" s="9" t="s">
        <v>46</v>
      </c>
      <c r="B8" s="5" t="s">
        <v>47</v>
      </c>
    </row>
    <row r="9" customFormat="false" ht="15" hidden="false" customHeight="false" outlineLevel="0" collapsed="false">
      <c r="A9" s="9" t="s">
        <v>48</v>
      </c>
      <c r="B9" s="5" t="s">
        <v>49</v>
      </c>
    </row>
    <row r="10" customFormat="false" ht="15" hidden="false" customHeight="false" outlineLevel="0" collapsed="false">
      <c r="A10" s="9" t="s">
        <v>50</v>
      </c>
      <c r="B10" s="5" t="s">
        <v>51</v>
      </c>
    </row>
    <row r="11" customFormat="false" ht="15" hidden="false" customHeight="false" outlineLevel="0" collapsed="false">
      <c r="A11" s="9" t="s">
        <v>52</v>
      </c>
      <c r="B11" s="5" t="s">
        <v>53</v>
      </c>
    </row>
    <row r="12" customFormat="false" ht="15" hidden="false" customHeight="false" outlineLevel="0" collapsed="false">
      <c r="A12" s="9" t="s">
        <v>18</v>
      </c>
      <c r="B12" s="5" t="s">
        <v>54</v>
      </c>
    </row>
    <row r="13" customFormat="false" ht="15" hidden="false" customHeight="false" outlineLevel="0" collapsed="false">
      <c r="A13" s="9" t="s">
        <v>8</v>
      </c>
      <c r="B13" s="5" t="s">
        <v>55</v>
      </c>
    </row>
    <row r="14" customFormat="false" ht="15" hidden="false" customHeight="false" outlineLevel="0" collapsed="false">
      <c r="A14" s="9" t="s">
        <v>56</v>
      </c>
      <c r="B14" s="5" t="s">
        <v>57</v>
      </c>
    </row>
    <row r="15" customFormat="false" ht="15" hidden="false" customHeight="false" outlineLevel="0" collapsed="false">
      <c r="A15" s="9" t="s">
        <v>58</v>
      </c>
      <c r="B15" s="5" t="s">
        <v>59</v>
      </c>
    </row>
    <row r="16" customFormat="false" ht="15" hidden="false" customHeight="false" outlineLevel="0" collapsed="false">
      <c r="A16" s="9" t="s">
        <v>60</v>
      </c>
      <c r="B16" s="5" t="s">
        <v>61</v>
      </c>
    </row>
    <row r="17" customFormat="false" ht="15" hidden="false" customHeight="false" outlineLevel="0" collapsed="false">
      <c r="A17" s="9" t="s">
        <v>62</v>
      </c>
      <c r="B17" s="5" t="s">
        <v>63</v>
      </c>
    </row>
    <row r="18" customFormat="false" ht="15" hidden="false" customHeight="false" outlineLevel="0" collapsed="false">
      <c r="A18" s="9" t="s">
        <v>64</v>
      </c>
      <c r="B18" s="5" t="s">
        <v>65</v>
      </c>
    </row>
    <row r="19" customFormat="false" ht="15" hidden="false" customHeight="false" outlineLevel="0" collapsed="false">
      <c r="A19" s="9" t="s">
        <v>66</v>
      </c>
      <c r="B19" s="5" t="s">
        <v>67</v>
      </c>
    </row>
    <row r="20" customFormat="false" ht="15" hidden="false" customHeight="false" outlineLevel="0" collapsed="false">
      <c r="A20" s="9" t="s">
        <v>68</v>
      </c>
      <c r="B20" s="5" t="s">
        <v>69</v>
      </c>
    </row>
    <row r="21" customFormat="false" ht="15" hidden="false" customHeight="false" outlineLevel="0" collapsed="false">
      <c r="A21" s="9" t="s">
        <v>70</v>
      </c>
      <c r="B21" s="5" t="s">
        <v>71</v>
      </c>
    </row>
    <row r="22" customFormat="false" ht="15" hidden="false" customHeight="false" outlineLevel="0" collapsed="false">
      <c r="A22" s="9" t="s">
        <v>72</v>
      </c>
      <c r="B22" s="5" t="s">
        <v>73</v>
      </c>
    </row>
    <row r="23" customFormat="false" ht="15" hidden="false" customHeight="false" outlineLevel="0" collapsed="false">
      <c r="A23" s="9" t="s">
        <v>74</v>
      </c>
      <c r="B23" s="5" t="s">
        <v>75</v>
      </c>
    </row>
    <row r="24" customFormat="false" ht="15" hidden="false" customHeight="false" outlineLevel="0" collapsed="false">
      <c r="A24" s="9" t="s">
        <v>76</v>
      </c>
      <c r="B24" s="5" t="s">
        <v>77</v>
      </c>
    </row>
    <row r="25" customFormat="false" ht="15" hidden="false" customHeight="false" outlineLevel="0" collapsed="false">
      <c r="A25" s="9" t="s">
        <v>78</v>
      </c>
      <c r="B25" s="5" t="s">
        <v>79</v>
      </c>
    </row>
    <row r="26" customFormat="false" ht="15" hidden="false" customHeight="false" outlineLevel="0" collapsed="false">
      <c r="A26" s="9" t="s">
        <v>80</v>
      </c>
      <c r="B26" s="5" t="s">
        <v>81</v>
      </c>
    </row>
    <row r="27" customFormat="false" ht="15" hidden="false" customHeight="false" outlineLevel="0" collapsed="false">
      <c r="A27" s="9" t="s">
        <v>82</v>
      </c>
      <c r="B27" s="5" t="s">
        <v>83</v>
      </c>
    </row>
    <row r="28" customFormat="false" ht="15" hidden="false" customHeight="false" outlineLevel="0" collapsed="false">
      <c r="A28" s="9" t="s">
        <v>84</v>
      </c>
      <c r="B28" s="5" t="s">
        <v>85</v>
      </c>
    </row>
    <row r="29" customFormat="false" ht="15" hidden="false" customHeight="false" outlineLevel="0" collapsed="false">
      <c r="A29" s="9" t="s">
        <v>86</v>
      </c>
      <c r="B29" s="5" t="s">
        <v>87</v>
      </c>
    </row>
    <row r="30" customFormat="false" ht="15" hidden="false" customHeight="false" outlineLevel="0" collapsed="false">
      <c r="A30" s="9" t="s">
        <v>88</v>
      </c>
      <c r="B30" s="5" t="s">
        <v>89</v>
      </c>
    </row>
    <row r="31" customFormat="false" ht="15" hidden="false" customHeight="false" outlineLevel="0" collapsed="false">
      <c r="A31" s="9" t="s">
        <v>90</v>
      </c>
      <c r="B31" s="5" t="s">
        <v>91</v>
      </c>
    </row>
    <row r="32" customFormat="false" ht="15" hidden="false" customHeight="false" outlineLevel="0" collapsed="false">
      <c r="A32" s="9" t="s">
        <v>92</v>
      </c>
      <c r="B32" s="5" t="s">
        <v>93</v>
      </c>
    </row>
    <row r="33" customFormat="false" ht="15" hidden="false" customHeight="false" outlineLevel="0" collapsed="false">
      <c r="A33" s="9" t="s">
        <v>94</v>
      </c>
      <c r="B33" s="5" t="s">
        <v>95</v>
      </c>
    </row>
    <row r="34" customFormat="false" ht="15" hidden="false" customHeight="false" outlineLevel="0" collapsed="false">
      <c r="A34" s="9" t="s">
        <v>20</v>
      </c>
      <c r="B34" s="5" t="s">
        <v>96</v>
      </c>
    </row>
    <row r="35" customFormat="false" ht="15" hidden="false" customHeight="false" outlineLevel="0" collapsed="false">
      <c r="A35" s="9" t="s">
        <v>97</v>
      </c>
      <c r="B35" s="5" t="s">
        <v>98</v>
      </c>
    </row>
    <row r="36" customFormat="false" ht="15" hidden="false" customHeight="false" outlineLevel="0" collapsed="false">
      <c r="A36" s="9" t="s">
        <v>99</v>
      </c>
      <c r="B36" s="5" t="s">
        <v>100</v>
      </c>
    </row>
    <row r="37" customFormat="false" ht="15" hidden="false" customHeight="false" outlineLevel="0" collapsed="false">
      <c r="A37" s="9" t="s">
        <v>101</v>
      </c>
      <c r="B37" s="5" t="s">
        <v>102</v>
      </c>
    </row>
    <row r="38" customFormat="false" ht="15" hidden="false" customHeight="false" outlineLevel="0" collapsed="false">
      <c r="A38" s="9" t="s">
        <v>103</v>
      </c>
      <c r="B38" s="5" t="s">
        <v>104</v>
      </c>
    </row>
    <row r="39" customFormat="false" ht="15" hidden="false" customHeight="false" outlineLevel="0" collapsed="false">
      <c r="A39" s="9" t="s">
        <v>105</v>
      </c>
      <c r="B39" s="5" t="s">
        <v>106</v>
      </c>
    </row>
    <row r="40" customFormat="false" ht="15" hidden="false" customHeight="false" outlineLevel="0" collapsed="false">
      <c r="A40" s="9" t="s">
        <v>107</v>
      </c>
      <c r="B40" s="5" t="s">
        <v>108</v>
      </c>
    </row>
    <row r="41" customFormat="false" ht="15" hidden="false" customHeight="false" outlineLevel="0" collapsed="false">
      <c r="A41" s="9" t="s">
        <v>109</v>
      </c>
      <c r="B41" s="5" t="s">
        <v>110</v>
      </c>
    </row>
    <row r="42" customFormat="false" ht="15" hidden="false" customHeight="false" outlineLevel="0" collapsed="false">
      <c r="A42" s="9" t="s">
        <v>111</v>
      </c>
      <c r="B42" s="5" t="s">
        <v>112</v>
      </c>
    </row>
    <row r="43" customFormat="false" ht="15" hidden="false" customHeight="false" outlineLevel="0" collapsed="false">
      <c r="A43" s="9" t="s">
        <v>113</v>
      </c>
      <c r="B43" s="5" t="s">
        <v>114</v>
      </c>
    </row>
    <row r="44" customFormat="false" ht="15" hidden="false" customHeight="false" outlineLevel="0" collapsed="false">
      <c r="A44" s="9" t="s">
        <v>115</v>
      </c>
      <c r="B44" s="5" t="s">
        <v>116</v>
      </c>
    </row>
    <row r="45" customFormat="false" ht="15" hidden="false" customHeight="false" outlineLevel="0" collapsed="false">
      <c r="A45" s="9" t="s">
        <v>117</v>
      </c>
      <c r="B45" s="5" t="s">
        <v>118</v>
      </c>
    </row>
    <row r="46" customFormat="false" ht="15" hidden="false" customHeight="false" outlineLevel="0" collapsed="false">
      <c r="A46" s="9" t="s">
        <v>119</v>
      </c>
      <c r="B46" s="5" t="s">
        <v>120</v>
      </c>
    </row>
    <row r="47" customFormat="false" ht="15" hidden="false" customHeight="false" outlineLevel="0" collapsed="false">
      <c r="A47" s="9" t="s">
        <v>121</v>
      </c>
      <c r="B47" s="5" t="s">
        <v>122</v>
      </c>
    </row>
    <row r="48" customFormat="false" ht="15" hidden="false" customHeight="false" outlineLevel="0" collapsed="false">
      <c r="A48" s="9" t="s">
        <v>123</v>
      </c>
      <c r="B48" s="5" t="s">
        <v>124</v>
      </c>
    </row>
    <row r="49" customFormat="false" ht="15" hidden="false" customHeight="false" outlineLevel="0" collapsed="false">
      <c r="A49" s="9" t="s">
        <v>125</v>
      </c>
      <c r="B49" s="5" t="s">
        <v>126</v>
      </c>
    </row>
    <row r="50" customFormat="false" ht="15" hidden="false" customHeight="false" outlineLevel="0" collapsed="false">
      <c r="A50" s="9" t="s">
        <v>127</v>
      </c>
      <c r="B50" s="5" t="s">
        <v>128</v>
      </c>
    </row>
    <row r="51" customFormat="false" ht="15" hidden="false" customHeight="false" outlineLevel="0" collapsed="false">
      <c r="A51" s="9" t="s">
        <v>129</v>
      </c>
      <c r="B51" s="5" t="s">
        <v>130</v>
      </c>
    </row>
    <row r="52" customFormat="false" ht="15" hidden="false" customHeight="false" outlineLevel="0" collapsed="false">
      <c r="A52" s="9" t="s">
        <v>131</v>
      </c>
      <c r="B52" s="5" t="s">
        <v>132</v>
      </c>
    </row>
    <row r="53" customFormat="false" ht="15" hidden="false" customHeight="false" outlineLevel="0" collapsed="false">
      <c r="A53" s="9" t="s">
        <v>133</v>
      </c>
      <c r="B53" s="5" t="s">
        <v>134</v>
      </c>
    </row>
    <row r="54" customFormat="false" ht="15" hidden="false" customHeight="false" outlineLevel="0" collapsed="false">
      <c r="A54" s="9" t="s">
        <v>135</v>
      </c>
      <c r="B54" s="5" t="s">
        <v>136</v>
      </c>
    </row>
    <row r="55" customFormat="false" ht="15" hidden="false" customHeight="false" outlineLevel="0" collapsed="false">
      <c r="A55" s="9" t="s">
        <v>137</v>
      </c>
      <c r="B55" s="5" t="s">
        <v>138</v>
      </c>
    </row>
    <row r="56" customFormat="false" ht="15" hidden="false" customHeight="false" outlineLevel="0" collapsed="false">
      <c r="A56" s="9" t="s">
        <v>139</v>
      </c>
      <c r="B56" s="5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2"/>
  </cols>
  <sheetData>
    <row r="1" customFormat="false" ht="19.5" hidden="false" customHeight="true" outlineLevel="0" collapsed="false">
      <c r="A1" s="2" t="s">
        <v>141</v>
      </c>
    </row>
    <row r="4" customFormat="false" ht="15" hidden="false" customHeight="true" outlineLevel="0" collapsed="false">
      <c r="A4" s="4" t="s">
        <v>142</v>
      </c>
      <c r="B4" s="4" t="s">
        <v>143</v>
      </c>
    </row>
    <row r="5" customFormat="false" ht="15" hidden="false" customHeight="true" outlineLevel="0" collapsed="false">
      <c r="A5" s="5" t="s">
        <v>144</v>
      </c>
      <c r="B5" s="10" t="s">
        <v>145</v>
      </c>
    </row>
    <row r="6" customFormat="false" ht="15" hidden="false" customHeight="true" outlineLevel="0" collapsed="false">
      <c r="A6" s="5" t="s">
        <v>146</v>
      </c>
      <c r="B6" s="10" t="s">
        <v>147</v>
      </c>
    </row>
    <row r="7" customFormat="false" ht="15" hidden="false" customHeight="true" outlineLevel="0" collapsed="false">
      <c r="A7" s="5" t="s">
        <v>46</v>
      </c>
      <c r="B7" s="10" t="s">
        <v>148</v>
      </c>
    </row>
    <row r="8" customFormat="false" ht="15" hidden="false" customHeight="true" outlineLevel="0" collapsed="false">
      <c r="A8" s="5" t="s">
        <v>149</v>
      </c>
      <c r="B8" s="10" t="s">
        <v>150</v>
      </c>
    </row>
    <row r="9" customFormat="false" ht="15" hidden="false" customHeight="true" outlineLevel="0" collapsed="false">
      <c r="A9" s="5" t="s">
        <v>151</v>
      </c>
      <c r="B9" s="10" t="s">
        <v>152</v>
      </c>
    </row>
    <row r="10" customFormat="false" ht="15" hidden="false" customHeight="true" outlineLevel="0" collapsed="false">
      <c r="A10" s="5" t="s">
        <v>153</v>
      </c>
      <c r="B10" s="10" t="s">
        <v>154</v>
      </c>
    </row>
    <row r="11" customFormat="false" ht="15" hidden="false" customHeight="true" outlineLevel="0" collapsed="false">
      <c r="A11" s="5" t="s">
        <v>155</v>
      </c>
      <c r="B11" s="10" t="s">
        <v>156</v>
      </c>
    </row>
    <row r="12" customFormat="false" ht="15" hidden="false" customHeight="true" outlineLevel="0" collapsed="false">
      <c r="A12" s="5" t="s">
        <v>157</v>
      </c>
      <c r="B12" s="1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0"/>
  </cols>
  <sheetData>
    <row r="1" customFormat="false" ht="19.5" hidden="false" customHeight="true" outlineLevel="0" collapsed="false">
      <c r="A1" s="2" t="s">
        <v>159</v>
      </c>
    </row>
    <row r="4" customFormat="false" ht="15" hidden="false" customHeight="true" outlineLevel="0" collapsed="false">
      <c r="A4" s="4" t="s">
        <v>160</v>
      </c>
      <c r="B4" s="4" t="s">
        <v>161</v>
      </c>
    </row>
    <row r="5" customFormat="false" ht="15" hidden="false" customHeight="true" outlineLevel="0" collapsed="false">
      <c r="A5" s="5" t="s">
        <v>162</v>
      </c>
      <c r="B5" s="5" t="s">
        <v>163</v>
      </c>
    </row>
    <row r="6" customFormat="false" ht="15" hidden="false" customHeight="true" outlineLevel="0" collapsed="false">
      <c r="A6" s="5" t="s">
        <v>164</v>
      </c>
      <c r="B6" s="5" t="s">
        <v>165</v>
      </c>
    </row>
    <row r="7" customFormat="false" ht="15" hidden="false" customHeight="true" outlineLevel="0" collapsed="false">
      <c r="A7" s="5" t="s">
        <v>166</v>
      </c>
      <c r="B7" s="5" t="s">
        <v>167</v>
      </c>
    </row>
    <row r="8" customFormat="false" ht="15" hidden="false" customHeight="true" outlineLevel="0" collapsed="false">
      <c r="A8" s="5" t="s">
        <v>168</v>
      </c>
      <c r="B8" s="5" t="s">
        <v>169</v>
      </c>
    </row>
    <row r="9" customFormat="false" ht="15" hidden="false" customHeight="true" outlineLevel="0" collapsed="false">
      <c r="A9" s="5" t="s">
        <v>170</v>
      </c>
      <c r="B9" s="5" t="s">
        <v>171</v>
      </c>
    </row>
    <row r="10" customFormat="false" ht="15" hidden="false" customHeight="true" outlineLevel="0" collapsed="false">
      <c r="A10" s="5" t="s">
        <v>172</v>
      </c>
      <c r="B10" s="5" t="s">
        <v>173</v>
      </c>
    </row>
    <row r="11" customFormat="false" ht="15" hidden="false" customHeight="true" outlineLevel="0" collapsed="false">
      <c r="A11" s="5" t="s">
        <v>174</v>
      </c>
      <c r="B11" s="5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1"/>
    <col collapsed="false" customWidth="true" hidden="false" outlineLevel="0" max="3" min="3" style="1" width="9"/>
    <col collapsed="false" customWidth="true" hidden="false" outlineLevel="0" max="5" min="4" style="1" width="11"/>
    <col collapsed="false" customWidth="true" hidden="false" outlineLevel="0" max="7" min="6" style="1" width="16"/>
  </cols>
  <sheetData>
    <row r="1" customFormat="false" ht="19.5" hidden="false" customHeight="true" outlineLevel="0" collapsed="false">
      <c r="A1" s="2" t="s">
        <v>176</v>
      </c>
    </row>
    <row r="2" customFormat="false" ht="15" hidden="false" customHeight="true" outlineLevel="0" collapsed="false">
      <c r="A2" s="3" t="s">
        <v>177</v>
      </c>
    </row>
    <row r="4" customFormat="false" ht="26.25" hidden="false" customHeight="true" outlineLevel="0" collapsed="false">
      <c r="A4" s="4" t="s">
        <v>178</v>
      </c>
      <c r="B4" s="4" t="s">
        <v>146</v>
      </c>
      <c r="C4" s="4" t="s">
        <v>46</v>
      </c>
      <c r="D4" s="4" t="s">
        <v>179</v>
      </c>
      <c r="E4" s="4" t="s">
        <v>180</v>
      </c>
      <c r="F4" s="4" t="s">
        <v>181</v>
      </c>
      <c r="G4" s="4" t="s">
        <v>182</v>
      </c>
    </row>
    <row r="5" customFormat="false" ht="15" hidden="false" customHeight="true" outlineLevel="0" collapsed="false">
      <c r="A5" s="5" t="s">
        <v>183</v>
      </c>
      <c r="B5" s="5" t="s">
        <v>184</v>
      </c>
      <c r="C5" s="5" t="s">
        <v>185</v>
      </c>
      <c r="D5" s="5" t="s">
        <v>186</v>
      </c>
      <c r="E5" s="5" t="s">
        <v>186</v>
      </c>
      <c r="F5" s="5" t="s">
        <v>186</v>
      </c>
      <c r="G5" s="5" t="str">
        <f aca="false">IF(COUNTIF(B5:F5,"A")=1,"OK","FIX")</f>
        <v>OK</v>
      </c>
    </row>
    <row r="6" customFormat="false" ht="15" hidden="false" customHeight="true" outlineLevel="0" collapsed="false">
      <c r="A6" s="5" t="s">
        <v>187</v>
      </c>
      <c r="B6" s="5" t="s">
        <v>184</v>
      </c>
      <c r="C6" s="5" t="s">
        <v>185</v>
      </c>
      <c r="D6" s="5" t="s">
        <v>186</v>
      </c>
      <c r="E6" s="5" t="s">
        <v>186</v>
      </c>
      <c r="F6" s="5" t="s">
        <v>186</v>
      </c>
      <c r="G6" s="5" t="str">
        <f aca="false">IF(COUNTIF(B6:F6,"A")=1,"OK","FIX")</f>
        <v>OK</v>
      </c>
    </row>
    <row r="7" customFormat="false" ht="15" hidden="false" customHeight="true" outlineLevel="0" collapsed="false">
      <c r="A7" s="5" t="s">
        <v>188</v>
      </c>
      <c r="B7" s="5" t="s">
        <v>184</v>
      </c>
      <c r="C7" s="5" t="s">
        <v>185</v>
      </c>
      <c r="D7" s="5" t="s">
        <v>186</v>
      </c>
      <c r="E7" s="5" t="s">
        <v>186</v>
      </c>
      <c r="F7" s="5" t="s">
        <v>186</v>
      </c>
      <c r="G7" s="5" t="str">
        <f aca="false">IF(COUNTIF(B7:F7,"A")=1,"OK","FIX")</f>
        <v>OK</v>
      </c>
    </row>
    <row r="8" customFormat="false" ht="15" hidden="false" customHeight="true" outlineLevel="0" collapsed="false">
      <c r="A8" s="5" t="s">
        <v>189</v>
      </c>
      <c r="B8" s="5" t="s">
        <v>184</v>
      </c>
      <c r="C8" s="5" t="s">
        <v>186</v>
      </c>
      <c r="D8" s="5" t="s">
        <v>186</v>
      </c>
      <c r="E8" s="5" t="s">
        <v>185</v>
      </c>
      <c r="F8" s="5" t="s">
        <v>186</v>
      </c>
      <c r="G8" s="5" t="str">
        <f aca="false">IF(COUNTIF(B8:F8,"A")=1,"OK","FIX")</f>
        <v>OK</v>
      </c>
    </row>
    <row r="9" customFormat="false" ht="15" hidden="false" customHeight="true" outlineLevel="0" collapsed="false">
      <c r="A9" s="5" t="s">
        <v>190</v>
      </c>
      <c r="B9" s="5" t="s">
        <v>186</v>
      </c>
      <c r="C9" s="5" t="s">
        <v>185</v>
      </c>
      <c r="D9" s="5" t="s">
        <v>186</v>
      </c>
      <c r="E9" s="5" t="s">
        <v>186</v>
      </c>
      <c r="F9" s="5" t="s">
        <v>184</v>
      </c>
      <c r="G9" s="5" t="str">
        <f aca="false">IF(COUNTIF(B9:F9,"A")=1,"OK","FIX")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6"/>
    <col collapsed="false" customWidth="true" hidden="false" outlineLevel="0" max="3" min="3" style="1" width="12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7"/>
    <col collapsed="false" customWidth="true" hidden="false" outlineLevel="0" max="7" min="7" style="1" width="18"/>
    <col collapsed="false" customWidth="true" hidden="false" outlineLevel="0" max="8" min="8" style="1" width="10"/>
  </cols>
  <sheetData>
    <row r="1" customFormat="false" ht="19.5" hidden="false" customHeight="true" outlineLevel="0" collapsed="false">
      <c r="A1" s="2" t="s">
        <v>191</v>
      </c>
    </row>
    <row r="2" customFormat="false" ht="15" hidden="false" customHeight="true" outlineLevel="0" collapsed="false">
      <c r="A2" s="3" t="s">
        <v>192</v>
      </c>
    </row>
    <row r="4" customFormat="false" ht="26.25" hidden="false" customHeight="true" outlineLevel="0" collapsed="false">
      <c r="A4" s="4" t="s">
        <v>193</v>
      </c>
      <c r="B4" s="4" t="s">
        <v>194</v>
      </c>
      <c r="C4" s="4" t="s">
        <v>195</v>
      </c>
      <c r="D4" s="4" t="s">
        <v>196</v>
      </c>
      <c r="E4" s="4" t="s">
        <v>197</v>
      </c>
      <c r="F4" s="4" t="s">
        <v>198</v>
      </c>
      <c r="G4" s="4" t="s">
        <v>199</v>
      </c>
      <c r="H4" s="4" t="s">
        <v>200</v>
      </c>
    </row>
    <row r="5" customFormat="false" ht="15" hidden="false" customHeight="true" outlineLevel="0" collapsed="false">
      <c r="A5" s="5" t="s">
        <v>201</v>
      </c>
      <c r="B5" s="5" t="s">
        <v>202</v>
      </c>
      <c r="C5" s="5" t="s">
        <v>203</v>
      </c>
      <c r="D5" s="5" t="n">
        <v>8</v>
      </c>
      <c r="E5" s="5" t="n">
        <v>12</v>
      </c>
      <c r="F5" s="5" t="n">
        <v>20</v>
      </c>
      <c r="G5" s="5" t="n">
        <f aca="false">(D5+4*E5+F5)/6</f>
        <v>12.6666666666667</v>
      </c>
      <c r="H5" s="5" t="n">
        <f aca="false">(F5-D5)/6</f>
        <v>2</v>
      </c>
    </row>
    <row r="6" customFormat="false" ht="15" hidden="false" customHeight="true" outlineLevel="0" collapsed="false">
      <c r="A6" s="5" t="s">
        <v>204</v>
      </c>
      <c r="B6" s="5" t="s">
        <v>205</v>
      </c>
      <c r="C6" s="5" t="s">
        <v>206</v>
      </c>
      <c r="D6" s="5" t="n">
        <v>10</v>
      </c>
      <c r="E6" s="5" t="n">
        <v>15</v>
      </c>
      <c r="F6" s="5" t="n">
        <v>25</v>
      </c>
      <c r="G6" s="5" t="n">
        <f aca="false">(D6+4*E6+F6)/6</f>
        <v>15.8333333333333</v>
      </c>
      <c r="H6" s="5" t="n">
        <f aca="false">(F6-D6)/6</f>
        <v>2.5</v>
      </c>
    </row>
    <row r="7" customFormat="false" ht="15" hidden="false" customHeight="true" outlineLevel="0" collapsed="false">
      <c r="A7" s="5" t="s">
        <v>207</v>
      </c>
      <c r="B7" s="5" t="s">
        <v>208</v>
      </c>
      <c r="C7" s="5" t="s">
        <v>209</v>
      </c>
      <c r="D7" s="5" t="n">
        <v>18</v>
      </c>
      <c r="E7" s="5" t="n">
        <v>28</v>
      </c>
      <c r="F7" s="5" t="n">
        <v>45</v>
      </c>
      <c r="G7" s="5" t="n">
        <f aca="false">(D7+4*E7+F7)/6</f>
        <v>29.1666666666667</v>
      </c>
      <c r="H7" s="5" t="n">
        <f aca="false">(F7-D7)/6</f>
        <v>4.5</v>
      </c>
    </row>
    <row r="8" customFormat="false" ht="15" hidden="false" customHeight="true" outlineLevel="0" collapsed="false">
      <c r="A8" s="5" t="s">
        <v>210</v>
      </c>
      <c r="B8" s="5" t="s">
        <v>211</v>
      </c>
      <c r="C8" s="5" t="s">
        <v>46</v>
      </c>
      <c r="D8" s="5" t="n">
        <v>6</v>
      </c>
      <c r="E8" s="5" t="n">
        <v>10</v>
      </c>
      <c r="F8" s="5" t="n">
        <v>18</v>
      </c>
      <c r="G8" s="5" t="n">
        <f aca="false">(D8+4*E8+F8)/6</f>
        <v>10.6666666666667</v>
      </c>
      <c r="H8" s="5" t="n">
        <f aca="false">(F8-D8)/6</f>
        <v>2</v>
      </c>
    </row>
    <row r="9" customFormat="false" ht="15" hidden="false" customHeight="true" outlineLevel="0" collapsed="false">
      <c r="A9" s="5" t="s">
        <v>212</v>
      </c>
      <c r="B9" s="5" t="s">
        <v>213</v>
      </c>
      <c r="C9" s="5" t="s">
        <v>203</v>
      </c>
      <c r="D9" s="5" t="n">
        <v>6</v>
      </c>
      <c r="E9" s="5" t="n">
        <v>12</v>
      </c>
      <c r="F9" s="5" t="n">
        <v>20</v>
      </c>
      <c r="G9" s="5" t="n">
        <f aca="false">(D9+4*E9+F9)/6</f>
        <v>12.3333333333333</v>
      </c>
      <c r="H9" s="5" t="n">
        <f aca="false">(F9-D9)/6</f>
        <v>2.33333333333333</v>
      </c>
    </row>
    <row r="10" customFormat="false" ht="15" hidden="false" customHeight="true" outlineLevel="0" collapsed="false">
      <c r="A10" s="5" t="s">
        <v>214</v>
      </c>
      <c r="B10" s="5" t="s">
        <v>215</v>
      </c>
      <c r="C10" s="5" t="s">
        <v>209</v>
      </c>
      <c r="D10" s="5" t="n">
        <v>15</v>
      </c>
      <c r="E10" s="5" t="n">
        <v>22</v>
      </c>
      <c r="F10" s="5" t="n">
        <v>35</v>
      </c>
      <c r="G10" s="5" t="n">
        <f aca="false">(D10+4*E10+F10)/6</f>
        <v>23</v>
      </c>
      <c r="H10" s="5" t="n">
        <f aca="false">(F10-D10)/6</f>
        <v>3.33333333333333</v>
      </c>
    </row>
    <row r="11" customFormat="false" ht="15" hidden="false" customHeight="true" outlineLevel="0" collapsed="false">
      <c r="B11" s="11" t="s">
        <v>216</v>
      </c>
      <c r="G11" s="11" t="n">
        <f aca="false">SUM(G5:G10)</f>
        <v>103.666666666667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5"/>
    <col collapsed="false" customWidth="true" hidden="false" outlineLevel="0" max="5" min="5" style="1" width="14"/>
    <col collapsed="false" customWidth="true" hidden="false" outlineLevel="0" max="6" min="6" style="1" width="8"/>
  </cols>
  <sheetData>
    <row r="1" customFormat="false" ht="19.5" hidden="false" customHeight="true" outlineLevel="0" collapsed="false">
      <c r="A1" s="2" t="s">
        <v>217</v>
      </c>
    </row>
    <row r="2" customFormat="false" ht="15" hidden="false" customHeight="true" outlineLevel="0" collapsed="false">
      <c r="A2" s="3" t="s">
        <v>218</v>
      </c>
    </row>
    <row r="4" customFormat="false" ht="26.25" hidden="false" customHeight="true" outlineLevel="0" collapsed="false">
      <c r="A4" s="4" t="s">
        <v>219</v>
      </c>
      <c r="B4" s="4" t="s">
        <v>220</v>
      </c>
      <c r="C4" s="4" t="s">
        <v>221</v>
      </c>
      <c r="D4" s="4" t="s">
        <v>222</v>
      </c>
      <c r="E4" s="4" t="s">
        <v>32</v>
      </c>
      <c r="F4" s="4" t="s">
        <v>52</v>
      </c>
    </row>
    <row r="5" customFormat="false" ht="15" hidden="false" customHeight="true" outlineLevel="0" collapsed="false">
      <c r="A5" s="5" t="s">
        <v>223</v>
      </c>
      <c r="B5" s="10" t="s">
        <v>224</v>
      </c>
      <c r="C5" s="10" t="s">
        <v>224</v>
      </c>
      <c r="D5" s="5" t="n">
        <f aca="false">C5-B5</f>
        <v>0</v>
      </c>
      <c r="E5" s="5"/>
      <c r="F5" s="12" t="str">
        <f aca="false">IF(D5&lt;=5,"Green",IF(D5&lt;=14,"Amber","Red"))</f>
        <v>Green</v>
      </c>
    </row>
    <row r="6" customFormat="false" ht="15" hidden="false" customHeight="true" outlineLevel="0" collapsed="false">
      <c r="A6" s="5" t="s">
        <v>225</v>
      </c>
      <c r="B6" s="10" t="s">
        <v>226</v>
      </c>
      <c r="C6" s="10" t="s">
        <v>227</v>
      </c>
      <c r="D6" s="5" t="n">
        <f aca="false">C6-B6</f>
        <v>7</v>
      </c>
      <c r="E6" s="5"/>
      <c r="F6" s="12" t="str">
        <f aca="false">IF(D6&lt;=5,"Green",IF(D6&lt;=14,"Amber","Red"))</f>
        <v>Amber</v>
      </c>
    </row>
    <row r="7" customFormat="false" ht="15" hidden="false" customHeight="true" outlineLevel="0" collapsed="false">
      <c r="A7" s="5" t="s">
        <v>228</v>
      </c>
      <c r="B7" s="10" t="s">
        <v>229</v>
      </c>
      <c r="C7" s="10" t="s">
        <v>230</v>
      </c>
      <c r="D7" s="5" t="n">
        <f aca="false">C7-B7</f>
        <v>14</v>
      </c>
      <c r="E7" s="5"/>
      <c r="F7" s="12" t="str">
        <f aca="false">IF(D7&lt;=5,"Green",IF(D7&lt;=14,"Amber","Red"))</f>
        <v>Amber</v>
      </c>
    </row>
    <row r="8" customFormat="false" ht="15" hidden="false" customHeight="true" outlineLevel="0" collapsed="false">
      <c r="A8" s="5" t="s">
        <v>231</v>
      </c>
      <c r="B8" s="10" t="s">
        <v>232</v>
      </c>
      <c r="C8" s="10" t="s">
        <v>232</v>
      </c>
      <c r="D8" s="5" t="n">
        <f aca="false">C8-B8</f>
        <v>0</v>
      </c>
      <c r="E8" s="5"/>
      <c r="F8" s="12" t="str">
        <f aca="false">IF(D8&lt;=5,"Green",IF(D8&lt;=14,"Amber","Red"))</f>
        <v>Green</v>
      </c>
    </row>
    <row r="9" customFormat="false" ht="15" hidden="false" customHeight="true" outlineLevel="0" collapsed="false">
      <c r="A9" s="5" t="s">
        <v>233</v>
      </c>
      <c r="B9" s="10" t="s">
        <v>152</v>
      </c>
      <c r="C9" s="10" t="s">
        <v>234</v>
      </c>
      <c r="D9" s="5" t="n">
        <f aca="false">C9-B9</f>
        <v>9</v>
      </c>
      <c r="E9" s="5"/>
      <c r="F9" s="12" t="str">
        <f aca="false">IF(D9&lt;=5,"Green",IF(D9&lt;=14,"Amber","Red"))</f>
        <v>Amber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18"/>
    <col collapsed="false" customWidth="true" hidden="false" outlineLevel="0" max="6" min="5" style="1" width="12"/>
    <col collapsed="false" customWidth="true" hidden="false" outlineLevel="0" max="8" min="7" style="1" width="9"/>
  </cols>
  <sheetData>
    <row r="1" customFormat="false" ht="19.5" hidden="false" customHeight="true" outlineLevel="0" collapsed="false">
      <c r="A1" s="2" t="s">
        <v>235</v>
      </c>
    </row>
    <row r="2" customFormat="false" ht="15" hidden="false" customHeight="true" outlineLevel="0" collapsed="false">
      <c r="A2" s="3" t="s">
        <v>236</v>
      </c>
    </row>
    <row r="4" customFormat="false" ht="15" hidden="false" customHeight="true" outlineLevel="0" collapsed="false">
      <c r="A4" s="11" t="s">
        <v>237</v>
      </c>
      <c r="B4" s="13" t="n">
        <v>2400000</v>
      </c>
    </row>
    <row r="6" customFormat="false" ht="26.25" hidden="false" customHeight="true" outlineLevel="0" collapsed="false">
      <c r="A6" s="4" t="s">
        <v>238</v>
      </c>
      <c r="B6" s="4" t="s">
        <v>239</v>
      </c>
      <c r="C6" s="4" t="s">
        <v>240</v>
      </c>
      <c r="D6" s="4" t="s">
        <v>241</v>
      </c>
      <c r="E6" s="4" t="s">
        <v>74</v>
      </c>
      <c r="F6" s="4" t="s">
        <v>76</v>
      </c>
      <c r="G6" s="4" t="s">
        <v>78</v>
      </c>
      <c r="H6" s="4" t="s">
        <v>80</v>
      </c>
    </row>
    <row r="7" customFormat="false" ht="15" hidden="false" customHeight="true" outlineLevel="0" collapsed="false">
      <c r="A7" s="5" t="s">
        <v>242</v>
      </c>
      <c r="B7" s="10" t="n">
        <v>300000</v>
      </c>
      <c r="C7" s="10" t="n">
        <v>290000</v>
      </c>
      <c r="D7" s="10" t="n">
        <v>310000</v>
      </c>
      <c r="E7" s="5" t="n">
        <f aca="false">C7-D7</f>
        <v>-20000</v>
      </c>
      <c r="F7" s="5" t="n">
        <f aca="false">C7-B7</f>
        <v>-10000</v>
      </c>
      <c r="G7" s="5" t="n">
        <f aca="false">IFERROR(C7/D7,0)</f>
        <v>0.935483870967742</v>
      </c>
      <c r="H7" s="5" t="n">
        <f aca="false">IFERROR(C7/B7,0)</f>
        <v>0.966666666666667</v>
      </c>
    </row>
    <row r="8" customFormat="false" ht="15" hidden="false" customHeight="true" outlineLevel="0" collapsed="false">
      <c r="A8" s="5" t="s">
        <v>243</v>
      </c>
      <c r="B8" s="10" t="n">
        <v>640000</v>
      </c>
      <c r="C8" s="10" t="n">
        <v>600000</v>
      </c>
      <c r="D8" s="10" t="n">
        <v>650000</v>
      </c>
      <c r="E8" s="5" t="n">
        <f aca="false">C8-D8</f>
        <v>-50000</v>
      </c>
      <c r="F8" s="5" t="n">
        <f aca="false">C8-B8</f>
        <v>-40000</v>
      </c>
      <c r="G8" s="5" t="n">
        <f aca="false">IFERROR(C8/D8,0)</f>
        <v>0.923076923076923</v>
      </c>
      <c r="H8" s="5" t="n">
        <f aca="false">IFERROR(C8/B8,0)</f>
        <v>0.9375</v>
      </c>
    </row>
    <row r="9" customFormat="false" ht="15" hidden="false" customHeight="true" outlineLevel="0" collapsed="false">
      <c r="A9" s="5" t="s">
        <v>244</v>
      </c>
      <c r="B9" s="10" t="n">
        <v>1100000</v>
      </c>
      <c r="C9" s="10" t="n">
        <v>950000</v>
      </c>
      <c r="D9" s="10" t="n">
        <v>1080000</v>
      </c>
      <c r="E9" s="5" t="n">
        <f aca="false">C9-D9</f>
        <v>-130000</v>
      </c>
      <c r="F9" s="5" t="n">
        <f aca="false">C9-B9</f>
        <v>-150000</v>
      </c>
      <c r="G9" s="5" t="n">
        <f aca="false">IFERROR(C9/D9,0)</f>
        <v>0.87962962962963</v>
      </c>
      <c r="H9" s="5" t="n">
        <f aca="false">IFERROR(C9/B9,0)</f>
        <v>0.863636363636364</v>
      </c>
    </row>
    <row r="11" customFormat="false" ht="15" hidden="false" customHeight="true" outlineLevel="0" collapsed="false">
      <c r="A11" s="11" t="s">
        <v>245</v>
      </c>
      <c r="B11" s="11" t="n">
        <f aca="false">IFERROR($B$4/G9,0)</f>
        <v>2728421.05263158</v>
      </c>
    </row>
    <row r="12" customFormat="false" ht="15" hidden="false" customHeight="true" outlineLevel="0" collapsed="false">
      <c r="A12" s="11" t="s">
        <v>246</v>
      </c>
      <c r="B12" s="11" t="n">
        <f aca="false">$B$4-B11</f>
        <v>-328421.052631579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5"/>
    <col collapsed="false" customWidth="true" hidden="false" outlineLevel="0" max="6" min="5" style="1" width="14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9" min="9" style="1" width="15"/>
    <col collapsed="false" customWidth="true" hidden="false" outlineLevel="0" max="10" min="10" style="1" width="9"/>
    <col collapsed="false" customWidth="true" hidden="false" outlineLevel="0" max="11" min="11" style="1" width="18"/>
    <col collapsed="false" customWidth="true" hidden="false" outlineLevel="0" max="12" min="12" style="1" width="12"/>
  </cols>
  <sheetData>
    <row r="1" customFormat="false" ht="19.5" hidden="false" customHeight="true" outlineLevel="0" collapsed="false">
      <c r="A1" s="2" t="s">
        <v>247</v>
      </c>
    </row>
    <row r="2" customFormat="false" ht="15" hidden="false" customHeight="true" outlineLevel="0" collapsed="false">
      <c r="A2" s="3" t="s">
        <v>248</v>
      </c>
    </row>
    <row r="4" customFormat="false" ht="26.25" hidden="false" customHeight="true" outlineLevel="0" collapsed="false">
      <c r="A4" s="4" t="s">
        <v>249</v>
      </c>
      <c r="B4" s="4" t="s">
        <v>250</v>
      </c>
      <c r="C4" s="4" t="s">
        <v>251</v>
      </c>
      <c r="D4" s="4" t="s">
        <v>252</v>
      </c>
      <c r="E4" s="4" t="s">
        <v>253</v>
      </c>
      <c r="F4" s="4" t="s">
        <v>254</v>
      </c>
      <c r="G4" s="4" t="s">
        <v>255</v>
      </c>
      <c r="H4" s="4" t="s">
        <v>256</v>
      </c>
      <c r="I4" s="4" t="s">
        <v>257</v>
      </c>
      <c r="J4" s="4" t="s">
        <v>258</v>
      </c>
      <c r="K4" s="4" t="s">
        <v>259</v>
      </c>
      <c r="L4" s="4" t="s">
        <v>32</v>
      </c>
    </row>
    <row r="5" customFormat="false" ht="15" hidden="false" customHeight="true" outlineLevel="0" collapsed="false">
      <c r="A5" s="5" t="s">
        <v>260</v>
      </c>
      <c r="B5" s="5" t="s">
        <v>261</v>
      </c>
      <c r="C5" s="5" t="s">
        <v>262</v>
      </c>
      <c r="D5" s="10" t="n">
        <v>0</v>
      </c>
      <c r="E5" s="10" t="n">
        <v>32</v>
      </c>
      <c r="F5" s="5" t="n">
        <f aca="false">D5*E5</f>
        <v>0</v>
      </c>
      <c r="G5" s="10" t="n">
        <v>210</v>
      </c>
      <c r="H5" s="10" t="n">
        <v>520</v>
      </c>
      <c r="I5" s="5" t="n">
        <f aca="false">D5*H5</f>
        <v>0</v>
      </c>
      <c r="J5" s="14" t="n">
        <f aca="false">IFERROR((D5*G5)/I5,0)</f>
        <v>0</v>
      </c>
      <c r="K5" s="5" t="s">
        <v>263</v>
      </c>
      <c r="L5" s="5" t="s">
        <v>264</v>
      </c>
    </row>
    <row r="6" customFormat="false" ht="15" hidden="false" customHeight="true" outlineLevel="0" collapsed="false">
      <c r="A6" s="5" t="s">
        <v>265</v>
      </c>
      <c r="B6" s="5" t="s">
        <v>261</v>
      </c>
      <c r="C6" s="5" t="s">
        <v>266</v>
      </c>
      <c r="D6" s="10" t="n">
        <v>0</v>
      </c>
      <c r="E6" s="10" t="n">
        <v>30</v>
      </c>
      <c r="F6" s="5" t="n">
        <f aca="false">D6*E6</f>
        <v>0</v>
      </c>
      <c r="G6" s="10" t="n">
        <v>180</v>
      </c>
      <c r="H6" s="10" t="n">
        <v>520</v>
      </c>
      <c r="I6" s="5" t="n">
        <f aca="false">D6*H6</f>
        <v>0</v>
      </c>
      <c r="J6" s="14" t="n">
        <f aca="false">IFERROR((D6*G6)/I6,0)</f>
        <v>0</v>
      </c>
      <c r="K6" s="5" t="s">
        <v>263</v>
      </c>
      <c r="L6" s="5" t="s">
        <v>264</v>
      </c>
    </row>
    <row r="7" customFormat="false" ht="26.25" hidden="false" customHeight="true" outlineLevel="0" collapsed="false">
      <c r="A7" s="5" t="s">
        <v>267</v>
      </c>
      <c r="B7" s="5" t="s">
        <v>268</v>
      </c>
      <c r="C7" s="5" t="s">
        <v>269</v>
      </c>
      <c r="D7" s="10" t="n">
        <v>145</v>
      </c>
      <c r="E7" s="10" t="n">
        <v>38</v>
      </c>
      <c r="F7" s="5" t="n">
        <f aca="false">D7*E7</f>
        <v>5510</v>
      </c>
      <c r="G7" s="10" t="n">
        <v>360</v>
      </c>
      <c r="H7" s="10" t="n">
        <v>640</v>
      </c>
      <c r="I7" s="5" t="n">
        <f aca="false">D7*H7</f>
        <v>92800</v>
      </c>
      <c r="J7" s="14" t="n">
        <f aca="false">IFERROR((D7*G7)/I7,0)</f>
        <v>0.5625</v>
      </c>
      <c r="K7" s="5" t="s">
        <v>270</v>
      </c>
      <c r="L7" s="5" t="s">
        <v>271</v>
      </c>
    </row>
    <row r="8" customFormat="false" ht="15" hidden="false" customHeight="true" outlineLevel="0" collapsed="false">
      <c r="A8" s="5" t="s">
        <v>272</v>
      </c>
      <c r="B8" s="5" t="s">
        <v>268</v>
      </c>
      <c r="C8" s="5" t="s">
        <v>273</v>
      </c>
      <c r="D8" s="10" t="n">
        <v>160</v>
      </c>
      <c r="E8" s="10" t="n">
        <v>12</v>
      </c>
      <c r="F8" s="5" t="n">
        <f aca="false">D8*E8</f>
        <v>1920</v>
      </c>
      <c r="G8" s="10" t="n">
        <v>12</v>
      </c>
      <c r="H8" s="10" t="n">
        <v>160</v>
      </c>
      <c r="I8" s="5" t="n">
        <f aca="false">D8*H8</f>
        <v>25600</v>
      </c>
      <c r="J8" s="14" t="n">
        <f aca="false">IFERROR((D8*G8)/I8,0)</f>
        <v>0.075</v>
      </c>
      <c r="K8" s="5" t="s">
        <v>274</v>
      </c>
      <c r="L8" s="5" t="s">
        <v>275</v>
      </c>
    </row>
    <row r="9" customFormat="false" ht="15" hidden="false" customHeight="true" outlineLevel="0" collapsed="false">
      <c r="A9" s="11" t="s">
        <v>276</v>
      </c>
      <c r="F9" s="11" t="n">
        <f aca="false">SUM(F5:F8)</f>
        <v>7430</v>
      </c>
      <c r="I9" s="11" t="n">
        <f aca="false">SUM(I5:I8)</f>
        <v>118400</v>
      </c>
    </row>
    <row r="11" customFormat="false" ht="15" hidden="false" customHeight="true" outlineLevel="0" collapsed="false">
      <c r="A11" s="3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4"/>
    <col collapsed="false" customWidth="true" hidden="false" outlineLevel="0" max="3" min="3" style="1" width="11"/>
    <col collapsed="false" customWidth="true" hidden="false" outlineLevel="0" max="5" min="4" style="1" width="5"/>
    <col collapsed="false" customWidth="true" hidden="false" outlineLevel="0" max="6" min="6" style="1" width="10"/>
    <col collapsed="false" customWidth="true" hidden="false" outlineLevel="0" max="7" min="7" style="1" width="28"/>
    <col collapsed="false" customWidth="true" hidden="false" outlineLevel="0" max="8" min="8" style="1" width="12"/>
    <col collapsed="false" customWidth="true" hidden="false" outlineLevel="0" max="10" min="9" style="1" width="7"/>
    <col collapsed="false" customWidth="true" hidden="false" outlineLevel="0" max="11" min="11" style="1" width="10"/>
    <col collapsed="false" customWidth="true" hidden="false" outlineLevel="0" max="12" min="12" style="1" width="12"/>
  </cols>
  <sheetData>
    <row r="1" customFormat="false" ht="19.5" hidden="false" customHeight="true" outlineLevel="0" collapsed="false">
      <c r="A1" s="2" t="s">
        <v>278</v>
      </c>
    </row>
    <row r="2" customFormat="false" ht="15" hidden="false" customHeight="true" outlineLevel="0" collapsed="false">
      <c r="A2" s="3" t="s">
        <v>279</v>
      </c>
    </row>
    <row r="4" customFormat="false" ht="15" hidden="false" customHeight="true" outlineLevel="0" collapsed="false">
      <c r="A4" s="4" t="s">
        <v>280</v>
      </c>
      <c r="B4" s="4" t="s">
        <v>281</v>
      </c>
      <c r="C4" s="4" t="s">
        <v>282</v>
      </c>
      <c r="D4" s="4" t="s">
        <v>283</v>
      </c>
      <c r="E4" s="4" t="s">
        <v>284</v>
      </c>
      <c r="F4" s="4" t="s">
        <v>285</v>
      </c>
      <c r="G4" s="4" t="s">
        <v>286</v>
      </c>
      <c r="H4" s="4" t="s">
        <v>195</v>
      </c>
      <c r="I4" s="4" t="s">
        <v>287</v>
      </c>
      <c r="J4" s="4" t="s">
        <v>288</v>
      </c>
      <c r="K4" s="4" t="s">
        <v>289</v>
      </c>
      <c r="L4" s="4" t="s">
        <v>32</v>
      </c>
    </row>
    <row r="5" customFormat="false" ht="26.25" hidden="false" customHeight="true" outlineLevel="0" collapsed="false">
      <c r="A5" s="5" t="s">
        <v>290</v>
      </c>
      <c r="B5" s="5" t="s">
        <v>291</v>
      </c>
      <c r="C5" s="5" t="s">
        <v>292</v>
      </c>
      <c r="D5" s="5" t="n">
        <v>4</v>
      </c>
      <c r="E5" s="5" t="n">
        <v>4</v>
      </c>
      <c r="F5" s="5" t="n">
        <f aca="false">D5*E5</f>
        <v>16</v>
      </c>
      <c r="G5" s="5" t="s">
        <v>293</v>
      </c>
      <c r="H5" s="5" t="s">
        <v>46</v>
      </c>
      <c r="I5" s="5" t="n">
        <v>2</v>
      </c>
      <c r="J5" s="5" t="n">
        <v>4</v>
      </c>
      <c r="K5" s="5" t="n">
        <f aca="false">I5*J5</f>
        <v>8</v>
      </c>
      <c r="L5" s="5" t="s">
        <v>294</v>
      </c>
    </row>
    <row r="6" customFormat="false" ht="26.25" hidden="false" customHeight="true" outlineLevel="0" collapsed="false">
      <c r="A6" s="5" t="s">
        <v>295</v>
      </c>
      <c r="B6" s="5" t="s">
        <v>296</v>
      </c>
      <c r="C6" s="5" t="s">
        <v>297</v>
      </c>
      <c r="D6" s="5" t="n">
        <v>3</v>
      </c>
      <c r="E6" s="5" t="n">
        <v>5</v>
      </c>
      <c r="F6" s="5" t="n">
        <f aca="false">D6*E6</f>
        <v>15</v>
      </c>
      <c r="G6" s="5" t="s">
        <v>298</v>
      </c>
      <c r="H6" s="5" t="s">
        <v>179</v>
      </c>
      <c r="I6" s="5" t="n">
        <v>2</v>
      </c>
      <c r="J6" s="5" t="n">
        <v>3</v>
      </c>
      <c r="K6" s="5" t="n">
        <f aca="false">I6*J6</f>
        <v>6</v>
      </c>
      <c r="L6" s="5" t="s">
        <v>294</v>
      </c>
    </row>
    <row r="7" customFormat="false" ht="26.25" hidden="false" customHeight="true" outlineLevel="0" collapsed="false">
      <c r="A7" s="5" t="s">
        <v>299</v>
      </c>
      <c r="B7" s="5" t="s">
        <v>300</v>
      </c>
      <c r="C7" s="5" t="s">
        <v>301</v>
      </c>
      <c r="D7" s="5" t="n">
        <v>3</v>
      </c>
      <c r="E7" s="5" t="n">
        <v>3</v>
      </c>
      <c r="F7" s="5" t="n">
        <f aca="false">D7*E7</f>
        <v>9</v>
      </c>
      <c r="G7" s="5" t="s">
        <v>302</v>
      </c>
      <c r="H7" s="5" t="s">
        <v>109</v>
      </c>
      <c r="I7" s="5" t="n">
        <v>2</v>
      </c>
      <c r="J7" s="5" t="n">
        <v>2</v>
      </c>
      <c r="K7" s="5" t="n">
        <f aca="false">I7*J7</f>
        <v>4</v>
      </c>
      <c r="L7" s="5" t="s">
        <v>303</v>
      </c>
    </row>
    <row r="8" customFormat="false" ht="15" hidden="false" customHeight="true" outlineLevel="0" collapsed="false">
      <c r="A8" s="5" t="s">
        <v>304</v>
      </c>
      <c r="B8" s="5" t="s">
        <v>305</v>
      </c>
      <c r="C8" s="5" t="s">
        <v>12</v>
      </c>
      <c r="D8" s="5" t="n">
        <v>5</v>
      </c>
      <c r="E8" s="5" t="n">
        <v>2</v>
      </c>
      <c r="F8" s="5" t="n">
        <f aca="false">D8*E8</f>
        <v>10</v>
      </c>
      <c r="G8" s="5" t="s">
        <v>306</v>
      </c>
      <c r="H8" s="5" t="s">
        <v>46</v>
      </c>
      <c r="I8" s="5" t="n">
        <v>5</v>
      </c>
      <c r="J8" s="5" t="n">
        <v>2</v>
      </c>
      <c r="K8" s="5" t="n">
        <f aca="false">I8*J8</f>
        <v>10</v>
      </c>
      <c r="L8" s="5" t="s">
        <v>307</v>
      </c>
    </row>
    <row r="10" customFormat="false" ht="15" hidden="false" customHeight="true" outlineLevel="0" collapsed="false">
      <c r="B10" s="11" t="s">
        <v>308</v>
      </c>
      <c r="K10" s="11" t="n">
        <f aca="false">SUM(K5:K8)</f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4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</cols>
  <sheetData>
    <row r="1" customFormat="false" ht="19.5" hidden="false" customHeight="true" outlineLevel="0" collapsed="false">
      <c r="A1" s="2" t="s">
        <v>309</v>
      </c>
    </row>
    <row r="4" customFormat="false" ht="15" hidden="false" customHeight="true" outlineLevel="0" collapsed="false">
      <c r="A4" s="4" t="s">
        <v>280</v>
      </c>
      <c r="B4" s="4" t="s">
        <v>250</v>
      </c>
      <c r="C4" s="4" t="s">
        <v>310</v>
      </c>
      <c r="D4" s="4" t="s">
        <v>311</v>
      </c>
      <c r="E4" s="4" t="s">
        <v>195</v>
      </c>
      <c r="F4" s="4" t="s">
        <v>312</v>
      </c>
      <c r="G4" s="4" t="s">
        <v>32</v>
      </c>
    </row>
    <row r="5" customFormat="false" ht="15" hidden="false" customHeight="true" outlineLevel="0" collapsed="false">
      <c r="A5" s="5" t="s">
        <v>313</v>
      </c>
      <c r="B5" s="5" t="s">
        <v>314</v>
      </c>
      <c r="C5" s="5" t="s">
        <v>315</v>
      </c>
      <c r="D5" s="5" t="s">
        <v>263</v>
      </c>
      <c r="E5" s="5" t="s">
        <v>209</v>
      </c>
      <c r="F5" s="5" t="s">
        <v>316</v>
      </c>
      <c r="G5" s="5" t="s">
        <v>303</v>
      </c>
    </row>
    <row r="6" customFormat="false" ht="15" hidden="false" customHeight="true" outlineLevel="0" collapsed="false">
      <c r="A6" s="5" t="s">
        <v>317</v>
      </c>
      <c r="B6" s="5" t="s">
        <v>318</v>
      </c>
      <c r="C6" s="5" t="s">
        <v>319</v>
      </c>
      <c r="D6" s="5" t="s">
        <v>320</v>
      </c>
      <c r="E6" s="5" t="s">
        <v>321</v>
      </c>
      <c r="F6" s="5" t="s">
        <v>322</v>
      </c>
      <c r="G6" s="5" t="s">
        <v>303</v>
      </c>
    </row>
    <row r="7" customFormat="false" ht="26.25" hidden="false" customHeight="true" outlineLevel="0" collapsed="false">
      <c r="A7" s="5" t="s">
        <v>323</v>
      </c>
      <c r="B7" s="5" t="s">
        <v>324</v>
      </c>
      <c r="C7" s="5" t="s">
        <v>325</v>
      </c>
      <c r="D7" s="5" t="s">
        <v>263</v>
      </c>
      <c r="E7" s="5" t="s">
        <v>326</v>
      </c>
      <c r="F7" s="5" t="s">
        <v>327</v>
      </c>
      <c r="G7" s="5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4"/>
    <col collapsed="false" customWidth="true" hidden="false" outlineLevel="0" max="3" min="3" style="1" width="9"/>
    <col collapsed="false" customWidth="true" hidden="false" outlineLevel="0" max="5" min="4" style="1" width="12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11"/>
  </cols>
  <sheetData>
    <row r="1" customFormat="false" ht="19.5" hidden="false" customHeight="true" outlineLevel="0" collapsed="false">
      <c r="A1" s="2" t="s">
        <v>329</v>
      </c>
    </row>
    <row r="2" customFormat="false" ht="15" hidden="false" customHeight="true" outlineLevel="0" collapsed="false">
      <c r="A2" s="3" t="s">
        <v>330</v>
      </c>
    </row>
    <row r="4" customFormat="false" ht="26.25" hidden="false" customHeight="true" outlineLevel="0" collapsed="false">
      <c r="A4" s="4" t="s">
        <v>331</v>
      </c>
      <c r="B4" s="4" t="s">
        <v>332</v>
      </c>
      <c r="C4" s="4" t="s">
        <v>333</v>
      </c>
      <c r="D4" s="4" t="s">
        <v>334</v>
      </c>
      <c r="E4" s="4" t="s">
        <v>335</v>
      </c>
      <c r="F4" s="4" t="s">
        <v>336</v>
      </c>
      <c r="G4" s="4" t="s">
        <v>337</v>
      </c>
      <c r="H4" s="4" t="s">
        <v>338</v>
      </c>
    </row>
    <row r="5" customFormat="false" ht="26.25" hidden="false" customHeight="true" outlineLevel="0" collapsed="false">
      <c r="A5" s="5" t="s">
        <v>339</v>
      </c>
      <c r="B5" s="5" t="s">
        <v>340</v>
      </c>
      <c r="C5" s="5" t="s">
        <v>341</v>
      </c>
      <c r="D5" s="5" t="s">
        <v>342</v>
      </c>
      <c r="E5" s="5" t="s">
        <v>343</v>
      </c>
      <c r="F5" s="5" t="s">
        <v>344</v>
      </c>
      <c r="G5" s="5" t="s">
        <v>345</v>
      </c>
      <c r="H5" s="5" t="s">
        <v>346</v>
      </c>
    </row>
    <row r="6" customFormat="false" ht="26.25" hidden="false" customHeight="true" outlineLevel="0" collapsed="false">
      <c r="A6" s="5" t="s">
        <v>347</v>
      </c>
      <c r="B6" s="5" t="s">
        <v>348</v>
      </c>
      <c r="C6" s="5" t="s">
        <v>349</v>
      </c>
      <c r="D6" s="5" t="s">
        <v>350</v>
      </c>
      <c r="E6" s="5" t="s">
        <v>351</v>
      </c>
      <c r="F6" s="5" t="s">
        <v>352</v>
      </c>
      <c r="G6" s="5" t="s">
        <v>353</v>
      </c>
      <c r="H6" s="5" t="s">
        <v>354</v>
      </c>
    </row>
    <row r="7" customFormat="false" ht="26.25" hidden="false" customHeight="true" outlineLevel="0" collapsed="false">
      <c r="A7" s="5" t="s">
        <v>355</v>
      </c>
      <c r="B7" s="5" t="s">
        <v>356</v>
      </c>
      <c r="C7" s="5" t="s">
        <v>357</v>
      </c>
      <c r="D7" s="5" t="s">
        <v>263</v>
      </c>
      <c r="E7" s="5" t="s">
        <v>263</v>
      </c>
      <c r="F7" s="5" t="s">
        <v>263</v>
      </c>
      <c r="G7" s="5" t="s">
        <v>358</v>
      </c>
      <c r="H7" s="5" t="s">
        <v>359</v>
      </c>
    </row>
    <row r="9" customFormat="false" ht="15" hidden="false" customHeight="true" outlineLevel="0" collapsed="false">
      <c r="B9" s="11" t="s">
        <v>360</v>
      </c>
      <c r="G9" s="15" t="n">
        <f aca="false">IFERROR(COUNTIF(G5:G7,"Pass")/COUNTA(A5:A7),0)</f>
        <v>0.333333333333333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5" min="5" style="1" width="13"/>
    <col collapsed="false" customWidth="true" hidden="false" outlineLevel="0" max="7" min="6" style="1" width="12"/>
  </cols>
  <sheetData>
    <row r="1" customFormat="false" ht="19.5" hidden="false" customHeight="true" outlineLevel="0" collapsed="false">
      <c r="A1" s="2" t="s">
        <v>361</v>
      </c>
    </row>
    <row r="4" customFormat="false" ht="26.25" hidden="false" customHeight="true" outlineLevel="0" collapsed="false">
      <c r="A4" s="4" t="s">
        <v>280</v>
      </c>
      <c r="B4" s="4" t="s">
        <v>362</v>
      </c>
      <c r="C4" s="4" t="s">
        <v>363</v>
      </c>
      <c r="D4" s="4" t="s">
        <v>364</v>
      </c>
      <c r="E4" s="4" t="s">
        <v>365</v>
      </c>
      <c r="F4" s="4" t="s">
        <v>32</v>
      </c>
      <c r="G4" s="4" t="s">
        <v>366</v>
      </c>
    </row>
    <row r="5" customFormat="false" ht="15" hidden="false" customHeight="true" outlineLevel="0" collapsed="false">
      <c r="A5" s="5" t="s">
        <v>367</v>
      </c>
      <c r="B5" s="5" t="s">
        <v>368</v>
      </c>
      <c r="C5" s="5" t="s">
        <v>123</v>
      </c>
      <c r="D5" s="5" t="s">
        <v>369</v>
      </c>
      <c r="E5" s="5" t="s">
        <v>327</v>
      </c>
      <c r="F5" s="5" t="s">
        <v>328</v>
      </c>
      <c r="G5" s="5" t="n">
        <v>-3</v>
      </c>
    </row>
    <row r="6" customFormat="false" ht="15" hidden="false" customHeight="true" outlineLevel="0" collapsed="false">
      <c r="A6" s="5" t="s">
        <v>370</v>
      </c>
      <c r="B6" s="5" t="s">
        <v>371</v>
      </c>
      <c r="C6" s="5" t="s">
        <v>123</v>
      </c>
      <c r="D6" s="5" t="s">
        <v>372</v>
      </c>
      <c r="E6" s="5" t="s">
        <v>373</v>
      </c>
      <c r="F6" s="5" t="s">
        <v>374</v>
      </c>
      <c r="G6" s="5" t="n">
        <v>6</v>
      </c>
    </row>
    <row r="7" customFormat="false" ht="26.25" hidden="false" customHeight="true" outlineLevel="0" collapsed="false">
      <c r="A7" s="5" t="s">
        <v>375</v>
      </c>
      <c r="B7" s="5" t="s">
        <v>376</v>
      </c>
      <c r="C7" s="5" t="s">
        <v>125</v>
      </c>
      <c r="D7" s="5" t="s">
        <v>377</v>
      </c>
      <c r="E7" s="5" t="s">
        <v>378</v>
      </c>
      <c r="F7" s="5" t="s">
        <v>374</v>
      </c>
      <c r="G7" s="5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30"/>
    <col collapsed="false" customWidth="true" hidden="false" outlineLevel="0" max="4" min="4" style="1" width="28"/>
    <col collapsed="false" customWidth="true" hidden="false" outlineLevel="0" max="6" min="5" style="1" width="12"/>
    <col collapsed="false" customWidth="true" hidden="false" outlineLevel="0" max="7" min="7" style="1" width="10"/>
  </cols>
  <sheetData>
    <row r="1" customFormat="false" ht="19.5" hidden="false" customHeight="true" outlineLevel="0" collapsed="false">
      <c r="A1" s="2" t="s">
        <v>379</v>
      </c>
    </row>
    <row r="4" customFormat="false" ht="15" hidden="false" customHeight="true" outlineLevel="0" collapsed="false">
      <c r="A4" s="4" t="s">
        <v>280</v>
      </c>
      <c r="B4" s="4" t="s">
        <v>250</v>
      </c>
      <c r="C4" s="4" t="s">
        <v>380</v>
      </c>
      <c r="D4" s="4" t="s">
        <v>381</v>
      </c>
      <c r="E4" s="4" t="s">
        <v>382</v>
      </c>
      <c r="F4" s="4" t="s">
        <v>383</v>
      </c>
      <c r="G4" s="4" t="s">
        <v>32</v>
      </c>
    </row>
    <row r="5" customFormat="false" ht="26.25" hidden="false" customHeight="true" outlineLevel="0" collapsed="false">
      <c r="A5" s="5" t="s">
        <v>384</v>
      </c>
      <c r="B5" s="5" t="s">
        <v>385</v>
      </c>
      <c r="C5" s="5" t="s">
        <v>386</v>
      </c>
      <c r="D5" s="5" t="s">
        <v>387</v>
      </c>
      <c r="E5" s="5" t="s">
        <v>388</v>
      </c>
      <c r="F5" s="5" t="s">
        <v>389</v>
      </c>
      <c r="G5" s="5" t="s">
        <v>390</v>
      </c>
    </row>
    <row r="6" customFormat="false" ht="15" hidden="false" customHeight="true" outlineLevel="0" collapsed="false">
      <c r="A6" s="5" t="s">
        <v>391</v>
      </c>
      <c r="B6" s="5" t="s">
        <v>392</v>
      </c>
      <c r="C6" s="5" t="s">
        <v>393</v>
      </c>
      <c r="D6" s="5" t="s">
        <v>394</v>
      </c>
      <c r="E6" s="5" t="s">
        <v>146</v>
      </c>
      <c r="F6" s="5" t="s">
        <v>395</v>
      </c>
      <c r="G6" s="5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2"/>
  </cols>
  <sheetData>
    <row r="1" customFormat="false" ht="19.5" hidden="false" customHeight="true" outlineLevel="0" collapsed="false">
      <c r="A1" s="2" t="s">
        <v>397</v>
      </c>
    </row>
    <row r="2" customFormat="false" ht="15" hidden="false" customHeight="true" outlineLevel="0" collapsed="false">
      <c r="A2" s="3" t="s">
        <v>398</v>
      </c>
    </row>
    <row r="4" customFormat="false" ht="26.25" hidden="false" customHeight="true" outlineLevel="0" collapsed="false">
      <c r="A4" s="4" t="s">
        <v>399</v>
      </c>
      <c r="B4" s="4" t="s">
        <v>310</v>
      </c>
      <c r="C4" s="4" t="s">
        <v>400</v>
      </c>
      <c r="D4" s="4" t="s">
        <v>401</v>
      </c>
      <c r="E4" s="4" t="s">
        <v>402</v>
      </c>
      <c r="F4" s="4" t="s">
        <v>403</v>
      </c>
      <c r="G4" s="4" t="s">
        <v>404</v>
      </c>
      <c r="H4" s="4" t="s">
        <v>405</v>
      </c>
    </row>
    <row r="5" customFormat="false" ht="26.25" hidden="false" customHeight="true" outlineLevel="0" collapsed="false">
      <c r="A5" s="5" t="s">
        <v>406</v>
      </c>
      <c r="B5" s="5" t="s">
        <v>407</v>
      </c>
      <c r="C5" s="5" t="s">
        <v>408</v>
      </c>
      <c r="D5" s="5" t="n">
        <v>5</v>
      </c>
      <c r="E5" s="5" t="n">
        <v>18000</v>
      </c>
      <c r="F5" s="5" t="s">
        <v>409</v>
      </c>
      <c r="G5" s="5" t="s">
        <v>410</v>
      </c>
      <c r="H5" s="5" t="s">
        <v>358</v>
      </c>
    </row>
    <row r="6" customFormat="false" ht="26.25" hidden="false" customHeight="true" outlineLevel="0" collapsed="false">
      <c r="A6" s="5" t="s">
        <v>411</v>
      </c>
      <c r="B6" s="5" t="s">
        <v>412</v>
      </c>
      <c r="C6" s="5" t="s">
        <v>413</v>
      </c>
      <c r="D6" s="5" t="n">
        <v>3</v>
      </c>
      <c r="E6" s="5" t="n">
        <v>22000</v>
      </c>
      <c r="F6" s="5" t="s">
        <v>414</v>
      </c>
      <c r="G6" s="5" t="s">
        <v>415</v>
      </c>
      <c r="H6" s="5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9"/>
    <col collapsed="false" customWidth="true" hidden="false" outlineLevel="0" max="5" min="5" style="1" width="10"/>
  </cols>
  <sheetData>
    <row r="1" customFormat="false" ht="19.5" hidden="false" customHeight="true" outlineLevel="0" collapsed="false">
      <c r="A1" s="2" t="s">
        <v>416</v>
      </c>
    </row>
    <row r="2" customFormat="false" ht="15" hidden="false" customHeight="true" outlineLevel="0" collapsed="false">
      <c r="A2" s="3" t="s">
        <v>417</v>
      </c>
    </row>
    <row r="4" customFormat="false" ht="15" hidden="false" customHeight="true" outlineLevel="0" collapsed="false">
      <c r="A4" s="4" t="s">
        <v>418</v>
      </c>
      <c r="B4" s="4" t="s">
        <v>419</v>
      </c>
      <c r="C4" s="4" t="s">
        <v>420</v>
      </c>
      <c r="D4" s="4" t="s">
        <v>337</v>
      </c>
      <c r="E4" s="4" t="s">
        <v>421</v>
      </c>
    </row>
    <row r="5" customFormat="false" ht="26.25" hidden="false" customHeight="true" outlineLevel="0" collapsed="false">
      <c r="A5" s="5" t="s">
        <v>344</v>
      </c>
      <c r="B5" s="5" t="s">
        <v>422</v>
      </c>
      <c r="C5" s="5" t="s">
        <v>423</v>
      </c>
      <c r="D5" s="5" t="s">
        <v>345</v>
      </c>
      <c r="E5" s="5"/>
    </row>
    <row r="6" customFormat="false" ht="15" hidden="false" customHeight="true" outlineLevel="0" collapsed="false">
      <c r="A6" s="5" t="s">
        <v>424</v>
      </c>
      <c r="B6" s="5" t="s">
        <v>425</v>
      </c>
      <c r="C6" s="5" t="s">
        <v>426</v>
      </c>
      <c r="D6" s="5" t="s">
        <v>345</v>
      </c>
      <c r="E6" s="5"/>
    </row>
    <row r="7" customFormat="false" ht="15" hidden="false" customHeight="true" outlineLevel="0" collapsed="false">
      <c r="A7" s="5" t="s">
        <v>352</v>
      </c>
      <c r="B7" s="5" t="s">
        <v>427</v>
      </c>
      <c r="C7" s="5" t="s">
        <v>428</v>
      </c>
      <c r="D7" s="5" t="s">
        <v>353</v>
      </c>
      <c r="E7" s="5" t="s">
        <v>429</v>
      </c>
    </row>
    <row r="8" customFormat="false" ht="15" hidden="false" customHeight="true" outlineLevel="0" collapsed="false">
      <c r="A8" s="5" t="s">
        <v>430</v>
      </c>
      <c r="B8" s="5" t="s">
        <v>431</v>
      </c>
      <c r="C8" s="5" t="s">
        <v>426</v>
      </c>
      <c r="D8" s="5" t="s">
        <v>345</v>
      </c>
      <c r="E8" s="5"/>
    </row>
    <row r="10" customFormat="false" ht="15" hidden="false" customHeight="true" outlineLevel="0" collapsed="false">
      <c r="B10" s="11" t="s">
        <v>432</v>
      </c>
      <c r="D10" s="15" t="n">
        <f aca="false">IFERROR(COUNTIF(D5:D8,"Pass")/COUNTA(D5:D8),0)</f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28"/>
  </cols>
  <sheetData>
    <row r="1" customFormat="false" ht="19.5" hidden="false" customHeight="true" outlineLevel="0" collapsed="false">
      <c r="A1" s="2" t="s">
        <v>30</v>
      </c>
    </row>
    <row r="4" customFormat="false" ht="15" hidden="false" customHeight="true" outlineLevel="0" collapsed="false">
      <c r="A4" s="4" t="s">
        <v>280</v>
      </c>
      <c r="B4" s="4" t="s">
        <v>433</v>
      </c>
      <c r="C4" s="4" t="s">
        <v>318</v>
      </c>
      <c r="D4" s="4" t="s">
        <v>434</v>
      </c>
      <c r="E4" s="4" t="s">
        <v>195</v>
      </c>
      <c r="F4" s="4" t="s">
        <v>435</v>
      </c>
      <c r="G4" s="4" t="s">
        <v>436</v>
      </c>
      <c r="H4" s="4" t="s">
        <v>437</v>
      </c>
    </row>
    <row r="5" customFormat="false" ht="26.25" hidden="false" customHeight="true" outlineLevel="0" collapsed="false">
      <c r="A5" s="5" t="s">
        <v>438</v>
      </c>
      <c r="B5" s="5" t="s">
        <v>439</v>
      </c>
      <c r="C5" s="5" t="s">
        <v>440</v>
      </c>
      <c r="D5" s="5" t="s">
        <v>441</v>
      </c>
      <c r="E5" s="5" t="s">
        <v>46</v>
      </c>
      <c r="F5" s="5" t="n">
        <v>48</v>
      </c>
      <c r="G5" s="5" t="s">
        <v>442</v>
      </c>
      <c r="H5" s="5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18"/>
    <col collapsed="false" customWidth="true" hidden="false" outlineLevel="0" max="7" min="7" style="1" width="20"/>
  </cols>
  <sheetData>
    <row r="1" customFormat="false" ht="19.5" hidden="false" customHeight="true" outlineLevel="0" collapsed="false">
      <c r="A1" s="2" t="s">
        <v>444</v>
      </c>
    </row>
    <row r="2" customFormat="false" ht="15" hidden="false" customHeight="true" outlineLevel="0" collapsed="false">
      <c r="A2" s="3" t="s">
        <v>445</v>
      </c>
    </row>
    <row r="4" customFormat="false" ht="26.25" hidden="false" customHeight="true" outlineLevel="0" collapsed="false">
      <c r="A4" s="4" t="s">
        <v>446</v>
      </c>
      <c r="B4" s="4" t="s">
        <v>447</v>
      </c>
      <c r="C4" s="4" t="s">
        <v>448</v>
      </c>
      <c r="D4" s="4" t="s">
        <v>449</v>
      </c>
      <c r="E4" s="4" t="s">
        <v>450</v>
      </c>
      <c r="F4" s="4" t="s">
        <v>451</v>
      </c>
      <c r="G4" s="4" t="s">
        <v>452</v>
      </c>
    </row>
    <row r="5" customFormat="false" ht="15" hidden="false" customHeight="true" outlineLevel="0" collapsed="false">
      <c r="A5" s="5" t="s">
        <v>244</v>
      </c>
      <c r="B5" s="5" t="s">
        <v>453</v>
      </c>
      <c r="C5" s="5" t="s">
        <v>158</v>
      </c>
      <c r="D5" s="5" t="s">
        <v>158</v>
      </c>
      <c r="E5" s="5" t="s">
        <v>158</v>
      </c>
      <c r="F5" s="5" t="s">
        <v>454</v>
      </c>
      <c r="G5" s="5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2"/>
    <col collapsed="false" customWidth="true" hidden="false" outlineLevel="0" max="3" min="3" style="1" width="24"/>
    <col collapsed="false" customWidth="true" hidden="false" outlineLevel="0" max="4" min="4" style="1" width="30"/>
    <col collapsed="false" customWidth="true" hidden="false" outlineLevel="0" max="6" min="5" style="1" width="10"/>
  </cols>
  <sheetData>
    <row r="1" customFormat="false" ht="19.5" hidden="false" customHeight="true" outlineLevel="0" collapsed="false">
      <c r="A1" s="2" t="s">
        <v>455</v>
      </c>
    </row>
    <row r="4" customFormat="false" ht="15" hidden="false" customHeight="true" outlineLevel="0" collapsed="false">
      <c r="A4" s="4" t="s">
        <v>280</v>
      </c>
      <c r="B4" s="4" t="s">
        <v>456</v>
      </c>
      <c r="C4" s="4" t="s">
        <v>457</v>
      </c>
      <c r="D4" s="4" t="s">
        <v>404</v>
      </c>
      <c r="E4" s="4" t="s">
        <v>195</v>
      </c>
      <c r="F4" s="4" t="s">
        <v>32</v>
      </c>
    </row>
    <row r="5" customFormat="false" ht="26.25" hidden="false" customHeight="true" outlineLevel="0" collapsed="false">
      <c r="A5" s="5" t="s">
        <v>458</v>
      </c>
      <c r="B5" s="5" t="s">
        <v>459</v>
      </c>
      <c r="C5" s="5" t="s">
        <v>460</v>
      </c>
      <c r="D5" s="5" t="s">
        <v>461</v>
      </c>
      <c r="E5" s="5" t="s">
        <v>46</v>
      </c>
      <c r="F5" s="5" t="s">
        <v>303</v>
      </c>
    </row>
    <row r="6" customFormat="false" ht="26.25" hidden="false" customHeight="true" outlineLevel="0" collapsed="false">
      <c r="A6" s="5" t="s">
        <v>462</v>
      </c>
      <c r="B6" s="5" t="s">
        <v>463</v>
      </c>
      <c r="C6" s="5" t="s">
        <v>464</v>
      </c>
      <c r="D6" s="5" t="s">
        <v>465</v>
      </c>
      <c r="E6" s="5" t="s">
        <v>321</v>
      </c>
      <c r="F6" s="5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2026-06-07T01:01:27Z</dcterms:created>
  <dc:creator>openpyxl</dc:creator>
  <dc:description/>
  <dc:language>en-US</dc:language>
  <cp:lastModifiedBy/>
  <dcterms:modified xsi:type="dcterms:W3CDTF">2026-06-07T03:21:51Z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