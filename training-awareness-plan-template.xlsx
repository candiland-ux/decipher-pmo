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Control" sheetId="1" state="visible" r:id="rId3"/>
    <sheet name="Instructions" sheetId="2" state="visible" r:id="rId4"/>
    <sheet name="Reference Data" sheetId="3" state="visible" r:id="rId5"/>
    <sheet name="Training Needs" sheetId="4" state="visible" r:id="rId6"/>
    <sheet name="Curriculum" sheetId="5" state="visible" r:id="rId7"/>
    <sheet name="Delivery Schedule" sheetId="6" state="visible" r:id="rId8"/>
    <sheet name="Completion &amp; Assessment" sheetId="7" state="visible" r:id="rId9"/>
    <sheet name="Sustainment" sheetId="8" state="visible" r:id="rId10"/>
    <sheet name="Training 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<sst xmlns="http://schemas.openxmlformats.org/spreadsheetml/2006/main" count="191" uniqueCount="161">
  <si>
    <t xml:space="preserve">Training &amp; Awareness Plan — Document Control</t>
  </si>
  <si>
    <t xml:space="preserve">Program</t>
  </si>
  <si>
    <t xml:space="preserve">[Program name]</t>
  </si>
  <si>
    <t xml:space="preserve">Artifact</t>
  </si>
  <si>
    <t xml:space="preserve">Training &amp; Awareness Plan</t>
  </si>
  <si>
    <t xml:space="preserve">Version</t>
  </si>
  <si>
    <t xml:space="preserve">v1.0 — Final template for OCM team use</t>
  </si>
  <si>
    <t xml:space="preserve">Owner</t>
  </si>
  <si>
    <t xml:space="preserve">Training Lead (or OCM Lead where no dedicated training role exists)</t>
  </si>
  <si>
    <t xml:space="preserve">Reviewers</t>
  </si>
  <si>
    <t xml:space="preserve">OCM Lead; Program Manager; audience points of contact</t>
  </si>
  <si>
    <t xml:space="preserve">Approver</t>
  </si>
  <si>
    <t xml:space="preserve">Program Sponsor</t>
  </si>
  <si>
    <t xml:space="preserve">Last revised</t>
  </si>
  <si>
    <t xml:space="preserve">[date]</t>
  </si>
  <si>
    <t xml:space="preserve">Lock point</t>
  </si>
  <si>
    <t xml:space="preserve">Detailed delivery schedule locked six weeks before each wave go-live; refreshed per wave and for reinforcement.</t>
  </si>
  <si>
    <t xml:space="preserve">Refresh cadence</t>
  </si>
  <si>
    <t xml:space="preserve">Training Needs reassessed whenever the Change Impact Assessment is reassessed; completion tracking updated weekly during active delivery.</t>
  </si>
  <si>
    <t xml:space="preserve">System of record note</t>
  </si>
  <si>
    <t xml:space="preserve">Enrollment and completion records live in the learning management system where one exists; this workbook owns the plan, schedule, and readiness rollup.</t>
  </si>
  <si>
    <t xml:space="preserve">Linked artifacts</t>
  </si>
  <si>
    <t xml:space="preserve">Change Impact Assessment — Skills &amp; Knowledge ratings and Behavior Change statements are the source of every training need</t>
  </si>
  <si>
    <t xml:space="preserve">Communications Plan — training invitations, reminders, and completion nudges are scheduled in the plan's calendar, not sent ad hoc</t>
  </si>
  <si>
    <t xml:space="preserve">Stakeholder Assessment — Sponsor Coalition Say / Attend / Sign actions include opening flagship sessions and reinforcing completion deadlines</t>
  </si>
  <si>
    <t xml:space="preserve">Readiness Gates — completion thresholds on the Completion &amp; Assessment tab are go / no-go criteria</t>
  </si>
  <si>
    <t xml:space="preserve">Training &amp; Awareness Plan — Instructions &amp; Method</t>
  </si>
  <si>
    <t xml:space="preserve">Purpose</t>
  </si>
  <si>
    <t xml:space="preserve">This workbook operationalizes the training strategy: who is trained on what, when, by whom, in what format, with what assessment, and to what completion threshold before each readiness gate. It converts the Change Impact Assessment's Skills &amp; Knowledge findings into a curriculum, a delivery schedule, and a completion rollup the gates can consume.</t>
  </si>
  <si>
    <t xml:space="preserve">Derivation rule</t>
  </si>
  <si>
    <t xml:space="preserve">Every training need derives from the Change Impact Assessment. A High Skills &amp; Knowledge rating requires Proficiency-level training (formal, assessed, before go-live). Medium requires Working Knowledge (guided sessions or workshops). Low requires Awareness only (job aid or announcement — often satisfied by the Communications Plan alone, with no course needed). If a course exists with no impact-assessment row behind it, question the course; if a High rating exists with no course, that is a gate risk.</t>
  </si>
  <si>
    <t xml:space="preserve">How the tabs connect</t>
  </si>
  <si>
    <t xml:space="preserve">1. Training Needs — one row per change-audience pair with a Skills &amp; Knowledge impact, carrying the learning objective and required depth. Pull the Behavior Change statement from the Impact Assessment; the learning objective is that statement rewritten as a capability.</t>
  </si>
  <si>
    <t xml:space="preserve">2. Curriculum — the course catalog: one row per course or asset, with modality, duration, developer, and build status.</t>
  </si>
  <si>
    <t xml:space="preserve">3. Delivery Schedule — courses mapped to audiences and waves with dates, trainers, and the stage gate each delivery must precede.</t>
  </si>
  <si>
    <t xml:space="preserve">4. Completion &amp; Assessment — required versus completed headcount per audience-course pair. Completion % calculates automatically; the threshold column is the readiness gate criterion.</t>
  </si>
  <si>
    <t xml:space="preserve">5. Sustainment — reinforcement after go-live: refreshers, job aid upkeep, office hours wind-down, and new-hire onboarding integration so capability survives turnover.</t>
  </si>
  <si>
    <t xml:space="preserve">6. Training Summary — automatic rollups for gate reviews and status reporting.</t>
  </si>
  <si>
    <t xml:space="preserve">Coordination with the Communications Plan</t>
  </si>
  <si>
    <t xml:space="preserve">Training communications ride the Communications Plan calendar: invitations land in the plan's phase arc ahead of each wave, reminders and completion nudges are scheduled entries, and sponsors reinforce deadlines through their Say actions. Awareness-depth needs are usually met by the plan's own communications — record them on Training Needs as satisfied by communications so the trace is explicit rather than missing.</t>
  </si>
  <si>
    <t xml:space="preserve">Operating rhythm</t>
  </si>
  <si>
    <t xml:space="preserve">Draft Training Needs as the Change Impact Assessment's ratings are finalized — needs derive from the Skills &amp; Knowledge ratings and Behavior Change statements, so they firm up as the future state becomes known and are completed before the Design gate closes. Build curriculum during Build / Test / Validation, starting with Proficiency-depth courses, which need the longest runway for assessment development and delivery. Lock the delivery schedule six weeks before each wave go-live. Track completion weekly during active delivery and bring the Training Summary to every readiness gate review. After go-live, shift to the Sustainment tab and fold enduring content into new-hire onboarding.</t>
  </si>
  <si>
    <t xml:space="preserve">Quality bar</t>
  </si>
  <si>
    <t xml:space="preserve">Every High Skills &amp; Knowledge rating in the impact assessment has a Proficiency-depth row here with an assessment method. Every completion threshold maps to a named readiness gate. Every course has an owner and a build status. Help Desk Teams train before the audiences they support, not alongside them.</t>
  </si>
  <si>
    <t xml:space="preserve">Legend</t>
  </si>
  <si>
    <t xml:space="preserve">White cell = enter data  |  Grey cell = formula, do not edit  |  Red / Amber / Green = attention / watch / healthy  |  Italic row = worked example, replace with real data</t>
  </si>
  <si>
    <t xml:space="preserve">Reference Data — used by lookups and dropdowns (do not edit)</t>
  </si>
  <si>
    <t xml:space="preserve">Audience ID</t>
  </si>
  <si>
    <t xml:space="preserve">Audience Group (mirrors the Communications Plan)</t>
  </si>
  <si>
    <t xml:space="preserve">AUD-01</t>
  </si>
  <si>
    <t xml:space="preserve">Executive Leadership</t>
  </si>
  <si>
    <t xml:space="preserve">AUD-02</t>
  </si>
  <si>
    <t xml:space="preserve">People Leaders</t>
  </si>
  <si>
    <t xml:space="preserve">AUD-03</t>
  </si>
  <si>
    <t xml:space="preserve">Frontline Staff</t>
  </si>
  <si>
    <t xml:space="preserve">AUD-04</t>
  </si>
  <si>
    <t xml:space="preserve">General Workforce</t>
  </si>
  <si>
    <t xml:space="preserve">AUD-05</t>
  </si>
  <si>
    <t xml:space="preserve">IT &amp; Application Owners</t>
  </si>
  <si>
    <t xml:space="preserve">AUD-06</t>
  </si>
  <si>
    <t xml:space="preserve">Help Desk Teams</t>
  </si>
  <si>
    <t xml:space="preserve">AUD-07</t>
  </si>
  <si>
    <t xml:space="preserve">External Partners</t>
  </si>
  <si>
    <t xml:space="preserve">Depth</t>
  </si>
  <si>
    <t xml:space="preserve">Definition and impact-rating mapping</t>
  </si>
  <si>
    <t xml:space="preserve">Proficiency</t>
  </si>
  <si>
    <t xml:space="preserve">Formal training with assessment, completed before go-live. Required where Skills &amp; Knowledge impact is High.</t>
  </si>
  <si>
    <t xml:space="preserve">Working Knowledge</t>
  </si>
  <si>
    <t xml:space="preserve">Guided sessions or workshops; practice included, light assessment. Required where impact is Medium.</t>
  </si>
  <si>
    <t xml:space="preserve">Awareness</t>
  </si>
  <si>
    <t xml:space="preserve">Job aid, knowledge article, or announcement. Sufficient where impact is Low; often satisfied by the Communications Plan.</t>
  </si>
  <si>
    <t xml:space="preserve">Training Needs — derived from the Change Impact Assessment; one row per change-audience pair with a skills impact</t>
  </si>
  <si>
    <t xml:space="preserve">Need ID</t>
  </si>
  <si>
    <t xml:space="preserve">Change ID</t>
  </si>
  <si>
    <t xml:space="preserve">Audience Group</t>
  </si>
  <si>
    <t xml:space="preserve">Skills &amp; Knowledge Impact</t>
  </si>
  <si>
    <t xml:space="preserve">Behavior Change (from Impact Assessment)</t>
  </si>
  <si>
    <t xml:space="preserve">Learning Objective (capability statement)</t>
  </si>
  <si>
    <t xml:space="preserve">Required Depth</t>
  </si>
  <si>
    <t xml:space="preserve">Satisfied By</t>
  </si>
  <si>
    <t xml:space="preserve">Priority</t>
  </si>
  <si>
    <t xml:space="preserve">TN-01</t>
  </si>
  <si>
    <t xml:space="preserve">CH-01</t>
  </si>
  <si>
    <t xml:space="preserve">Medium</t>
  </si>
  <si>
    <t xml:space="preserve">From validating logins app-by-app with local credentials → to validating role-based access through SSO test plans before each wave.</t>
  </si>
  <si>
    <t xml:space="preserve">App owners can build, execute, and sign off a role-based SSO validation test plan for their application.</t>
  </si>
  <si>
    <t xml:space="preserve">Course</t>
  </si>
  <si>
    <t xml:space="preserve">High</t>
  </si>
  <si>
    <t xml:space="preserve">Curriculum — one row per course or asset; every course traces back to Need IDs</t>
  </si>
  <si>
    <t xml:space="preserve">Course ID</t>
  </si>
  <si>
    <t xml:space="preserve">Course / Asset Title</t>
  </si>
  <si>
    <t xml:space="preserve">Description</t>
  </si>
  <si>
    <t xml:space="preserve">Need IDs Covered</t>
  </si>
  <si>
    <t xml:space="preserve">Modality</t>
  </si>
  <si>
    <t xml:space="preserve">Duration</t>
  </si>
  <si>
    <t xml:space="preserve">Developer / Owner</t>
  </si>
  <si>
    <t xml:space="preserve">Build Status</t>
  </si>
  <si>
    <t xml:space="preserve">Prerequisites</t>
  </si>
  <si>
    <t xml:space="preserve">Review Sign-off</t>
  </si>
  <si>
    <t xml:space="preserve">CRS-01</t>
  </si>
  <si>
    <t xml:space="preserve">SSO Validation Test-Plan Workshop</t>
  </si>
  <si>
    <t xml:space="preserve">Hands-on workshop: building and executing a role-based validation test plan in the test tenant, ending with a signed practice sign-off.</t>
  </si>
  <si>
    <t xml:space="preserve">Workshop</t>
  </si>
  <si>
    <t xml:space="preserve">90 min</t>
  </si>
  <si>
    <t xml:space="preserve">Training Lead</t>
  </si>
  <si>
    <t xml:space="preserve">In Build</t>
  </si>
  <si>
    <t xml:space="preserve">Test-tenant access provisioned</t>
  </si>
  <si>
    <t xml:space="preserve">OCM Lead + technical SME</t>
  </si>
  <si>
    <t xml:space="preserve">Delivery Schedule — locked six weeks before each wave; every delivery precedes a named stage gate</t>
  </si>
  <si>
    <t xml:space="preserve">Wave / Phase</t>
  </si>
  <si>
    <t xml:space="preserve">Delivery Window (start)</t>
  </si>
  <si>
    <t xml:space="preserve">Delivery Window (end)</t>
  </si>
  <si>
    <t xml:space="preserve">Trainer / Facilitator</t>
  </si>
  <si>
    <t xml:space="preserve">Sessions Planned</t>
  </si>
  <si>
    <t xml:space="preserve">Capacity per Session</t>
  </si>
  <si>
    <t xml:space="preserve">Must Complete Before (Stage Gate)</t>
  </si>
  <si>
    <t xml:space="preserve">Invitation via Communications Plan</t>
  </si>
  <si>
    <t xml:space="preserve">Status</t>
  </si>
  <si>
    <t xml:space="preserve">Wave 1</t>
  </si>
  <si>
    <t xml:space="preserve">[YYYY-MM-DD]</t>
  </si>
  <si>
    <t xml:space="preserve">Training Lead + SSO SME</t>
  </si>
  <si>
    <t xml:space="preserve">Build / Test / Validation</t>
  </si>
  <si>
    <t xml:space="preserve">Action phase: invite 3 weeks out, reminder 1 week out</t>
  </si>
  <si>
    <t xml:space="preserve">Scheduled</t>
  </si>
  <si>
    <t xml:space="preserve">Completion &amp; Assessment — track training completion against each gate's required threshold; when Threshold Met = Yes, this audience's training requirement is satisfied for its readiness gate</t>
  </si>
  <si>
    <t xml:space="preserve">Required Headcount</t>
  </si>
  <si>
    <t xml:space="preserve">Completed</t>
  </si>
  <si>
    <t xml:space="preserve">Completion %</t>
  </si>
  <si>
    <t xml:space="preserve">Gate Threshold %</t>
  </si>
  <si>
    <t xml:space="preserve">Threshold Met</t>
  </si>
  <si>
    <t xml:space="preserve">Assessment Method</t>
  </si>
  <si>
    <t xml:space="preserve">Pass Criteria</t>
  </si>
  <si>
    <t xml:space="preserve">Stage Gate</t>
  </si>
  <si>
    <t xml:space="preserve">Hands-on check: each app owner performs a practice validation during the workshop</t>
  </si>
  <si>
    <t xml:space="preserve">App owner completes the practice validation correctly on their own, without instructor help</t>
  </si>
  <si>
    <t xml:space="preserve">In Delivery</t>
  </si>
  <si>
    <t xml:space="preserve">Sustainment — reinforcement after go-live so capability survives turnover and drift</t>
  </si>
  <si>
    <t xml:space="preserve">Item ID</t>
  </si>
  <si>
    <t xml:space="preserve">Sustainment Activity</t>
  </si>
  <si>
    <t xml:space="preserve">Trigger / Timing</t>
  </si>
  <si>
    <t xml:space="preserve">New-Hire Onboarding Integration</t>
  </si>
  <si>
    <t xml:space="preserve">Review Date</t>
  </si>
  <si>
    <t xml:space="preserve">SU-01</t>
  </si>
  <si>
    <t xml:space="preserve">Quarterly refresher on validation test-plan updates; job aid reviewed and reissued after each platform release.</t>
  </si>
  <si>
    <t xml:space="preserve">Quarterly, and per platform release</t>
  </si>
  <si>
    <t xml:space="preserve">Validation job aid added to new app-owner onboarding checklist; owned by IT onboarding coordinator.</t>
  </si>
  <si>
    <t xml:space="preserve">Planned</t>
  </si>
  <si>
    <t xml:space="preserve">Training Summary — automatic rollups for gate reviews and status reporting</t>
  </si>
  <si>
    <t xml:space="preserve">Curriculum Build Status</t>
  </si>
  <si>
    <t xml:space="preserve">Not Started</t>
  </si>
  <si>
    <t xml:space="preserve">In Review</t>
  </si>
  <si>
    <t xml:space="preserve">Ready</t>
  </si>
  <si>
    <t xml:space="preserve">Delivery Status</t>
  </si>
  <si>
    <t xml:space="preserve">Complete</t>
  </si>
  <si>
    <t xml:space="preserve">At Risk</t>
  </si>
  <si>
    <t xml:space="preserve">Gate Thresholds Met</t>
  </si>
  <si>
    <t xml:space="preserve">Yes</t>
  </si>
  <si>
    <t xml:space="preserve">No</t>
  </si>
  <si>
    <t xml:space="preserve">Training Needs by Priority</t>
  </si>
  <si>
    <t xml:space="preserve">Low</t>
  </si>
  <si>
    <t xml:space="preserve">Counts include worked example rows until they are replaced with real data.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</si>
</sst>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EDEDED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84"/>
  </cols>
  <sheetData>
    <row r="1" customFormat="false" ht="25.5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B4" s="3" t="s">
        <v>3</v>
      </c>
      <c r="C4" s="4" t="s">
        <v>4</v>
      </c>
    </row>
    <row r="5" customFormat="false" ht="15" hidden="false" customHeight="true" outlineLevel="0" collapsed="false">
      <c r="B5" s="3" t="s">
        <v>5</v>
      </c>
      <c r="C5" s="4" t="s">
        <v>6</v>
      </c>
    </row>
    <row r="6" customFormat="false" ht="15" hidden="false" customHeight="true" outlineLevel="0" collapsed="false">
      <c r="B6" s="3" t="s">
        <v>7</v>
      </c>
      <c r="C6" s="4" t="s">
        <v>8</v>
      </c>
    </row>
    <row r="7" customFormat="false" ht="15" hidden="false" customHeight="true" outlineLevel="0" collapsed="false">
      <c r="B7" s="3" t="s">
        <v>9</v>
      </c>
      <c r="C7" s="4" t="s">
        <v>10</v>
      </c>
    </row>
    <row r="8" customFormat="false" ht="15" hidden="false" customHeight="true" outlineLevel="0" collapsed="false">
      <c r="B8" s="3" t="s">
        <v>11</v>
      </c>
      <c r="C8" s="4" t="s">
        <v>12</v>
      </c>
    </row>
    <row r="9" customFormat="false" ht="15" hidden="false" customHeight="true" outlineLevel="0" collapsed="false">
      <c r="B9" s="3" t="s">
        <v>13</v>
      </c>
      <c r="C9" s="4" t="s">
        <v>14</v>
      </c>
    </row>
    <row r="10" customFormat="false" ht="27.75" hidden="false" customHeight="true" outlineLevel="0" collapsed="false">
      <c r="B10" s="3" t="s">
        <v>15</v>
      </c>
      <c r="C10" s="4" t="s">
        <v>16</v>
      </c>
    </row>
    <row r="11" customFormat="false" ht="27.75" hidden="false" customHeight="true" outlineLevel="0" collapsed="false">
      <c r="B11" s="3" t="s">
        <v>17</v>
      </c>
      <c r="C11" s="4" t="s">
        <v>18</v>
      </c>
    </row>
    <row r="12" customFormat="false" ht="27.75" hidden="false" customHeight="true" outlineLevel="0" collapsed="false">
      <c r="B12" s="3" t="s">
        <v>19</v>
      </c>
      <c r="C12" s="4" t="s">
        <v>20</v>
      </c>
    </row>
    <row r="13" customFormat="false" ht="27.75" hidden="false" customHeight="true" outlineLevel="0" collapsed="false">
      <c r="B13" s="3" t="s">
        <v>21</v>
      </c>
      <c r="C13" s="4" t="s">
        <v>22</v>
      </c>
    </row>
    <row r="14" customFormat="false" ht="27.75" hidden="false" customHeight="true" outlineLevel="0" collapsed="false">
      <c r="B14" s="3"/>
      <c r="C14" s="4" t="s">
        <v>23</v>
      </c>
    </row>
    <row r="15" customFormat="false" ht="27.75" hidden="false" customHeight="true" outlineLevel="0" collapsed="false">
      <c r="B15" s="3"/>
      <c r="C15" s="4" t="s">
        <v>24</v>
      </c>
    </row>
    <row r="16" customFormat="false" ht="27.75" hidden="false" customHeight="true" outlineLevel="0" collapsed="false">
      <c r="B16" s="3"/>
      <c r="C16" s="4" t="s">
        <v>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25.5" hidden="false" customHeight="true" outlineLevel="0" collapsed="false">
      <c r="A1" s="2" t="s">
        <v>26</v>
      </c>
      <c r="B1" s="2"/>
    </row>
    <row r="3" customFormat="false" ht="15" hidden="false" customHeight="true" outlineLevel="0" collapsed="false">
      <c r="B3" s="5" t="s">
        <v>27</v>
      </c>
    </row>
    <row r="4" customFormat="false" ht="55.5" hidden="false" customHeight="true" outlineLevel="0" collapsed="false">
      <c r="B4" s="6" t="s">
        <v>28</v>
      </c>
    </row>
    <row r="5" customFormat="false" ht="15" hidden="false" customHeight="true" outlineLevel="0" collapsed="false">
      <c r="B5" s="5" t="s">
        <v>29</v>
      </c>
    </row>
    <row r="6" customFormat="false" ht="69.75" hidden="false" customHeight="true" outlineLevel="0" collapsed="false">
      <c r="B6" s="6" t="s">
        <v>30</v>
      </c>
    </row>
    <row r="7" customFormat="false" ht="15" hidden="false" customHeight="true" outlineLevel="0" collapsed="false">
      <c r="B7" s="5" t="s">
        <v>31</v>
      </c>
    </row>
    <row r="8" customFormat="false" ht="42" hidden="false" customHeight="true" outlineLevel="0" collapsed="false">
      <c r="B8" s="6" t="s">
        <v>32</v>
      </c>
    </row>
    <row r="9" customFormat="false" ht="27.75" hidden="false" customHeight="true" outlineLevel="0" collapsed="false">
      <c r="B9" s="6" t="s">
        <v>33</v>
      </c>
    </row>
    <row r="10" customFormat="false" ht="27.75" hidden="false" customHeight="true" outlineLevel="0" collapsed="false">
      <c r="B10" s="6" t="s">
        <v>34</v>
      </c>
    </row>
    <row r="11" customFormat="false" ht="27.75" hidden="false" customHeight="true" outlineLevel="0" collapsed="false">
      <c r="B11" s="6" t="s">
        <v>35</v>
      </c>
    </row>
    <row r="12" customFormat="false" ht="27.75" hidden="false" customHeight="true" outlineLevel="0" collapsed="false">
      <c r="B12" s="6" t="s">
        <v>36</v>
      </c>
    </row>
    <row r="13" customFormat="false" ht="15" hidden="false" customHeight="true" outlineLevel="0" collapsed="false">
      <c r="B13" s="6" t="s">
        <v>37</v>
      </c>
    </row>
    <row r="14" customFormat="false" ht="15" hidden="false" customHeight="true" outlineLevel="0" collapsed="false">
      <c r="B14" s="5" t="s">
        <v>38</v>
      </c>
    </row>
    <row r="15" customFormat="false" ht="55.5" hidden="false" customHeight="true" outlineLevel="0" collapsed="false">
      <c r="B15" s="6" t="s">
        <v>39</v>
      </c>
    </row>
    <row r="16" customFormat="false" ht="15" hidden="false" customHeight="true" outlineLevel="0" collapsed="false">
      <c r="B16" s="5" t="s">
        <v>40</v>
      </c>
    </row>
    <row r="17" customFormat="false" ht="97.5" hidden="false" customHeight="true" outlineLevel="0" collapsed="false">
      <c r="B17" s="6" t="s">
        <v>41</v>
      </c>
    </row>
    <row r="18" customFormat="false" ht="15" hidden="false" customHeight="true" outlineLevel="0" collapsed="false">
      <c r="B18" s="5" t="s">
        <v>42</v>
      </c>
    </row>
    <row r="19" customFormat="false" ht="42" hidden="false" customHeight="true" outlineLevel="0" collapsed="false">
      <c r="B19" s="6" t="s">
        <v>43</v>
      </c>
    </row>
    <row r="20" customFormat="false" ht="15" hidden="false" customHeight="true" outlineLevel="0" collapsed="false">
      <c r="B20" s="5" t="s">
        <v>44</v>
      </c>
    </row>
    <row r="21" customFormat="false" ht="27.75" hidden="false" customHeight="true" outlineLevel="0" collapsed="false">
      <c r="B21" s="6" t="s">
        <v>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64"/>
  </cols>
  <sheetData>
    <row r="1" customFormat="false" ht="25.5" hidden="false" customHeight="true" outlineLevel="0" collapsed="false">
      <c r="A1" s="2" t="s">
        <v>46</v>
      </c>
      <c r="B1" s="2"/>
      <c r="C1" s="2"/>
    </row>
    <row r="2" customFormat="false" ht="15" hidden="false" customHeight="true" outlineLevel="0" collapsed="false">
      <c r="A2" s="7" t="s">
        <v>47</v>
      </c>
      <c r="C2" s="7" t="s">
        <v>48</v>
      </c>
    </row>
    <row r="3" customFormat="false" ht="15" hidden="false" customHeight="true" outlineLevel="0" collapsed="false">
      <c r="A3" s="8" t="s">
        <v>49</v>
      </c>
      <c r="C3" s="8" t="s">
        <v>50</v>
      </c>
    </row>
    <row r="4" customFormat="false" ht="15" hidden="false" customHeight="true" outlineLevel="0" collapsed="false">
      <c r="A4" s="8" t="s">
        <v>51</v>
      </c>
      <c r="C4" s="8" t="s">
        <v>52</v>
      </c>
    </row>
    <row r="5" customFormat="false" ht="15" hidden="false" customHeight="true" outlineLevel="0" collapsed="false">
      <c r="A5" s="8" t="s">
        <v>53</v>
      </c>
      <c r="C5" s="8" t="s">
        <v>54</v>
      </c>
    </row>
    <row r="6" customFormat="false" ht="15" hidden="false" customHeight="true" outlineLevel="0" collapsed="false">
      <c r="A6" s="8" t="s">
        <v>55</v>
      </c>
      <c r="C6" s="8" t="s">
        <v>56</v>
      </c>
    </row>
    <row r="7" customFormat="false" ht="15" hidden="false" customHeight="true" outlineLevel="0" collapsed="false">
      <c r="A7" s="8" t="s">
        <v>57</v>
      </c>
      <c r="C7" s="8" t="s">
        <v>58</v>
      </c>
    </row>
    <row r="8" customFormat="false" ht="15" hidden="false" customHeight="true" outlineLevel="0" collapsed="false">
      <c r="A8" s="8" t="s">
        <v>59</v>
      </c>
      <c r="C8" s="8" t="s">
        <v>60</v>
      </c>
    </row>
    <row r="9" customFormat="false" ht="15" hidden="false" customHeight="true" outlineLevel="0" collapsed="false">
      <c r="A9" s="8" t="s">
        <v>61</v>
      </c>
      <c r="C9" s="8" t="s">
        <v>62</v>
      </c>
    </row>
    <row r="12" customFormat="false" ht="15" hidden="false" customHeight="true" outlineLevel="0" collapsed="false">
      <c r="A12" s="7" t="s">
        <v>63</v>
      </c>
      <c r="C12" s="7" t="s">
        <v>64</v>
      </c>
    </row>
    <row r="13" customFormat="false" ht="23.25" hidden="false" customHeight="true" outlineLevel="0" collapsed="false">
      <c r="A13" s="8" t="s">
        <v>65</v>
      </c>
      <c r="C13" s="4" t="s">
        <v>66</v>
      </c>
    </row>
    <row r="14" customFormat="false" ht="23.25" hidden="false" customHeight="true" outlineLevel="0" collapsed="false">
      <c r="A14" s="8" t="s">
        <v>67</v>
      </c>
      <c r="C14" s="4" t="s">
        <v>68</v>
      </c>
    </row>
    <row r="15" customFormat="false" ht="23.25" hidden="false" customHeight="true" outlineLevel="0" collapsed="false">
      <c r="A15" s="8" t="s">
        <v>69</v>
      </c>
      <c r="C15" s="4" t="s">
        <v>70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1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40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11"/>
  </cols>
  <sheetData>
    <row r="1" customFormat="false" ht="25.5" hidden="false" customHeight="true" outlineLevel="0" collapsed="false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9" t="s">
        <v>72</v>
      </c>
      <c r="B2" s="9" t="s">
        <v>73</v>
      </c>
      <c r="C2" s="9" t="s">
        <v>47</v>
      </c>
      <c r="D2" s="9" t="s">
        <v>74</v>
      </c>
      <c r="E2" s="9" t="s">
        <v>75</v>
      </c>
      <c r="F2" s="9" t="s">
        <v>76</v>
      </c>
      <c r="G2" s="9" t="s">
        <v>77</v>
      </c>
      <c r="H2" s="9" t="s">
        <v>78</v>
      </c>
      <c r="I2" s="9" t="s">
        <v>79</v>
      </c>
      <c r="J2" s="9" t="s">
        <v>80</v>
      </c>
    </row>
    <row r="3" customFormat="false" ht="34.5" hidden="false" customHeight="true" outlineLevel="0" collapsed="false">
      <c r="A3" s="10" t="s">
        <v>81</v>
      </c>
      <c r="B3" s="10" t="s">
        <v>82</v>
      </c>
      <c r="C3" s="10" t="s">
        <v>57</v>
      </c>
      <c r="D3" s="11" t="str">
        <f aca="false">IF(C3="","",IFERROR(INDEX('Reference Data'!$C$3:$C$9,MATCH(C3,'Reference Data'!$A$3:$A$9,0)),""))</f>
        <v>IT &amp; Application Owners</v>
      </c>
      <c r="E3" s="10" t="s">
        <v>83</v>
      </c>
      <c r="F3" s="10" t="s">
        <v>84</v>
      </c>
      <c r="G3" s="10" t="s">
        <v>85</v>
      </c>
      <c r="H3" s="10" t="s">
        <v>67</v>
      </c>
      <c r="I3" s="10" t="s">
        <v>86</v>
      </c>
      <c r="J3" s="10" t="s">
        <v>87</v>
      </c>
    </row>
    <row r="4" customFormat="false" ht="15" hidden="false" customHeight="true" outlineLevel="0" collapsed="false">
      <c r="A4" s="4"/>
      <c r="B4" s="4"/>
      <c r="C4" s="4"/>
      <c r="D4" s="12" t="str">
        <f aca="false">IF(C4="","",IFERROR(INDEX('Reference Data'!$C$3:$C$9,MATCH(C4,'Reference Data'!$A$3:$A$9,0)),""))</f>
        <v/>
      </c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A5" s="4"/>
      <c r="B5" s="4"/>
      <c r="C5" s="4"/>
      <c r="D5" s="12" t="str">
        <f aca="false">IF(C5="","",IFERROR(INDEX('Reference Data'!$C$3:$C$9,MATCH(C5,'Reference Data'!$A$3:$A$9,0)),""))</f>
        <v/>
      </c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4"/>
      <c r="B6" s="4"/>
      <c r="C6" s="4"/>
      <c r="D6" s="12" t="str">
        <f aca="false">IF(C6="","",IFERROR(INDEX('Reference Data'!$C$3:$C$9,MATCH(C6,'Reference Data'!$A$3:$A$9,0)),""))</f>
        <v/>
      </c>
      <c r="E6" s="4"/>
      <c r="F6" s="4"/>
      <c r="G6" s="4"/>
      <c r="H6" s="4"/>
      <c r="I6" s="4"/>
      <c r="J6" s="4"/>
    </row>
    <row r="7" customFormat="false" ht="15" hidden="false" customHeight="true" outlineLevel="0" collapsed="false">
      <c r="A7" s="4"/>
      <c r="B7" s="4"/>
      <c r="C7" s="4"/>
      <c r="D7" s="12" t="str">
        <f aca="false">IF(C7="","",IFERROR(INDEX('Reference Data'!$C$3:$C$9,MATCH(C7,'Reference Data'!$A$3:$A$9,0)),""))</f>
        <v/>
      </c>
      <c r="E7" s="4"/>
      <c r="F7" s="4"/>
      <c r="G7" s="4"/>
      <c r="H7" s="4"/>
      <c r="I7" s="4"/>
      <c r="J7" s="4"/>
    </row>
    <row r="8" customFormat="false" ht="15" hidden="false" customHeight="true" outlineLevel="0" collapsed="false">
      <c r="A8" s="4"/>
      <c r="B8" s="4"/>
      <c r="C8" s="4"/>
      <c r="D8" s="12" t="str">
        <f aca="false">IF(C8="","",IFERROR(INDEX('Reference Data'!$C$3:$C$9,MATCH(C8,'Reference Data'!$A$3:$A$9,0)),""))</f>
        <v/>
      </c>
      <c r="E8" s="4"/>
      <c r="F8" s="4"/>
      <c r="G8" s="4"/>
      <c r="H8" s="4"/>
      <c r="I8" s="4"/>
      <c r="J8" s="4"/>
    </row>
    <row r="9" customFormat="false" ht="15" hidden="false" customHeight="true" outlineLevel="0" collapsed="false">
      <c r="A9" s="4"/>
      <c r="B9" s="4"/>
      <c r="C9" s="4"/>
      <c r="D9" s="12" t="str">
        <f aca="false">IF(C9="","",IFERROR(INDEX('Reference Data'!$C$3:$C$9,MATCH(C9,'Reference Data'!$A$3:$A$9,0)),""))</f>
        <v/>
      </c>
      <c r="E9" s="4"/>
      <c r="F9" s="4"/>
      <c r="G9" s="4"/>
      <c r="H9" s="4"/>
      <c r="I9" s="4"/>
      <c r="J9" s="4"/>
    </row>
    <row r="10" customFormat="false" ht="15" hidden="false" customHeight="true" outlineLevel="0" collapsed="false">
      <c r="A10" s="4"/>
      <c r="B10" s="4"/>
      <c r="C10" s="4"/>
      <c r="D10" s="12" t="str">
        <f aca="false">IF(C10="","",IFERROR(INDEX('Reference Data'!$C$3:$C$9,MATCH(C10,'Reference Data'!$A$3:$A$9,0)),""))</f>
        <v/>
      </c>
      <c r="E10" s="4"/>
      <c r="F10" s="4"/>
      <c r="G10" s="4"/>
      <c r="H10" s="4"/>
      <c r="I10" s="4"/>
      <c r="J10" s="4"/>
    </row>
    <row r="11" customFormat="false" ht="15" hidden="false" customHeight="true" outlineLevel="0" collapsed="false">
      <c r="A11" s="4"/>
      <c r="B11" s="4"/>
      <c r="C11" s="4"/>
      <c r="D11" s="12" t="str">
        <f aca="false">IF(C11="","",IFERROR(INDEX('Reference Data'!$C$3:$C$9,MATCH(C11,'Reference Data'!$A$3:$A$9,0)),""))</f>
        <v/>
      </c>
      <c r="E11" s="4"/>
      <c r="F11" s="4"/>
      <c r="G11" s="4"/>
      <c r="H11" s="4"/>
      <c r="I11" s="4"/>
      <c r="J11" s="4"/>
    </row>
    <row r="12" customFormat="false" ht="15" hidden="false" customHeight="true" outlineLevel="0" collapsed="false">
      <c r="A12" s="4"/>
      <c r="B12" s="4"/>
      <c r="C12" s="4"/>
      <c r="D12" s="12" t="str">
        <f aca="false">IF(C12="","",IFERROR(INDEX('Reference Data'!$C$3:$C$9,MATCH(C12,'Reference Data'!$A$3:$A$9,0)),""))</f>
        <v/>
      </c>
      <c r="E12" s="4"/>
      <c r="F12" s="4"/>
      <c r="G12" s="4"/>
      <c r="H12" s="4"/>
      <c r="I12" s="4"/>
      <c r="J12" s="4"/>
    </row>
    <row r="13" customFormat="false" ht="15" hidden="false" customHeight="true" outlineLevel="0" collapsed="false">
      <c r="A13" s="4"/>
      <c r="B13" s="4"/>
      <c r="C13" s="4"/>
      <c r="D13" s="12" t="str">
        <f aca="false">IF(C13="","",IFERROR(INDEX('Reference Data'!$C$3:$C$9,MATCH(C13,'Reference Data'!$A$3:$A$9,0)),""))</f>
        <v/>
      </c>
      <c r="E13" s="4"/>
      <c r="F13" s="4"/>
      <c r="G13" s="4"/>
      <c r="H13" s="4"/>
      <c r="I13" s="4"/>
      <c r="J13" s="4"/>
    </row>
    <row r="14" customFormat="false" ht="15" hidden="false" customHeight="true" outlineLevel="0" collapsed="false">
      <c r="A14" s="4"/>
      <c r="B14" s="4"/>
      <c r="C14" s="4"/>
      <c r="D14" s="12" t="str">
        <f aca="false">IF(C14="","",IFERROR(INDEX('Reference Data'!$C$3:$C$9,MATCH(C14,'Reference Data'!$A$3:$A$9,0)),""))</f>
        <v/>
      </c>
      <c r="E14" s="4"/>
      <c r="F14" s="4"/>
      <c r="G14" s="4"/>
      <c r="H14" s="4"/>
      <c r="I14" s="4"/>
      <c r="J14" s="4"/>
    </row>
    <row r="15" customFormat="false" ht="15" hidden="false" customHeight="true" outlineLevel="0" collapsed="false">
      <c r="A15" s="4"/>
      <c r="B15" s="4"/>
      <c r="C15" s="4"/>
      <c r="D15" s="12" t="str">
        <f aca="false">IF(C15="","",IFERROR(INDEX('Reference Data'!$C$3:$C$9,MATCH(C15,'Reference Data'!$A$3:$A$9,0)),""))</f>
        <v/>
      </c>
      <c r="E15" s="4"/>
      <c r="F15" s="4"/>
      <c r="G15" s="4"/>
      <c r="H15" s="4"/>
      <c r="I15" s="4"/>
      <c r="J15" s="4"/>
    </row>
    <row r="16" customFormat="false" ht="15" hidden="false" customHeight="true" outlineLevel="0" collapsed="false">
      <c r="A16" s="4"/>
      <c r="B16" s="4"/>
      <c r="C16" s="4"/>
      <c r="D16" s="12" t="str">
        <f aca="false">IF(C16="","",IFERROR(INDEX('Reference Data'!$C$3:$C$9,MATCH(C16,'Reference Data'!$A$3:$A$9,0)),""))</f>
        <v/>
      </c>
      <c r="E16" s="4"/>
      <c r="F16" s="4"/>
      <c r="G16" s="4"/>
      <c r="H16" s="4"/>
      <c r="I16" s="4"/>
      <c r="J16" s="4"/>
    </row>
    <row r="17" customFormat="false" ht="15" hidden="false" customHeight="true" outlineLevel="0" collapsed="false">
      <c r="A17" s="4"/>
      <c r="B17" s="4"/>
      <c r="C17" s="4"/>
      <c r="D17" s="12" t="str">
        <f aca="false">IF(C17="","",IFERROR(INDEX('Reference Data'!$C$3:$C$9,MATCH(C17,'Reference Data'!$A$3:$A$9,0)),""))</f>
        <v/>
      </c>
      <c r="E17" s="4"/>
      <c r="F17" s="4"/>
      <c r="G17" s="4"/>
      <c r="H17" s="4"/>
      <c r="I17" s="4"/>
      <c r="J17" s="4"/>
    </row>
    <row r="18" customFormat="false" ht="15" hidden="false" customHeight="true" outlineLevel="0" collapsed="false">
      <c r="A18" s="4"/>
      <c r="B18" s="4"/>
      <c r="C18" s="4"/>
      <c r="D18" s="12" t="str">
        <f aca="false">IF(C18="","",IFERROR(INDEX('Reference Data'!$C$3:$C$9,MATCH(C18,'Reference Data'!$A$3:$A$9,0)),""))</f>
        <v/>
      </c>
      <c r="E18" s="4"/>
      <c r="F18" s="4"/>
      <c r="G18" s="4"/>
      <c r="H18" s="4"/>
      <c r="I18" s="4"/>
      <c r="J18" s="4"/>
    </row>
    <row r="19" customFormat="false" ht="15" hidden="false" customHeight="true" outlineLevel="0" collapsed="false">
      <c r="A19" s="4"/>
      <c r="B19" s="4"/>
      <c r="C19" s="4"/>
      <c r="D19" s="12" t="str">
        <f aca="false">IF(C19="","",IFERROR(INDEX('Reference Data'!$C$3:$C$9,MATCH(C19,'Reference Data'!$A$3:$A$9,0)),""))</f>
        <v/>
      </c>
      <c r="E19" s="4"/>
      <c r="F19" s="4"/>
      <c r="G19" s="4"/>
      <c r="H19" s="4"/>
      <c r="I19" s="4"/>
      <c r="J19" s="4"/>
    </row>
    <row r="20" customFormat="false" ht="15" hidden="false" customHeight="true" outlineLevel="0" collapsed="false">
      <c r="A20" s="4"/>
      <c r="B20" s="4"/>
      <c r="C20" s="4"/>
      <c r="D20" s="12" t="str">
        <f aca="false">IF(C20="","",IFERROR(INDEX('Reference Data'!$C$3:$C$9,MATCH(C20,'Reference Data'!$A$3:$A$9,0)),""))</f>
        <v/>
      </c>
      <c r="E20" s="4"/>
      <c r="F20" s="4"/>
      <c r="G20" s="4"/>
      <c r="H20" s="4"/>
      <c r="I20" s="4"/>
      <c r="J20" s="4"/>
    </row>
    <row r="21" customFormat="false" ht="15" hidden="false" customHeight="true" outlineLevel="0" collapsed="false">
      <c r="A21" s="4"/>
      <c r="B21" s="4"/>
      <c r="C21" s="4"/>
      <c r="D21" s="12" t="str">
        <f aca="false">IF(C21="","",IFERROR(INDEX('Reference Data'!$C$3:$C$9,MATCH(C21,'Reference Data'!$A$3:$A$9,0)),""))</f>
        <v/>
      </c>
      <c r="E21" s="4"/>
      <c r="F21" s="4"/>
      <c r="G21" s="4"/>
      <c r="H21" s="4"/>
      <c r="I21" s="4"/>
      <c r="J21" s="4"/>
    </row>
    <row r="22" customFormat="false" ht="15" hidden="false" customHeight="true" outlineLevel="0" collapsed="false">
      <c r="A22" s="4"/>
      <c r="B22" s="4"/>
      <c r="C22" s="4"/>
      <c r="D22" s="12" t="str">
        <f aca="false">IF(C22="","",IFERROR(INDEX('Reference Data'!$C$3:$C$9,MATCH(C22,'Reference Data'!$A$3:$A$9,0)),""))</f>
        <v/>
      </c>
      <c r="E22" s="4"/>
      <c r="F22" s="4"/>
      <c r="G22" s="4"/>
      <c r="H22" s="4"/>
      <c r="I22" s="4"/>
      <c r="J22" s="4"/>
    </row>
    <row r="23" customFormat="false" ht="15" hidden="false" customHeight="true" outlineLevel="0" collapsed="false">
      <c r="A23" s="4"/>
      <c r="B23" s="4"/>
      <c r="C23" s="4"/>
      <c r="D23" s="12" t="str">
        <f aca="false">IF(C23="","",IFERROR(INDEX('Reference Data'!$C$3:$C$9,MATCH(C23,'Reference Data'!$A$3:$A$9,0)),""))</f>
        <v/>
      </c>
      <c r="E23" s="4"/>
      <c r="F23" s="4"/>
      <c r="G23" s="4"/>
      <c r="H23" s="4"/>
      <c r="I23" s="4"/>
      <c r="J23" s="4"/>
    </row>
    <row r="24" customFormat="false" ht="15" hidden="false" customHeight="true" outlineLevel="0" collapsed="false">
      <c r="A24" s="4"/>
      <c r="B24" s="4"/>
      <c r="C24" s="4"/>
      <c r="D24" s="12" t="str">
        <f aca="false">IF(C24="","",IFERROR(INDEX('Reference Data'!$C$3:$C$9,MATCH(C24,'Reference Data'!$A$3:$A$9,0)),""))</f>
        <v/>
      </c>
      <c r="E24" s="4"/>
      <c r="F24" s="4"/>
      <c r="G24" s="4"/>
      <c r="H24" s="4"/>
      <c r="I24" s="4"/>
      <c r="J24" s="4"/>
    </row>
    <row r="25" customFormat="false" ht="15" hidden="false" customHeight="true" outlineLevel="0" collapsed="false">
      <c r="A25" s="4"/>
      <c r="B25" s="4"/>
      <c r="C25" s="4"/>
      <c r="D25" s="12" t="str">
        <f aca="false">IF(C25="","",IFERROR(INDEX('Reference Data'!$C$3:$C$9,MATCH(C25,'Reference Data'!$A$3:$A$9,0)),""))</f>
        <v/>
      </c>
      <c r="E25" s="4"/>
      <c r="F25" s="4"/>
      <c r="G25" s="4"/>
      <c r="H25" s="4"/>
      <c r="I25" s="4"/>
      <c r="J25" s="4"/>
    </row>
    <row r="26" customFormat="false" ht="15" hidden="false" customHeight="true" outlineLevel="0" collapsed="false">
      <c r="A26" s="4"/>
      <c r="B26" s="4"/>
      <c r="C26" s="4"/>
      <c r="D26" s="12" t="str">
        <f aca="false">IF(C26="","",IFERROR(INDEX('Reference Data'!$C$3:$C$9,MATCH(C26,'Reference Data'!$A$3:$A$9,0)),""))</f>
        <v/>
      </c>
      <c r="E26" s="4"/>
      <c r="F26" s="4"/>
      <c r="G26" s="4"/>
      <c r="H26" s="4"/>
      <c r="I26" s="4"/>
      <c r="J26" s="4"/>
    </row>
    <row r="27" customFormat="false" ht="15" hidden="false" customHeight="true" outlineLevel="0" collapsed="false">
      <c r="A27" s="4"/>
      <c r="B27" s="4"/>
      <c r="C27" s="4"/>
      <c r="D27" s="12" t="str">
        <f aca="false">IF(C27="","",IFERROR(INDEX('Reference Data'!$C$3:$C$9,MATCH(C27,'Reference Data'!$A$3:$A$9,0)),""))</f>
        <v/>
      </c>
      <c r="E27" s="4"/>
      <c r="F27" s="4"/>
      <c r="G27" s="4"/>
      <c r="H27" s="4"/>
      <c r="I27" s="4"/>
      <c r="J27" s="4"/>
    </row>
    <row r="28" customFormat="false" ht="15" hidden="false" customHeight="true" outlineLevel="0" collapsed="false">
      <c r="A28" s="4"/>
      <c r="B28" s="4"/>
      <c r="C28" s="4"/>
      <c r="D28" s="12" t="str">
        <f aca="false">IF(C28="","",IFERROR(INDEX('Reference Data'!$C$3:$C$9,MATCH(C28,'Reference Data'!$A$3:$A$9,0)),""))</f>
        <v/>
      </c>
      <c r="E28" s="4"/>
      <c r="F28" s="4"/>
      <c r="G28" s="4"/>
      <c r="H28" s="4"/>
      <c r="I28" s="4"/>
      <c r="J28" s="4"/>
    </row>
    <row r="29" customFormat="false" ht="15" hidden="false" customHeight="true" outlineLevel="0" collapsed="false">
      <c r="A29" s="4"/>
      <c r="B29" s="4"/>
      <c r="C29" s="4"/>
      <c r="D29" s="12" t="str">
        <f aca="false">IF(C29="","",IFERROR(INDEX('Reference Data'!$C$3:$C$9,MATCH(C29,'Reference Data'!$A$3:$A$9,0)),""))</f>
        <v/>
      </c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A30" s="4"/>
      <c r="B30" s="4"/>
      <c r="C30" s="4"/>
      <c r="D30" s="12" t="str">
        <f aca="false">IF(C30="","",IFERROR(INDEX('Reference Data'!$C$3:$C$9,MATCH(C30,'Reference Data'!$A$3:$A$9,0)),""))</f>
        <v/>
      </c>
      <c r="E30" s="4"/>
      <c r="F30" s="4"/>
      <c r="G30" s="4"/>
      <c r="H30" s="4"/>
      <c r="I30" s="4"/>
      <c r="J30" s="4"/>
    </row>
    <row r="31" customFormat="false" ht="15" hidden="false" customHeight="true" outlineLevel="0" collapsed="false">
      <c r="A31" s="4"/>
      <c r="B31" s="4"/>
      <c r="C31" s="4"/>
      <c r="D31" s="12" t="str">
        <f aca="false">IF(C31="","",IFERROR(INDEX('Reference Data'!$C$3:$C$9,MATCH(C31,'Reference Data'!$A$3:$A$9,0)),""))</f>
        <v/>
      </c>
      <c r="E31" s="4"/>
      <c r="F31" s="4"/>
      <c r="G31" s="4"/>
      <c r="H31" s="4"/>
      <c r="I31" s="4"/>
      <c r="J31" s="4"/>
    </row>
    <row r="32" customFormat="false" ht="15" hidden="false" customHeight="true" outlineLevel="0" collapsed="false">
      <c r="A32" s="4"/>
      <c r="B32" s="4"/>
      <c r="C32" s="4"/>
      <c r="D32" s="12" t="str">
        <f aca="false">IF(C32="","",IFERROR(INDEX('Reference Data'!$C$3:$C$9,MATCH(C32,'Reference Data'!$A$3:$A$9,0)),""))</f>
        <v/>
      </c>
      <c r="E32" s="4"/>
      <c r="F32" s="4"/>
      <c r="G32" s="4"/>
      <c r="H32" s="4"/>
      <c r="I32" s="4"/>
      <c r="J32" s="4"/>
    </row>
    <row r="33" customFormat="false" ht="15" hidden="false" customHeight="true" outlineLevel="0" collapsed="false">
      <c r="A33" s="4"/>
      <c r="B33" s="4"/>
      <c r="C33" s="4"/>
      <c r="D33" s="12" t="str">
        <f aca="false">IF(C33="","",IFERROR(INDEX('Reference Data'!$C$3:$C$9,MATCH(C33,'Reference Data'!$A$3:$A$9,0)),""))</f>
        <v/>
      </c>
      <c r="E33" s="4"/>
      <c r="F33" s="4"/>
      <c r="G33" s="4"/>
      <c r="H33" s="4"/>
      <c r="I33" s="4"/>
      <c r="J33" s="4"/>
    </row>
    <row r="34" customFormat="false" ht="15" hidden="false" customHeight="true" outlineLevel="0" collapsed="false">
      <c r="A34" s="4"/>
      <c r="B34" s="4"/>
      <c r="C34" s="4"/>
      <c r="D34" s="12" t="str">
        <f aca="false">IF(C34="","",IFERROR(INDEX('Reference Data'!$C$3:$C$9,MATCH(C34,'Reference Data'!$A$3:$A$9,0)),""))</f>
        <v/>
      </c>
      <c r="E34" s="4"/>
      <c r="F34" s="4"/>
      <c r="G34" s="4"/>
      <c r="H34" s="4"/>
      <c r="I34" s="4"/>
      <c r="J34" s="4"/>
    </row>
    <row r="35" customFormat="false" ht="15" hidden="false" customHeight="true" outlineLevel="0" collapsed="false">
      <c r="A35" s="4"/>
      <c r="B35" s="4"/>
      <c r="C35" s="4"/>
      <c r="D35" s="12" t="str">
        <f aca="false">IF(C35="","",IFERROR(INDEX('Reference Data'!$C$3:$C$9,MATCH(C35,'Reference Data'!$A$3:$A$9,0)),""))</f>
        <v/>
      </c>
      <c r="E35" s="4"/>
      <c r="F35" s="4"/>
      <c r="G35" s="4"/>
      <c r="H35" s="4"/>
      <c r="I35" s="4"/>
      <c r="J35" s="4"/>
    </row>
    <row r="36" customFormat="false" ht="15" hidden="false" customHeight="true" outlineLevel="0" collapsed="false">
      <c r="A36" s="4"/>
      <c r="B36" s="4"/>
      <c r="C36" s="4"/>
      <c r="D36" s="12" t="str">
        <f aca="false">IF(C36="","",IFERROR(INDEX('Reference Data'!$C$3:$C$9,MATCH(C36,'Reference Data'!$A$3:$A$9,0)),""))</f>
        <v/>
      </c>
      <c r="E36" s="4"/>
      <c r="F36" s="4"/>
      <c r="G36" s="4"/>
      <c r="H36" s="4"/>
      <c r="I36" s="4"/>
      <c r="J36" s="4"/>
    </row>
    <row r="37" customFormat="false" ht="15" hidden="false" customHeight="true" outlineLevel="0" collapsed="false">
      <c r="A37" s="4"/>
      <c r="B37" s="4"/>
      <c r="C37" s="4"/>
      <c r="D37" s="12" t="str">
        <f aca="false">IF(C37="","",IFERROR(INDEX('Reference Data'!$C$3:$C$9,MATCH(C37,'Reference Data'!$A$3:$A$9,0)),""))</f>
        <v/>
      </c>
      <c r="E37" s="4"/>
      <c r="F37" s="4"/>
      <c r="G37" s="4"/>
      <c r="H37" s="4"/>
      <c r="I37" s="4"/>
      <c r="J37" s="4"/>
    </row>
    <row r="38" customFormat="false" ht="15" hidden="false" customHeight="true" outlineLevel="0" collapsed="false">
      <c r="A38" s="4"/>
      <c r="B38" s="4"/>
      <c r="C38" s="4"/>
      <c r="D38" s="12" t="str">
        <f aca="false">IF(C38="","",IFERROR(INDEX('Reference Data'!$C$3:$C$9,MATCH(C38,'Reference Data'!$A$3:$A$9,0)),""))</f>
        <v/>
      </c>
      <c r="E38" s="4"/>
      <c r="F38" s="4"/>
      <c r="G38" s="4"/>
      <c r="H38" s="4"/>
      <c r="I38" s="4"/>
      <c r="J38" s="4"/>
    </row>
    <row r="39" customFormat="false" ht="15" hidden="false" customHeight="true" outlineLevel="0" collapsed="false">
      <c r="A39" s="4"/>
      <c r="B39" s="4"/>
      <c r="C39" s="4"/>
      <c r="D39" s="12" t="str">
        <f aca="false">IF(C39="","",IFERROR(INDEX('Reference Data'!$C$3:$C$9,MATCH(C39,'Reference Data'!$A$3:$A$9,0)),""))</f>
        <v/>
      </c>
      <c r="E39" s="4"/>
      <c r="F39" s="4"/>
      <c r="G39" s="4"/>
      <c r="H39" s="4"/>
      <c r="I39" s="4"/>
      <c r="J39" s="4"/>
    </row>
    <row r="40" customFormat="false" ht="15" hidden="false" customHeight="true" outlineLevel="0" collapsed="false">
      <c r="A40" s="4"/>
      <c r="B40" s="4"/>
      <c r="C40" s="4"/>
      <c r="D40" s="12" t="str">
        <f aca="false">IF(C40="","",IFERROR(INDEX('Reference Data'!$C$3:$C$9,MATCH(C40,'Reference Data'!$A$3:$A$9,0)),""))</f>
        <v/>
      </c>
      <c r="E40" s="4"/>
      <c r="F40" s="4"/>
      <c r="G40" s="4"/>
      <c r="H40" s="4"/>
      <c r="I40" s="4"/>
      <c r="J40" s="4"/>
    </row>
    <row r="41" customFormat="false" ht="15" hidden="false" customHeight="true" outlineLevel="0" collapsed="false">
      <c r="A41" s="4"/>
      <c r="B41" s="4"/>
      <c r="C41" s="4"/>
      <c r="D41" s="12" t="str">
        <f aca="false">IF(C41="","",IFERROR(INDEX('Reference Data'!$C$3:$C$9,MATCH(C41,'Reference Data'!$A$3:$A$9,0)),""))</f>
        <v/>
      </c>
      <c r="E41" s="4"/>
      <c r="F41" s="4"/>
      <c r="G41" s="4"/>
      <c r="H41" s="4"/>
      <c r="I41" s="4"/>
      <c r="J41" s="4"/>
    </row>
    <row r="42" customFormat="false" ht="15" hidden="false" customHeight="true" outlineLevel="0" collapsed="false">
      <c r="A42" s="4"/>
      <c r="B42" s="4"/>
      <c r="C42" s="4"/>
      <c r="D42" s="12" t="str">
        <f aca="false">IF(C42="","",IFERROR(INDEX('Reference Data'!$C$3:$C$9,MATCH(C42,'Reference Data'!$A$3:$A$9,0)),""))</f>
        <v/>
      </c>
      <c r="E42" s="4"/>
      <c r="F42" s="4"/>
      <c r="G42" s="4"/>
      <c r="H42" s="4"/>
      <c r="I42" s="4"/>
      <c r="J42" s="4"/>
    </row>
    <row r="43" customFormat="false" ht="15" hidden="false" customHeight="true" outlineLevel="0" collapsed="false">
      <c r="A43" s="4"/>
      <c r="B43" s="4"/>
      <c r="C43" s="4"/>
      <c r="D43" s="12" t="str">
        <f aca="false">IF(C43="","",IFERROR(INDEX('Reference Data'!$C$3:$C$9,MATCH(C43,'Reference Data'!$A$3:$A$9,0)),""))</f>
        <v/>
      </c>
      <c r="E43" s="4"/>
      <c r="F43" s="4"/>
      <c r="G43" s="4"/>
      <c r="H43" s="4"/>
      <c r="I43" s="4"/>
      <c r="J43" s="4"/>
    </row>
    <row r="44" customFormat="false" ht="15" hidden="false" customHeight="true" outlineLevel="0" collapsed="false">
      <c r="A44" s="4"/>
      <c r="B44" s="4"/>
      <c r="C44" s="4"/>
      <c r="D44" s="12" t="str">
        <f aca="false">IF(C44="","",IFERROR(INDEX('Reference Data'!$C$3:$C$9,MATCH(C44,'Reference Data'!$A$3:$A$9,0)),""))</f>
        <v/>
      </c>
      <c r="E44" s="4"/>
      <c r="F44" s="4"/>
      <c r="G44" s="4"/>
      <c r="H44" s="4"/>
      <c r="I44" s="4"/>
      <c r="J44" s="4"/>
    </row>
    <row r="45" customFormat="false" ht="15" hidden="false" customHeight="true" outlineLevel="0" collapsed="false">
      <c r="A45" s="4"/>
      <c r="B45" s="4"/>
      <c r="C45" s="4"/>
      <c r="D45" s="12" t="str">
        <f aca="false">IF(C45="","",IFERROR(INDEX('Reference Data'!$C$3:$C$9,MATCH(C45,'Reference Data'!$A$3:$A$9,0)),""))</f>
        <v/>
      </c>
      <c r="E45" s="4"/>
      <c r="F45" s="4"/>
      <c r="G45" s="4"/>
      <c r="H45" s="4"/>
      <c r="I45" s="4"/>
      <c r="J45" s="4"/>
    </row>
    <row r="46" customFormat="false" ht="15" hidden="false" customHeight="true" outlineLevel="0" collapsed="false">
      <c r="A46" s="4"/>
      <c r="B46" s="4"/>
      <c r="C46" s="4"/>
      <c r="D46" s="12" t="str">
        <f aca="false">IF(C46="","",IFERROR(INDEX('Reference Data'!$C$3:$C$9,MATCH(C46,'Reference Data'!$A$3:$A$9,0)),""))</f>
        <v/>
      </c>
      <c r="E46" s="4"/>
      <c r="F46" s="4"/>
      <c r="G46" s="4"/>
      <c r="H46" s="4"/>
      <c r="I46" s="4"/>
      <c r="J46" s="4"/>
    </row>
    <row r="47" customFormat="false" ht="15" hidden="false" customHeight="true" outlineLevel="0" collapsed="false">
      <c r="A47" s="4"/>
      <c r="B47" s="4"/>
      <c r="C47" s="4"/>
      <c r="D47" s="12" t="str">
        <f aca="false">IF(C47="","",IFERROR(INDEX('Reference Data'!$C$3:$C$9,MATCH(C47,'Reference Data'!$A$3:$A$9,0)),""))</f>
        <v/>
      </c>
      <c r="E47" s="4"/>
      <c r="F47" s="4"/>
      <c r="G47" s="4"/>
      <c r="H47" s="4"/>
      <c r="I47" s="4"/>
      <c r="J47" s="4"/>
    </row>
    <row r="48" customFormat="false" ht="15" hidden="false" customHeight="true" outlineLevel="0" collapsed="false">
      <c r="A48" s="4"/>
      <c r="B48" s="4"/>
      <c r="C48" s="4"/>
      <c r="D48" s="12" t="str">
        <f aca="false">IF(C48="","",IFERROR(INDEX('Reference Data'!$C$3:$C$9,MATCH(C48,'Reference Data'!$A$3:$A$9,0)),""))</f>
        <v/>
      </c>
      <c r="E48" s="4"/>
      <c r="F48" s="4"/>
      <c r="G48" s="4"/>
      <c r="H48" s="4"/>
      <c r="I48" s="4"/>
      <c r="J48" s="4"/>
    </row>
    <row r="49" customFormat="false" ht="15" hidden="false" customHeight="true" outlineLevel="0" collapsed="false">
      <c r="A49" s="4"/>
      <c r="B49" s="4"/>
      <c r="C49" s="4"/>
      <c r="D49" s="12" t="str">
        <f aca="false">IF(C49="","",IFERROR(INDEX('Reference Data'!$C$3:$C$9,MATCH(C49,'Reference Data'!$A$3:$A$9,0)),""))</f>
        <v/>
      </c>
      <c r="E49" s="4"/>
      <c r="F49" s="4"/>
      <c r="G49" s="4"/>
      <c r="H49" s="4"/>
      <c r="I49" s="4"/>
      <c r="J49" s="4"/>
    </row>
    <row r="50" customFormat="false" ht="15" hidden="false" customHeight="true" outlineLevel="0" collapsed="false">
      <c r="A50" s="4"/>
      <c r="B50" s="4"/>
      <c r="C50" s="4"/>
      <c r="D50" s="12" t="str">
        <f aca="false">IF(C50="","",IFERROR(INDEX('Reference Data'!$C$3:$C$9,MATCH(C50,'Reference Data'!$A$3:$A$9,0)),""))</f>
        <v/>
      </c>
      <c r="E50" s="4"/>
      <c r="F50" s="4"/>
      <c r="G50" s="4"/>
      <c r="H50" s="4"/>
      <c r="I50" s="4"/>
      <c r="J50" s="4"/>
    </row>
    <row r="51" customFormat="false" ht="15" hidden="false" customHeight="true" outlineLevel="0" collapsed="false">
      <c r="A51" s="4"/>
      <c r="B51" s="4"/>
      <c r="C51" s="4"/>
      <c r="D51" s="12" t="str">
        <f aca="false">IF(C51="","",IFERROR(INDEX('Reference Data'!$C$3:$C$9,MATCH(C51,'Reference Data'!$A$3:$A$9,0)),""))</f>
        <v/>
      </c>
      <c r="E51" s="4"/>
      <c r="F51" s="4"/>
      <c r="G51" s="4"/>
      <c r="H51" s="4"/>
      <c r="I51" s="4"/>
      <c r="J51" s="4"/>
    </row>
    <row r="52" customFormat="false" ht="15" hidden="false" customHeight="true" outlineLevel="0" collapsed="false">
      <c r="A52" s="4"/>
      <c r="B52" s="4"/>
      <c r="C52" s="4"/>
      <c r="D52" s="12" t="str">
        <f aca="false">IF(C52="","",IFERROR(INDEX('Reference Data'!$C$3:$C$9,MATCH(C52,'Reference Data'!$A$3:$A$9,0)),""))</f>
        <v/>
      </c>
      <c r="E52" s="4"/>
      <c r="F52" s="4"/>
      <c r="G52" s="4"/>
      <c r="H52" s="4"/>
      <c r="I52" s="4"/>
      <c r="J52" s="4"/>
    </row>
    <row r="53" customFormat="false" ht="15" hidden="false" customHeight="true" outlineLevel="0" collapsed="false">
      <c r="A53" s="4"/>
      <c r="B53" s="4"/>
      <c r="C53" s="4"/>
      <c r="D53" s="12" t="str">
        <f aca="false">IF(C53="","",IFERROR(INDEX('Reference Data'!$C$3:$C$9,MATCH(C53,'Reference Data'!$A$3:$A$9,0)),""))</f>
        <v/>
      </c>
      <c r="E53" s="4"/>
      <c r="F53" s="4"/>
      <c r="G53" s="4"/>
      <c r="H53" s="4"/>
      <c r="I53" s="4"/>
      <c r="J53" s="4"/>
    </row>
    <row r="54" customFormat="false" ht="15" hidden="false" customHeight="true" outlineLevel="0" collapsed="false">
      <c r="A54" s="4"/>
      <c r="B54" s="4"/>
      <c r="C54" s="4"/>
      <c r="D54" s="12" t="str">
        <f aca="false">IF(C54="","",IFERROR(INDEX('Reference Data'!$C$3:$C$9,MATCH(C54,'Reference Data'!$A$3:$A$9,0)),""))</f>
        <v/>
      </c>
      <c r="E54" s="4"/>
      <c r="F54" s="4"/>
      <c r="G54" s="4"/>
      <c r="H54" s="4"/>
      <c r="I54" s="4"/>
      <c r="J54" s="4"/>
    </row>
    <row r="55" customFormat="false" ht="15" hidden="false" customHeight="true" outlineLevel="0" collapsed="false">
      <c r="A55" s="4"/>
      <c r="B55" s="4"/>
      <c r="C55" s="4"/>
      <c r="D55" s="12" t="str">
        <f aca="false">IF(C55="","",IFERROR(INDEX('Reference Data'!$C$3:$C$9,MATCH(C55,'Reference Data'!$A$3:$A$9,0)),""))</f>
        <v/>
      </c>
      <c r="E55" s="4"/>
      <c r="F55" s="4"/>
      <c r="G55" s="4"/>
      <c r="H55" s="4"/>
      <c r="I55" s="4"/>
      <c r="J55" s="4"/>
    </row>
    <row r="56" customFormat="false" ht="15" hidden="false" customHeight="true" outlineLevel="0" collapsed="false">
      <c r="A56" s="4"/>
      <c r="B56" s="4"/>
      <c r="C56" s="4"/>
      <c r="D56" s="12" t="str">
        <f aca="false">IF(C56="","",IFERROR(INDEX('Reference Data'!$C$3:$C$9,MATCH(C56,'Reference Data'!$A$3:$A$9,0)),""))</f>
        <v/>
      </c>
      <c r="E56" s="4"/>
      <c r="F56" s="4"/>
      <c r="G56" s="4"/>
      <c r="H56" s="4"/>
      <c r="I56" s="4"/>
      <c r="J56" s="4"/>
    </row>
    <row r="57" customFormat="false" ht="15" hidden="false" customHeight="true" outlineLevel="0" collapsed="false">
      <c r="A57" s="4"/>
      <c r="B57" s="4"/>
      <c r="C57" s="4"/>
      <c r="D57" s="12" t="str">
        <f aca="false">IF(C57="","",IFERROR(INDEX('Reference Data'!$C$3:$C$9,MATCH(C57,'Reference Data'!$A$3:$A$9,0)),""))</f>
        <v/>
      </c>
      <c r="E57" s="4"/>
      <c r="F57" s="4"/>
      <c r="G57" s="4"/>
      <c r="H57" s="4"/>
      <c r="I57" s="4"/>
      <c r="J57" s="4"/>
    </row>
    <row r="58" customFormat="false" ht="15" hidden="false" customHeight="true" outlineLevel="0" collapsed="false">
      <c r="A58" s="4"/>
      <c r="B58" s="4"/>
      <c r="C58" s="4"/>
      <c r="D58" s="12" t="str">
        <f aca="false">IF(C58="","",IFERROR(INDEX('Reference Data'!$C$3:$C$9,MATCH(C58,'Reference Data'!$A$3:$A$9,0)),""))</f>
        <v/>
      </c>
      <c r="E58" s="4"/>
      <c r="F58" s="4"/>
      <c r="G58" s="4"/>
      <c r="H58" s="4"/>
      <c r="I58" s="4"/>
      <c r="J58" s="4"/>
    </row>
    <row r="59" customFormat="false" ht="15" hidden="false" customHeight="true" outlineLevel="0" collapsed="false">
      <c r="A59" s="4"/>
      <c r="B59" s="4"/>
      <c r="C59" s="4"/>
      <c r="D59" s="12" t="str">
        <f aca="false">IF(C59="","",IFERROR(INDEX('Reference Data'!$C$3:$C$9,MATCH(C59,'Reference Data'!$A$3:$A$9,0)),""))</f>
        <v/>
      </c>
      <c r="E59" s="4"/>
      <c r="F59" s="4"/>
      <c r="G59" s="4"/>
      <c r="H59" s="4"/>
      <c r="I59" s="4"/>
      <c r="J59" s="4"/>
    </row>
    <row r="60" customFormat="false" ht="15" hidden="false" customHeight="true" outlineLevel="0" collapsed="false">
      <c r="A60" s="4"/>
      <c r="B60" s="4"/>
      <c r="C60" s="4"/>
      <c r="D60" s="12" t="str">
        <f aca="false">IF(C60="","",IFERROR(INDEX('Reference Data'!$C$3:$C$9,MATCH(C60,'Reference Data'!$A$3:$A$9,0)),""))</f>
        <v/>
      </c>
      <c r="E60" s="4"/>
      <c r="F60" s="4"/>
      <c r="G60" s="4"/>
      <c r="H60" s="4"/>
      <c r="I60" s="4"/>
      <c r="J60" s="4"/>
    </row>
    <row r="61" customFormat="false" ht="15" hidden="false" customHeight="true" outlineLevel="0" collapsed="false">
      <c r="A61" s="4"/>
      <c r="B61" s="4"/>
      <c r="C61" s="4"/>
      <c r="D61" s="12" t="str">
        <f aca="false">IF(C61="","",IFERROR(INDEX('Reference Data'!$C$3:$C$9,MATCH(C61,'Reference Data'!$A$3:$A$9,0)),""))</f>
        <v/>
      </c>
      <c r="E61" s="4"/>
      <c r="F61" s="4"/>
      <c r="G61" s="4"/>
      <c r="H61" s="4"/>
      <c r="I61" s="4"/>
      <c r="J61" s="4"/>
    </row>
    <row r="62" customFormat="false" ht="15" hidden="false" customHeight="true" outlineLevel="0" collapsed="false">
      <c r="A62" s="4"/>
      <c r="B62" s="4"/>
      <c r="C62" s="4"/>
      <c r="D62" s="12" t="str">
        <f aca="false">IF(C62="","",IFERROR(INDEX('Reference Data'!$C$3:$C$9,MATCH(C62,'Reference Data'!$A$3:$A$9,0)),""))</f>
        <v/>
      </c>
      <c r="E62" s="4"/>
      <c r="F62" s="4"/>
      <c r="G62" s="4"/>
      <c r="H62" s="4"/>
      <c r="I62" s="4"/>
      <c r="J62" s="4"/>
    </row>
    <row r="63" customFormat="false" ht="15" hidden="false" customHeight="true" outlineLevel="0" collapsed="false">
      <c r="A63" s="4"/>
      <c r="B63" s="4"/>
      <c r="C63" s="4"/>
      <c r="D63" s="12" t="str">
        <f aca="false">IF(C63="","",IFERROR(INDEX('Reference Data'!$C$3:$C$9,MATCH(C63,'Reference Data'!$A$3:$A$9,0)),""))</f>
        <v/>
      </c>
      <c r="E63" s="4"/>
      <c r="F63" s="4"/>
      <c r="G63" s="4"/>
      <c r="H63" s="4"/>
      <c r="I63" s="4"/>
      <c r="J63" s="4"/>
    </row>
    <row r="64" customFormat="false" ht="15" hidden="false" customHeight="true" outlineLevel="0" collapsed="false">
      <c r="A64" s="4"/>
      <c r="B64" s="4"/>
      <c r="C64" s="4"/>
      <c r="D64" s="12" t="str">
        <f aca="false">IF(C64="","",IFERROR(INDEX('Reference Data'!$C$3:$C$9,MATCH(C64,'Reference Data'!$A$3:$A$9,0)),""))</f>
        <v/>
      </c>
      <c r="E64" s="4"/>
      <c r="F64" s="4"/>
      <c r="G64" s="4"/>
      <c r="H64" s="4"/>
      <c r="I64" s="4"/>
      <c r="J64" s="4"/>
    </row>
    <row r="65" customFormat="false" ht="15" hidden="false" customHeight="true" outlineLevel="0" collapsed="false">
      <c r="A65" s="4"/>
      <c r="B65" s="4"/>
      <c r="C65" s="4"/>
      <c r="D65" s="12" t="str">
        <f aca="false">IF(C65="","",IFERROR(INDEX('Reference Data'!$C$3:$C$9,MATCH(C65,'Reference Data'!$A$3:$A$9,0)),""))</f>
        <v/>
      </c>
      <c r="E65" s="4"/>
      <c r="F65" s="4"/>
      <c r="G65" s="4"/>
      <c r="H65" s="4"/>
      <c r="I65" s="4"/>
      <c r="J65" s="4"/>
    </row>
    <row r="66" customFormat="false" ht="15" hidden="false" customHeight="true" outlineLevel="0" collapsed="false">
      <c r="A66" s="4"/>
      <c r="B66" s="4"/>
      <c r="C66" s="4"/>
      <c r="D66" s="12" t="str">
        <f aca="false">IF(C66="","",IFERROR(INDEX('Reference Data'!$C$3:$C$9,MATCH(C66,'Reference Data'!$A$3:$A$9,0)),""))</f>
        <v/>
      </c>
      <c r="E66" s="4"/>
      <c r="F66" s="4"/>
      <c r="G66" s="4"/>
      <c r="H66" s="4"/>
      <c r="I66" s="4"/>
      <c r="J66" s="4"/>
    </row>
    <row r="67" customFormat="false" ht="15" hidden="false" customHeight="true" outlineLevel="0" collapsed="false">
      <c r="A67" s="4"/>
      <c r="B67" s="4"/>
      <c r="C67" s="4"/>
      <c r="D67" s="12" t="str">
        <f aca="false">IF(C67="","",IFERROR(INDEX('Reference Data'!$C$3:$C$9,MATCH(C67,'Reference Data'!$A$3:$A$9,0)),""))</f>
        <v/>
      </c>
      <c r="E67" s="4"/>
      <c r="F67" s="4"/>
      <c r="G67" s="4"/>
      <c r="H67" s="4"/>
      <c r="I67" s="4"/>
      <c r="J67" s="4"/>
    </row>
    <row r="68" customFormat="false" ht="15" hidden="false" customHeight="true" outlineLevel="0" collapsed="false">
      <c r="A68" s="4"/>
      <c r="B68" s="4"/>
      <c r="C68" s="4"/>
      <c r="D68" s="12" t="str">
        <f aca="false">IF(C68="","",IFERROR(INDEX('Reference Data'!$C$3:$C$9,MATCH(C68,'Reference Data'!$A$3:$A$9,0)),""))</f>
        <v/>
      </c>
      <c r="E68" s="4"/>
      <c r="F68" s="4"/>
      <c r="G68" s="4"/>
      <c r="H68" s="4"/>
      <c r="I68" s="4"/>
      <c r="J68" s="4"/>
    </row>
    <row r="69" customFormat="false" ht="15" hidden="false" customHeight="true" outlineLevel="0" collapsed="false">
      <c r="A69" s="4"/>
      <c r="B69" s="4"/>
      <c r="C69" s="4"/>
      <c r="D69" s="12" t="str">
        <f aca="false">IF(C69="","",IFERROR(INDEX('Reference Data'!$C$3:$C$9,MATCH(C69,'Reference Data'!$A$3:$A$9,0)),""))</f>
        <v/>
      </c>
      <c r="E69" s="4"/>
      <c r="F69" s="4"/>
      <c r="G69" s="4"/>
      <c r="H69" s="4"/>
      <c r="I69" s="4"/>
      <c r="J69" s="4"/>
    </row>
    <row r="70" customFormat="false" ht="15" hidden="false" customHeight="true" outlineLevel="0" collapsed="false">
      <c r="A70" s="4"/>
      <c r="B70" s="4"/>
      <c r="C70" s="4"/>
      <c r="D70" s="12" t="str">
        <f aca="false">IF(C70="","",IFERROR(INDEX('Reference Data'!$C$3:$C$9,MATCH(C70,'Reference Data'!$A$3:$A$9,0)),""))</f>
        <v/>
      </c>
      <c r="E70" s="4"/>
      <c r="F70" s="4"/>
      <c r="G70" s="4"/>
      <c r="H70" s="4"/>
      <c r="I70" s="4"/>
      <c r="J70" s="4"/>
    </row>
    <row r="71" customFormat="false" ht="15" hidden="false" customHeight="true" outlineLevel="0" collapsed="false">
      <c r="A71" s="4"/>
      <c r="B71" s="4"/>
      <c r="C71" s="4"/>
      <c r="D71" s="12" t="str">
        <f aca="false">IF(C71="","",IFERROR(INDEX('Reference Data'!$C$3:$C$9,MATCH(C71,'Reference Data'!$A$3:$A$9,0)),""))</f>
        <v/>
      </c>
      <c r="E71" s="4"/>
      <c r="F71" s="4"/>
      <c r="G71" s="4"/>
      <c r="H71" s="4"/>
      <c r="I71" s="4"/>
      <c r="J71" s="4"/>
    </row>
    <row r="72" customFormat="false" ht="15" hidden="false" customHeight="true" outlineLevel="0" collapsed="false">
      <c r="A72" s="4"/>
      <c r="B72" s="4"/>
      <c r="C72" s="4"/>
      <c r="D72" s="12" t="str">
        <f aca="false">IF(C72="","",IFERROR(INDEX('Reference Data'!$C$3:$C$9,MATCH(C72,'Reference Data'!$A$3:$A$9,0)),""))</f>
        <v/>
      </c>
      <c r="E72" s="4"/>
      <c r="F72" s="4"/>
      <c r="G72" s="4"/>
      <c r="H72" s="4"/>
      <c r="I72" s="4"/>
      <c r="J72" s="4"/>
    </row>
    <row r="73" customFormat="false" ht="15" hidden="false" customHeight="true" outlineLevel="0" collapsed="false">
      <c r="A73" s="4"/>
      <c r="B73" s="4"/>
      <c r="C73" s="4"/>
      <c r="D73" s="12" t="str">
        <f aca="false">IF(C73="","",IFERROR(INDEX('Reference Data'!$C$3:$C$9,MATCH(C73,'Reference Data'!$A$3:$A$9,0)),""))</f>
        <v/>
      </c>
      <c r="E73" s="4"/>
      <c r="F73" s="4"/>
      <c r="G73" s="4"/>
      <c r="H73" s="4"/>
      <c r="I73" s="4"/>
      <c r="J73" s="4"/>
    </row>
    <row r="74" customFormat="false" ht="15" hidden="false" customHeight="true" outlineLevel="0" collapsed="false">
      <c r="A74" s="4"/>
      <c r="B74" s="4"/>
      <c r="C74" s="4"/>
      <c r="D74" s="12" t="str">
        <f aca="false">IF(C74="","",IFERROR(INDEX('Reference Data'!$C$3:$C$9,MATCH(C74,'Reference Data'!$A$3:$A$9,0)),""))</f>
        <v/>
      </c>
      <c r="E74" s="4"/>
      <c r="F74" s="4"/>
      <c r="G74" s="4"/>
      <c r="H74" s="4"/>
      <c r="I74" s="4"/>
      <c r="J74" s="4"/>
    </row>
    <row r="75" customFormat="false" ht="15" hidden="false" customHeight="true" outlineLevel="0" collapsed="false">
      <c r="A75" s="4"/>
      <c r="B75" s="4"/>
      <c r="C75" s="4"/>
      <c r="D75" s="12" t="str">
        <f aca="false">IF(C75="","",IFERROR(INDEX('Reference Data'!$C$3:$C$9,MATCH(C75,'Reference Data'!$A$3:$A$9,0)),""))</f>
        <v/>
      </c>
      <c r="E75" s="4"/>
      <c r="F75" s="4"/>
      <c r="G75" s="4"/>
      <c r="H75" s="4"/>
      <c r="I75" s="4"/>
      <c r="J75" s="4"/>
    </row>
    <row r="76" customFormat="false" ht="15" hidden="false" customHeight="true" outlineLevel="0" collapsed="false">
      <c r="A76" s="4"/>
      <c r="B76" s="4"/>
      <c r="C76" s="4"/>
      <c r="D76" s="12" t="str">
        <f aca="false">IF(C76="","",IFERROR(INDEX('Reference Data'!$C$3:$C$9,MATCH(C76,'Reference Data'!$A$3:$A$9,0)),""))</f>
        <v/>
      </c>
      <c r="E76" s="4"/>
      <c r="F76" s="4"/>
      <c r="G76" s="4"/>
      <c r="H76" s="4"/>
      <c r="I76" s="4"/>
      <c r="J76" s="4"/>
    </row>
    <row r="77" customFormat="false" ht="15" hidden="false" customHeight="true" outlineLevel="0" collapsed="false">
      <c r="A77" s="4"/>
      <c r="B77" s="4"/>
      <c r="C77" s="4"/>
      <c r="D77" s="12" t="str">
        <f aca="false">IF(C77="","",IFERROR(INDEX('Reference Data'!$C$3:$C$9,MATCH(C77,'Reference Data'!$A$3:$A$9,0)),""))</f>
        <v/>
      </c>
      <c r="E77" s="4"/>
      <c r="F77" s="4"/>
      <c r="G77" s="4"/>
      <c r="H77" s="4"/>
      <c r="I77" s="4"/>
      <c r="J77" s="4"/>
    </row>
    <row r="78" customFormat="false" ht="15" hidden="false" customHeight="true" outlineLevel="0" collapsed="false">
      <c r="A78" s="4"/>
      <c r="B78" s="4"/>
      <c r="C78" s="4"/>
      <c r="D78" s="12" t="str">
        <f aca="false">IF(C78="","",IFERROR(INDEX('Reference Data'!$C$3:$C$9,MATCH(C78,'Reference Data'!$A$3:$A$9,0)),""))</f>
        <v/>
      </c>
      <c r="E78" s="4"/>
      <c r="F78" s="4"/>
      <c r="G78" s="4"/>
      <c r="H78" s="4"/>
      <c r="I78" s="4"/>
      <c r="J78" s="4"/>
    </row>
    <row r="79" customFormat="false" ht="15" hidden="false" customHeight="true" outlineLevel="0" collapsed="false">
      <c r="A79" s="4"/>
      <c r="B79" s="4"/>
      <c r="C79" s="4"/>
      <c r="D79" s="12" t="str">
        <f aca="false">IF(C79="","",IFERROR(INDEX('Reference Data'!$C$3:$C$9,MATCH(C79,'Reference Data'!$A$3:$A$9,0)),""))</f>
        <v/>
      </c>
      <c r="E79" s="4"/>
      <c r="F79" s="4"/>
      <c r="G79" s="4"/>
      <c r="H79" s="4"/>
      <c r="I79" s="4"/>
      <c r="J79" s="4"/>
    </row>
    <row r="80" customFormat="false" ht="15" hidden="false" customHeight="true" outlineLevel="0" collapsed="false">
      <c r="A80" s="4"/>
      <c r="B80" s="4"/>
      <c r="C80" s="4"/>
      <c r="D80" s="12" t="str">
        <f aca="false">IF(C80="","",IFERROR(INDEX('Reference Data'!$C$3:$C$9,MATCH(C80,'Reference Data'!$A$3:$A$9,0)),""))</f>
        <v/>
      </c>
      <c r="E80" s="4"/>
      <c r="F80" s="4"/>
      <c r="G80" s="4"/>
      <c r="H80" s="4"/>
      <c r="I80" s="4"/>
      <c r="J80" s="4"/>
    </row>
    <row r="81" customFormat="false" ht="15" hidden="false" customHeight="true" outlineLevel="0" collapsed="false">
      <c r="A81" s="4"/>
      <c r="B81" s="4"/>
      <c r="C81" s="4"/>
      <c r="D81" s="12" t="str">
        <f aca="false">IF(C81="","",IFERROR(INDEX('Reference Data'!$C$3:$C$9,MATCH(C81,'Reference Data'!$A$3:$A$9,0)),""))</f>
        <v/>
      </c>
      <c r="E81" s="4"/>
      <c r="F81" s="4"/>
      <c r="G81" s="4"/>
      <c r="H81" s="4"/>
      <c r="I81" s="4"/>
      <c r="J81" s="4"/>
    </row>
    <row r="82" customFormat="false" ht="15" hidden="false" customHeight="true" outlineLevel="0" collapsed="false">
      <c r="A82" s="4"/>
      <c r="B82" s="4"/>
      <c r="C82" s="4"/>
      <c r="D82" s="12" t="str">
        <f aca="false">IF(C82="","",IFERROR(INDEX('Reference Data'!$C$3:$C$9,MATCH(C82,'Reference Data'!$A$3:$A$9,0)),""))</f>
        <v/>
      </c>
      <c r="E82" s="4"/>
      <c r="F82" s="4"/>
      <c r="G82" s="4"/>
      <c r="H82" s="4"/>
      <c r="I82" s="4"/>
      <c r="J82" s="4"/>
    </row>
    <row r="83" customFormat="false" ht="15" hidden="false" customHeight="true" outlineLevel="0" collapsed="false">
      <c r="A83" s="4"/>
      <c r="B83" s="4"/>
      <c r="C83" s="4"/>
      <c r="D83" s="12" t="str">
        <f aca="false">IF(C83="","",IFERROR(INDEX('Reference Data'!$C$3:$C$9,MATCH(C83,'Reference Data'!$A$3:$A$9,0)),""))</f>
        <v/>
      </c>
      <c r="E83" s="4"/>
      <c r="F83" s="4"/>
      <c r="G83" s="4"/>
      <c r="H83" s="4"/>
      <c r="I83" s="4"/>
      <c r="J83" s="4"/>
    </row>
    <row r="84" customFormat="false" ht="15" hidden="false" customHeight="true" outlineLevel="0" collapsed="false">
      <c r="A84" s="4"/>
      <c r="B84" s="4"/>
      <c r="C84" s="4"/>
      <c r="D84" s="12" t="str">
        <f aca="false">IF(C84="","",IFERROR(INDEX('Reference Data'!$C$3:$C$9,MATCH(C84,'Reference Data'!$A$3:$A$9,0)),""))</f>
        <v/>
      </c>
      <c r="E84" s="4"/>
      <c r="F84" s="4"/>
      <c r="G84" s="4"/>
      <c r="H84" s="4"/>
      <c r="I84" s="4"/>
      <c r="J84" s="4"/>
    </row>
    <row r="85" customFormat="false" ht="15" hidden="false" customHeight="true" outlineLevel="0" collapsed="false">
      <c r="A85" s="4"/>
      <c r="B85" s="4"/>
      <c r="C85" s="4"/>
      <c r="D85" s="12" t="str">
        <f aca="false">IF(C85="","",IFERROR(INDEX('Reference Data'!$C$3:$C$9,MATCH(C85,'Reference Data'!$A$3:$A$9,0)),""))</f>
        <v/>
      </c>
      <c r="E85" s="4"/>
      <c r="F85" s="4"/>
      <c r="G85" s="4"/>
      <c r="H85" s="4"/>
      <c r="I85" s="4"/>
      <c r="J85" s="4"/>
    </row>
    <row r="86" customFormat="false" ht="15" hidden="false" customHeight="true" outlineLevel="0" collapsed="false">
      <c r="A86" s="4"/>
      <c r="B86" s="4"/>
      <c r="C86" s="4"/>
      <c r="D86" s="12" t="str">
        <f aca="false">IF(C86="","",IFERROR(INDEX('Reference Data'!$C$3:$C$9,MATCH(C86,'Reference Data'!$A$3:$A$9,0)),""))</f>
        <v/>
      </c>
      <c r="E86" s="4"/>
      <c r="F86" s="4"/>
      <c r="G86" s="4"/>
      <c r="H86" s="4"/>
      <c r="I86" s="4"/>
      <c r="J86" s="4"/>
    </row>
    <row r="87" customFormat="false" ht="15" hidden="false" customHeight="true" outlineLevel="0" collapsed="false">
      <c r="A87" s="4"/>
      <c r="B87" s="4"/>
      <c r="C87" s="4"/>
      <c r="D87" s="12" t="str">
        <f aca="false">IF(C87="","",IFERROR(INDEX('Reference Data'!$C$3:$C$9,MATCH(C87,'Reference Data'!$A$3:$A$9,0)),""))</f>
        <v/>
      </c>
      <c r="E87" s="4"/>
      <c r="F87" s="4"/>
      <c r="G87" s="4"/>
      <c r="H87" s="4"/>
      <c r="I87" s="4"/>
      <c r="J87" s="4"/>
    </row>
    <row r="88" customFormat="false" ht="15" hidden="false" customHeight="true" outlineLevel="0" collapsed="false">
      <c r="A88" s="4"/>
      <c r="B88" s="4"/>
      <c r="C88" s="4"/>
      <c r="D88" s="12" t="str">
        <f aca="false">IF(C88="","",IFERROR(INDEX('Reference Data'!$C$3:$C$9,MATCH(C88,'Reference Data'!$A$3:$A$9,0)),""))</f>
        <v/>
      </c>
      <c r="E88" s="4"/>
      <c r="F88" s="4"/>
      <c r="G88" s="4"/>
      <c r="H88" s="4"/>
      <c r="I88" s="4"/>
      <c r="J88" s="4"/>
    </row>
    <row r="89" customFormat="false" ht="15" hidden="false" customHeight="true" outlineLevel="0" collapsed="false">
      <c r="A89" s="4"/>
      <c r="B89" s="4"/>
      <c r="C89" s="4"/>
      <c r="D89" s="12" t="str">
        <f aca="false">IF(C89="","",IFERROR(INDEX('Reference Data'!$C$3:$C$9,MATCH(C89,'Reference Data'!$A$3:$A$9,0)),""))</f>
        <v/>
      </c>
      <c r="E89" s="4"/>
      <c r="F89" s="4"/>
      <c r="G89" s="4"/>
      <c r="H89" s="4"/>
      <c r="I89" s="4"/>
      <c r="J89" s="4"/>
    </row>
    <row r="90" customFormat="false" ht="15" hidden="false" customHeight="true" outlineLevel="0" collapsed="false">
      <c r="A90" s="4"/>
      <c r="B90" s="4"/>
      <c r="C90" s="4"/>
      <c r="D90" s="12" t="str">
        <f aca="false">IF(C90="","",IFERROR(INDEX('Reference Data'!$C$3:$C$9,MATCH(C90,'Reference Data'!$A$3:$A$9,0)),""))</f>
        <v/>
      </c>
      <c r="E90" s="4"/>
      <c r="F90" s="4"/>
      <c r="G90" s="4"/>
      <c r="H90" s="4"/>
      <c r="I90" s="4"/>
      <c r="J90" s="4"/>
    </row>
    <row r="91" customFormat="false" ht="15" hidden="false" customHeight="true" outlineLevel="0" collapsed="false">
      <c r="A91" s="4"/>
      <c r="B91" s="4"/>
      <c r="C91" s="4"/>
      <c r="D91" s="12" t="str">
        <f aca="false">IF(C91="","",IFERROR(INDEX('Reference Data'!$C$3:$C$9,MATCH(C91,'Reference Data'!$A$3:$A$9,0)),""))</f>
        <v/>
      </c>
      <c r="E91" s="4"/>
      <c r="F91" s="4"/>
      <c r="G91" s="4"/>
      <c r="H91" s="4"/>
      <c r="I91" s="4"/>
      <c r="J91" s="4"/>
    </row>
    <row r="92" customFormat="false" ht="15" hidden="false" customHeight="true" outlineLevel="0" collapsed="false">
      <c r="A92" s="4"/>
      <c r="B92" s="4"/>
      <c r="C92" s="4"/>
      <c r="D92" s="12" t="str">
        <f aca="false">IF(C92="","",IFERROR(INDEX('Reference Data'!$C$3:$C$9,MATCH(C92,'Reference Data'!$A$3:$A$9,0)),""))</f>
        <v/>
      </c>
      <c r="E92" s="4"/>
      <c r="F92" s="4"/>
      <c r="G92" s="4"/>
      <c r="H92" s="4"/>
      <c r="I92" s="4"/>
      <c r="J92" s="4"/>
    </row>
    <row r="93" customFormat="false" ht="15" hidden="false" customHeight="true" outlineLevel="0" collapsed="false">
      <c r="A93" s="4"/>
      <c r="B93" s="4"/>
      <c r="C93" s="4"/>
      <c r="D93" s="12" t="str">
        <f aca="false">IF(C93="","",IFERROR(INDEX('Reference Data'!$C$3:$C$9,MATCH(C93,'Reference Data'!$A$3:$A$9,0)),""))</f>
        <v/>
      </c>
      <c r="E93" s="4"/>
      <c r="F93" s="4"/>
      <c r="G93" s="4"/>
      <c r="H93" s="4"/>
      <c r="I93" s="4"/>
      <c r="J93" s="4"/>
    </row>
    <row r="94" customFormat="false" ht="15" hidden="false" customHeight="true" outlineLevel="0" collapsed="false">
      <c r="A94" s="4"/>
      <c r="B94" s="4"/>
      <c r="C94" s="4"/>
      <c r="D94" s="12" t="str">
        <f aca="false">IF(C94="","",IFERROR(INDEX('Reference Data'!$C$3:$C$9,MATCH(C94,'Reference Data'!$A$3:$A$9,0)),""))</f>
        <v/>
      </c>
      <c r="E94" s="4"/>
      <c r="F94" s="4"/>
      <c r="G94" s="4"/>
      <c r="H94" s="4"/>
      <c r="I94" s="4"/>
      <c r="J94" s="4"/>
    </row>
    <row r="95" customFormat="false" ht="15" hidden="false" customHeight="true" outlineLevel="0" collapsed="false">
      <c r="A95" s="4"/>
      <c r="B95" s="4"/>
      <c r="C95" s="4"/>
      <c r="D95" s="12" t="str">
        <f aca="false">IF(C95="","",IFERROR(INDEX('Reference Data'!$C$3:$C$9,MATCH(C95,'Reference Data'!$A$3:$A$9,0)),""))</f>
        <v/>
      </c>
      <c r="E95" s="4"/>
      <c r="F95" s="4"/>
      <c r="G95" s="4"/>
      <c r="H95" s="4"/>
      <c r="I95" s="4"/>
      <c r="J95" s="4"/>
    </row>
    <row r="96" customFormat="false" ht="15" hidden="false" customHeight="true" outlineLevel="0" collapsed="false">
      <c r="A96" s="4"/>
      <c r="B96" s="4"/>
      <c r="C96" s="4"/>
      <c r="D96" s="12" t="str">
        <f aca="false">IF(C96="","",IFERROR(INDEX('Reference Data'!$C$3:$C$9,MATCH(C96,'Reference Data'!$A$3:$A$9,0)),""))</f>
        <v/>
      </c>
      <c r="E96" s="4"/>
      <c r="F96" s="4"/>
      <c r="G96" s="4"/>
      <c r="H96" s="4"/>
      <c r="I96" s="4"/>
      <c r="J96" s="4"/>
    </row>
    <row r="97" customFormat="false" ht="15" hidden="false" customHeight="true" outlineLevel="0" collapsed="false">
      <c r="A97" s="4"/>
      <c r="B97" s="4"/>
      <c r="C97" s="4"/>
      <c r="D97" s="12" t="str">
        <f aca="false">IF(C97="","",IFERROR(INDEX('Reference Data'!$C$3:$C$9,MATCH(C97,'Reference Data'!$A$3:$A$9,0)),""))</f>
        <v/>
      </c>
      <c r="E97" s="4"/>
      <c r="F97" s="4"/>
      <c r="G97" s="4"/>
      <c r="H97" s="4"/>
      <c r="I97" s="4"/>
      <c r="J97" s="4"/>
    </row>
    <row r="98" customFormat="false" ht="15" hidden="false" customHeight="true" outlineLevel="0" collapsed="false">
      <c r="A98" s="4"/>
      <c r="B98" s="4"/>
      <c r="C98" s="4"/>
      <c r="D98" s="12" t="str">
        <f aca="false">IF(C98="","",IFERROR(INDEX('Reference Data'!$C$3:$C$9,MATCH(C98,'Reference Data'!$A$3:$A$9,0)),""))</f>
        <v/>
      </c>
      <c r="E98" s="4"/>
      <c r="F98" s="4"/>
      <c r="G98" s="4"/>
      <c r="H98" s="4"/>
      <c r="I98" s="4"/>
      <c r="J98" s="4"/>
    </row>
    <row r="99" customFormat="false" ht="15" hidden="false" customHeight="true" outlineLevel="0" collapsed="false">
      <c r="A99" s="4"/>
      <c r="B99" s="4"/>
      <c r="C99" s="4"/>
      <c r="D99" s="12" t="str">
        <f aca="false">IF(C99="","",IFERROR(INDEX('Reference Data'!$C$3:$C$9,MATCH(C99,'Reference Data'!$A$3:$A$9,0)),""))</f>
        <v/>
      </c>
      <c r="E99" s="4"/>
      <c r="F99" s="4"/>
      <c r="G99" s="4"/>
      <c r="H99" s="4"/>
      <c r="I99" s="4"/>
      <c r="J99" s="4"/>
    </row>
    <row r="100" customFormat="false" ht="15" hidden="false" customHeight="true" outlineLevel="0" collapsed="false">
      <c r="A100" s="4"/>
      <c r="B100" s="4"/>
      <c r="C100" s="4"/>
      <c r="D100" s="12" t="str">
        <f aca="false">IF(C100="","",IFERROR(INDEX('Reference Data'!$C$3:$C$9,MATCH(C100,'Reference Data'!$A$3:$A$9,0)),""))</f>
        <v/>
      </c>
      <c r="E100" s="4"/>
      <c r="F100" s="4"/>
      <c r="G100" s="4"/>
      <c r="H100" s="4"/>
      <c r="I100" s="4"/>
      <c r="J100" s="4"/>
    </row>
    <row r="101" customFormat="false" ht="15" hidden="false" customHeight="true" outlineLevel="0" collapsed="false">
      <c r="A101" s="4"/>
      <c r="B101" s="4"/>
      <c r="C101" s="4"/>
      <c r="D101" s="12" t="str">
        <f aca="false">IF(C101="","",IFERROR(INDEX('Reference Data'!$C$3:$C$9,MATCH(C101,'Reference Data'!$A$3:$A$9,0)),""))</f>
        <v/>
      </c>
      <c r="E101" s="4"/>
      <c r="F101" s="4"/>
      <c r="G101" s="4"/>
      <c r="H101" s="4"/>
      <c r="I101" s="4"/>
      <c r="J101" s="4"/>
    </row>
    <row r="102" customFormat="false" ht="15" hidden="false" customHeight="true" outlineLevel="0" collapsed="false">
      <c r="A102" s="4"/>
      <c r="B102" s="4"/>
      <c r="C102" s="4"/>
      <c r="D102" s="12" t="str">
        <f aca="false">IF(C102="","",IFERROR(INDEX('Reference Data'!$C$3:$C$9,MATCH(C102,'Reference Data'!$A$3:$A$9,0)),""))</f>
        <v/>
      </c>
      <c r="E102" s="4"/>
      <c r="F102" s="4"/>
      <c r="G102" s="4"/>
      <c r="H102" s="4"/>
      <c r="I102" s="4"/>
      <c r="J102" s="4"/>
    </row>
    <row r="103" customFormat="false" ht="15" hidden="false" customHeight="true" outlineLevel="0" collapsed="false">
      <c r="A103" s="4"/>
      <c r="B103" s="4"/>
      <c r="C103" s="4"/>
      <c r="D103" s="12" t="str">
        <f aca="false">IF(C103="","",IFERROR(INDEX('Reference Data'!$C$3:$C$9,MATCH(C103,'Reference Data'!$A$3:$A$9,0)),""))</f>
        <v/>
      </c>
      <c r="E103" s="4"/>
      <c r="F103" s="4"/>
      <c r="G103" s="4"/>
      <c r="H103" s="4"/>
      <c r="I103" s="4"/>
      <c r="J103" s="4"/>
    </row>
    <row r="104" customFormat="false" ht="15" hidden="false" customHeight="true" outlineLevel="0" collapsed="false">
      <c r="A104" s="4"/>
      <c r="B104" s="4"/>
      <c r="C104" s="4"/>
      <c r="D104" s="12" t="str">
        <f aca="false">IF(C104="","",IFERROR(INDEX('Reference Data'!$C$3:$C$9,MATCH(C104,'Reference Data'!$A$3:$A$9,0)),""))</f>
        <v/>
      </c>
      <c r="E104" s="4"/>
      <c r="F104" s="4"/>
      <c r="G104" s="4"/>
      <c r="H104" s="4"/>
      <c r="I104" s="4"/>
      <c r="J104" s="4"/>
    </row>
    <row r="105" customFormat="false" ht="15" hidden="false" customHeight="true" outlineLevel="0" collapsed="false">
      <c r="A105" s="4"/>
      <c r="B105" s="4"/>
      <c r="C105" s="4"/>
      <c r="D105" s="12" t="str">
        <f aca="false">IF(C105="","",IFERROR(INDEX('Reference Data'!$C$3:$C$9,MATCH(C105,'Reference Data'!$A$3:$A$9,0)),""))</f>
        <v/>
      </c>
      <c r="E105" s="4"/>
      <c r="F105" s="4"/>
      <c r="G105" s="4"/>
      <c r="H105" s="4"/>
      <c r="I105" s="4"/>
      <c r="J105" s="4"/>
    </row>
    <row r="106" customFormat="false" ht="15" hidden="false" customHeight="true" outlineLevel="0" collapsed="false">
      <c r="A106" s="4"/>
      <c r="B106" s="4"/>
      <c r="C106" s="4"/>
      <c r="D106" s="12" t="str">
        <f aca="false">IF(C106="","",IFERROR(INDEX('Reference Data'!$C$3:$C$9,MATCH(C106,'Reference Data'!$A$3:$A$9,0)),""))</f>
        <v/>
      </c>
      <c r="E106" s="4"/>
      <c r="F106" s="4"/>
      <c r="G106" s="4"/>
      <c r="H106" s="4"/>
      <c r="I106" s="4"/>
      <c r="J106" s="4"/>
    </row>
    <row r="107" customFormat="false" ht="15" hidden="false" customHeight="true" outlineLevel="0" collapsed="false">
      <c r="A107" s="4"/>
      <c r="B107" s="4"/>
      <c r="C107" s="4"/>
      <c r="D107" s="12" t="str">
        <f aca="false">IF(C107="","",IFERROR(INDEX('Reference Data'!$C$3:$C$9,MATCH(C107,'Reference Data'!$A$3:$A$9,0)),""))</f>
        <v/>
      </c>
      <c r="E107" s="4"/>
      <c r="F107" s="4"/>
      <c r="G107" s="4"/>
      <c r="H107" s="4"/>
      <c r="I107" s="4"/>
      <c r="J107" s="4"/>
    </row>
    <row r="108" customFormat="false" ht="15" hidden="false" customHeight="true" outlineLevel="0" collapsed="false">
      <c r="A108" s="4"/>
      <c r="B108" s="4"/>
      <c r="C108" s="4"/>
      <c r="D108" s="12" t="str">
        <f aca="false">IF(C108="","",IFERROR(INDEX('Reference Data'!$C$3:$C$9,MATCH(C108,'Reference Data'!$A$3:$A$9,0)),""))</f>
        <v/>
      </c>
      <c r="E108" s="4"/>
      <c r="F108" s="4"/>
      <c r="G108" s="4"/>
      <c r="H108" s="4"/>
      <c r="I108" s="4"/>
      <c r="J108" s="4"/>
    </row>
    <row r="109" customFormat="false" ht="15" hidden="false" customHeight="true" outlineLevel="0" collapsed="false">
      <c r="A109" s="4"/>
      <c r="B109" s="4"/>
      <c r="C109" s="4"/>
      <c r="D109" s="12" t="str">
        <f aca="false">IF(C109="","",IFERROR(INDEX('Reference Data'!$C$3:$C$9,MATCH(C109,'Reference Data'!$A$3:$A$9,0)),""))</f>
        <v/>
      </c>
      <c r="E109" s="4"/>
      <c r="F109" s="4"/>
      <c r="G109" s="4"/>
      <c r="H109" s="4"/>
      <c r="I109" s="4"/>
      <c r="J109" s="4"/>
    </row>
    <row r="110" customFormat="false" ht="15" hidden="false" customHeight="true" outlineLevel="0" collapsed="false">
      <c r="A110" s="4"/>
      <c r="B110" s="4"/>
      <c r="C110" s="4"/>
      <c r="D110" s="12" t="str">
        <f aca="false">IF(C110="","",IFERROR(INDEX('Reference Data'!$C$3:$C$9,MATCH(C110,'Reference Data'!$A$3:$A$9,0)),""))</f>
        <v/>
      </c>
      <c r="E110" s="4"/>
      <c r="F110" s="4"/>
      <c r="G110" s="4"/>
      <c r="H110" s="4"/>
      <c r="I110" s="4"/>
      <c r="J110" s="4"/>
    </row>
    <row r="111" customFormat="false" ht="15" hidden="false" customHeight="true" outlineLevel="0" collapsed="false">
      <c r="A111" s="4"/>
      <c r="B111" s="4"/>
      <c r="C111" s="4"/>
      <c r="D111" s="12" t="str">
        <f aca="false">IF(C111="","",IFERROR(INDEX('Reference Data'!$C$3:$C$9,MATCH(C111,'Reference Data'!$A$3:$A$9,0)),""))</f>
        <v/>
      </c>
      <c r="E111" s="4"/>
      <c r="F111" s="4"/>
      <c r="G111" s="4"/>
      <c r="H111" s="4"/>
      <c r="I111" s="4"/>
      <c r="J111" s="4"/>
    </row>
    <row r="112" customFormat="false" ht="15" hidden="false" customHeight="true" outlineLevel="0" collapsed="false">
      <c r="A112" s="4"/>
      <c r="B112" s="4"/>
      <c r="C112" s="4"/>
      <c r="D112" s="12" t="str">
        <f aca="false">IF(C112="","",IFERROR(INDEX('Reference Data'!$C$3:$C$9,MATCH(C112,'Reference Data'!$A$3:$A$9,0)),""))</f>
        <v/>
      </c>
      <c r="E112" s="4"/>
      <c r="F112" s="4"/>
      <c r="G112" s="4"/>
      <c r="H112" s="4"/>
      <c r="I112" s="4"/>
      <c r="J112" s="4"/>
    </row>
    <row r="113" customFormat="false" ht="15" hidden="false" customHeight="true" outlineLevel="0" collapsed="false">
      <c r="A113" s="4"/>
      <c r="B113" s="4"/>
      <c r="C113" s="4"/>
      <c r="D113" s="12" t="str">
        <f aca="false">IF(C113="","",IFERROR(INDEX('Reference Data'!$C$3:$C$9,MATCH(C113,'Reference Data'!$A$3:$A$9,0)),""))</f>
        <v/>
      </c>
      <c r="E113" s="4"/>
      <c r="F113" s="4"/>
      <c r="G113" s="4"/>
      <c r="H113" s="4"/>
      <c r="I113" s="4"/>
      <c r="J113" s="4"/>
    </row>
    <row r="114" customFormat="false" ht="15" hidden="false" customHeight="true" outlineLevel="0" collapsed="false">
      <c r="A114" s="4"/>
      <c r="B114" s="4"/>
      <c r="C114" s="4"/>
      <c r="D114" s="12" t="str">
        <f aca="false">IF(C114="","",IFERROR(INDEX('Reference Data'!$C$3:$C$9,MATCH(C114,'Reference Data'!$A$3:$A$9,0)),""))</f>
        <v/>
      </c>
      <c r="E114" s="4"/>
      <c r="F114" s="4"/>
      <c r="G114" s="4"/>
      <c r="H114" s="4"/>
      <c r="I114" s="4"/>
      <c r="J114" s="4"/>
    </row>
    <row r="115" customFormat="false" ht="15" hidden="false" customHeight="true" outlineLevel="0" collapsed="false">
      <c r="A115" s="4"/>
      <c r="B115" s="4"/>
      <c r="C115" s="4"/>
      <c r="D115" s="12" t="str">
        <f aca="false">IF(C115="","",IFERROR(INDEX('Reference Data'!$C$3:$C$9,MATCH(C115,'Reference Data'!$A$3:$A$9,0)),""))</f>
        <v/>
      </c>
      <c r="E115" s="4"/>
      <c r="F115" s="4"/>
      <c r="G115" s="4"/>
      <c r="H115" s="4"/>
      <c r="I115" s="4"/>
      <c r="J115" s="4"/>
    </row>
    <row r="116" customFormat="false" ht="15" hidden="false" customHeight="true" outlineLevel="0" collapsed="false">
      <c r="A116" s="4"/>
      <c r="B116" s="4"/>
      <c r="C116" s="4"/>
      <c r="D116" s="12" t="str">
        <f aca="false">IF(C116="","",IFERROR(INDEX('Reference Data'!$C$3:$C$9,MATCH(C116,'Reference Data'!$A$3:$A$9,0)),""))</f>
        <v/>
      </c>
      <c r="E116" s="4"/>
      <c r="F116" s="4"/>
      <c r="G116" s="4"/>
      <c r="H116" s="4"/>
      <c r="I116" s="4"/>
      <c r="J116" s="4"/>
    </row>
    <row r="117" customFormat="false" ht="15" hidden="false" customHeight="true" outlineLevel="0" collapsed="false">
      <c r="A117" s="4"/>
      <c r="B117" s="4"/>
      <c r="C117" s="4"/>
      <c r="D117" s="12" t="str">
        <f aca="false">IF(C117="","",IFERROR(INDEX('Reference Data'!$C$3:$C$9,MATCH(C117,'Reference Data'!$A$3:$A$9,0)),""))</f>
        <v/>
      </c>
      <c r="E117" s="4"/>
      <c r="F117" s="4"/>
      <c r="G117" s="4"/>
      <c r="H117" s="4"/>
      <c r="I117" s="4"/>
      <c r="J117" s="4"/>
    </row>
    <row r="118" customFormat="false" ht="15" hidden="false" customHeight="true" outlineLevel="0" collapsed="false">
      <c r="A118" s="4"/>
      <c r="B118" s="4"/>
      <c r="C118" s="4"/>
      <c r="D118" s="12" t="str">
        <f aca="false">IF(C118="","",IFERROR(INDEX('Reference Data'!$C$3:$C$9,MATCH(C118,'Reference Data'!$A$3:$A$9,0)),""))</f>
        <v/>
      </c>
      <c r="E118" s="4"/>
      <c r="F118" s="4"/>
      <c r="G118" s="4"/>
      <c r="H118" s="4"/>
      <c r="I118" s="4"/>
      <c r="J118" s="4"/>
    </row>
    <row r="119" customFormat="false" ht="15" hidden="false" customHeight="true" outlineLevel="0" collapsed="false">
      <c r="A119" s="4"/>
      <c r="B119" s="4"/>
      <c r="C119" s="4"/>
      <c r="D119" s="12" t="str">
        <f aca="false">IF(C119="","",IFERROR(INDEX('Reference Data'!$C$3:$C$9,MATCH(C119,'Reference Data'!$A$3:$A$9,0)),""))</f>
        <v/>
      </c>
      <c r="E119" s="4"/>
      <c r="F119" s="4"/>
      <c r="G119" s="4"/>
      <c r="H119" s="4"/>
      <c r="I119" s="4"/>
      <c r="J119" s="4"/>
    </row>
    <row r="120" customFormat="false" ht="15" hidden="false" customHeight="true" outlineLevel="0" collapsed="false">
      <c r="A120" s="4"/>
      <c r="B120" s="4"/>
      <c r="C120" s="4"/>
      <c r="D120" s="12" t="str">
        <f aca="false">IF(C120="","",IFERROR(INDEX('Reference Data'!$C$3:$C$9,MATCH(C120,'Reference Data'!$A$3:$A$9,0)),""))</f>
        <v/>
      </c>
      <c r="E120" s="4"/>
      <c r="F120" s="4"/>
      <c r="G120" s="4"/>
      <c r="H120" s="4"/>
      <c r="I120" s="4"/>
      <c r="J120" s="4"/>
    </row>
    <row r="121" customFormat="false" ht="15" hidden="false" customHeight="true" outlineLevel="0" collapsed="false">
      <c r="A121" s="4"/>
      <c r="B121" s="4"/>
      <c r="C121" s="4"/>
      <c r="D121" s="12" t="str">
        <f aca="false">IF(C121="","",IFERROR(INDEX('Reference Data'!$C$3:$C$9,MATCH(C121,'Reference Data'!$A$3:$A$9,0)),""))</f>
        <v/>
      </c>
      <c r="E121" s="4"/>
      <c r="F121" s="4"/>
      <c r="G121" s="4"/>
      <c r="H121" s="4"/>
      <c r="I121" s="4"/>
      <c r="J121" s="4"/>
    </row>
    <row r="122" customFormat="false" ht="15" hidden="false" customHeight="true" outlineLevel="0" collapsed="false">
      <c r="A122" s="4"/>
      <c r="B122" s="4"/>
      <c r="C122" s="4"/>
      <c r="D122" s="12" t="str">
        <f aca="false">IF(C122="","",IFERROR(INDEX('Reference Data'!$C$3:$C$9,MATCH(C122,'Reference Data'!$A$3:$A$9,0)),""))</f>
        <v/>
      </c>
      <c r="E122" s="4"/>
      <c r="F122" s="4"/>
      <c r="G122" s="4"/>
      <c r="H122" s="4"/>
      <c r="I122" s="4"/>
      <c r="J122" s="4"/>
    </row>
  </sheetData>
  <mergeCells count="1">
    <mergeCell ref="A1:J1"/>
  </mergeCells>
  <conditionalFormatting sqref="E3:E122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6">
    <dataValidation allowBlank="true" errorStyle="stop" operator="between" showDropDown="false" showErrorMessage="false" showInputMessage="false" sqref="B3:B122" type="list">
      <formula1>"CH-01,CH-02,CH-03,CH-04"</formula1>
      <formula2>0</formula2>
    </dataValidation>
    <dataValidation allowBlank="true" errorStyle="stop" operator="between" showDropDown="false" showErrorMessage="false" showInputMessage="false" sqref="C3:C122" type="list">
      <formula1>"AUD-01,AUD-02,AUD-03,AUD-04,AUD-05,AUD-06,AUD-07"</formula1>
      <formula2>0</formula2>
    </dataValidation>
    <dataValidation allowBlank="true" errorStyle="stop" operator="between" showDropDown="false" showErrorMessage="false" showInputMessage="false" sqref="E3:E122" type="list">
      <formula1>"High,Medium,Low"</formula1>
      <formula2>0</formula2>
    </dataValidation>
    <dataValidation allowBlank="true" errorStyle="stop" operator="between" showDropDown="false" showErrorMessage="false" showInputMessage="false" sqref="H3:H122" type="list">
      <formula1>"Proficiency,Working Knowledge,Awareness"</formula1>
      <formula2>0</formula2>
    </dataValidation>
    <dataValidation allowBlank="true" errorStyle="stop" operator="between" showDropDown="false" showErrorMessage="false" showInputMessage="false" sqref="I3:I122" type="list">
      <formula1>"Course,Job aid only,Communications Plan,Existing training"</formula1>
      <formula2>0</formula2>
    </dataValidation>
    <dataValidation allowBlank="true" errorStyle="stop" operator="between" showDropDown="false" showErrorMessage="false" showInputMessage="false" sqref="J3:J12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6"/>
  </cols>
  <sheetData>
    <row r="1" customFormat="false" ht="25.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  <c r="G2" s="9" t="s">
        <v>95</v>
      </c>
      <c r="H2" s="9" t="s">
        <v>96</v>
      </c>
      <c r="I2" s="9" t="s">
        <v>97</v>
      </c>
      <c r="J2" s="9" t="s">
        <v>98</v>
      </c>
    </row>
    <row r="3" customFormat="false" ht="34.5" hidden="false" customHeight="true" outlineLevel="0" collapsed="false">
      <c r="A3" s="10" t="s">
        <v>99</v>
      </c>
      <c r="B3" s="10" t="s">
        <v>100</v>
      </c>
      <c r="C3" s="10" t="s">
        <v>101</v>
      </c>
      <c r="D3" s="10" t="s">
        <v>81</v>
      </c>
      <c r="E3" s="10" t="s">
        <v>102</v>
      </c>
      <c r="F3" s="10" t="s">
        <v>103</v>
      </c>
      <c r="G3" s="10" t="s">
        <v>104</v>
      </c>
      <c r="H3" s="10" t="s">
        <v>105</v>
      </c>
      <c r="I3" s="10" t="s">
        <v>106</v>
      </c>
      <c r="J3" s="10" t="s">
        <v>107</v>
      </c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</row>
    <row r="9" customFormat="false" ht="1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</row>
    <row r="10" customFormat="false" ht="1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</row>
  </sheetData>
  <mergeCells count="1">
    <mergeCell ref="A1:J1"/>
  </mergeCells>
  <conditionalFormatting sqref="H3:H122">
    <cfRule type="cellIs" priority="2" operator="equal" aboveAverage="0" equalAverage="0" bottom="0" percent="0" rank="0" text="" dxfId="2">
      <formula>"Ready"</formula>
    </cfRule>
    <cfRule type="cellIs" priority="3" operator="equal" aboveAverage="0" equalAverage="0" bottom="0" percent="0" rank="0" text="" dxfId="0">
      <formula>"Not Started"</formula>
    </cfRule>
  </conditionalFormatting>
  <dataValidations count="2">
    <dataValidation allowBlank="true" errorStyle="stop" operator="between" showDropDown="false" showErrorMessage="false" showInputMessage="false" sqref="E3:E122" type="list">
      <formula1>"eLearning,Instructor-led,Workshop,Job aid,Knowledge article,Office hours,Simulation / sandbox"</formula1>
      <formula2>0</formula2>
    </dataValidation>
    <dataValidation allowBlank="true" errorStyle="stop" operator="between" showDropDown="false" showErrorMessage="false" showInputMessage="false" sqref="H3:H122" type="list">
      <formula1>"Not Started,In Build,In Review,Ready,Retired"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6" min="4" style="1" width="14"/>
    <col collapsed="false" customWidth="true" hidden="false" outlineLevel="0" max="7" min="7" style="1" width="18"/>
    <col collapsed="false" customWidth="true" hidden="false" outlineLevel="0" max="9" min="8" style="1" width="11"/>
    <col collapsed="false" customWidth="true" hidden="false" outlineLevel="0" max="10" min="10" style="1" width="24"/>
    <col collapsed="false" customWidth="true" hidden="false" outlineLevel="0" max="11" min="11" style="1" width="22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2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9" t="s">
        <v>89</v>
      </c>
      <c r="B2" s="9" t="s">
        <v>47</v>
      </c>
      <c r="C2" s="9" t="s">
        <v>74</v>
      </c>
      <c r="D2" s="9" t="s">
        <v>109</v>
      </c>
      <c r="E2" s="9" t="s">
        <v>110</v>
      </c>
      <c r="F2" s="9" t="s">
        <v>111</v>
      </c>
      <c r="G2" s="9" t="s">
        <v>112</v>
      </c>
      <c r="H2" s="9" t="s">
        <v>113</v>
      </c>
      <c r="I2" s="9" t="s">
        <v>114</v>
      </c>
      <c r="J2" s="9" t="s">
        <v>115</v>
      </c>
      <c r="K2" s="9" t="s">
        <v>116</v>
      </c>
      <c r="L2" s="9" t="s">
        <v>117</v>
      </c>
    </row>
    <row r="3" customFormat="false" ht="34.5" hidden="false" customHeight="true" outlineLevel="0" collapsed="false">
      <c r="A3" s="10" t="s">
        <v>99</v>
      </c>
      <c r="B3" s="10" t="s">
        <v>57</v>
      </c>
      <c r="C3" s="11" t="str">
        <f aca="false">IF(B3="","",IFERROR(INDEX('Reference Data'!$C$3:$C$9,MATCH(B3,'Reference Data'!$A$3:$A$9,0)),""))</f>
        <v>IT &amp; Application Owners</v>
      </c>
      <c r="D3" s="10" t="s">
        <v>118</v>
      </c>
      <c r="E3" s="10" t="s">
        <v>119</v>
      </c>
      <c r="F3" s="10" t="s">
        <v>119</v>
      </c>
      <c r="G3" s="10" t="s">
        <v>120</v>
      </c>
      <c r="H3" s="10" t="n">
        <v>4</v>
      </c>
      <c r="I3" s="10" t="n">
        <v>15</v>
      </c>
      <c r="J3" s="10" t="s">
        <v>121</v>
      </c>
      <c r="K3" s="10" t="s">
        <v>122</v>
      </c>
      <c r="L3" s="10" t="s">
        <v>123</v>
      </c>
    </row>
    <row r="4" customFormat="false" ht="15" hidden="false" customHeight="true" outlineLevel="0" collapsed="false">
      <c r="A4" s="4"/>
      <c r="B4" s="4"/>
      <c r="C4" s="12" t="str">
        <f aca="false">IF(B4="","",IFERROR(INDEX('Reference Data'!$C$3:$C$9,MATCH(B4,'Reference Data'!$A$3:$A$9,0)),""))</f>
        <v/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true" outlineLevel="0" collapsed="false">
      <c r="A5" s="4"/>
      <c r="B5" s="4"/>
      <c r="C5" s="12" t="str">
        <f aca="false">IF(B5="","",IFERROR(INDEX('Reference Data'!$C$3:$C$9,MATCH(B5,'Reference Data'!$A$3:$A$9,0)),""))</f>
        <v/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4"/>
      <c r="B6" s="4"/>
      <c r="C6" s="12" t="str">
        <f aca="false">IF(B6="","",IFERROR(INDEX('Reference Data'!$C$3:$C$9,MATCH(B6,'Reference Data'!$A$3:$A$9,0)),""))</f>
        <v/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true" outlineLevel="0" collapsed="false">
      <c r="A7" s="4"/>
      <c r="B7" s="4"/>
      <c r="C7" s="12" t="str">
        <f aca="false">IF(B7="","",IFERROR(INDEX('Reference Data'!$C$3:$C$9,MATCH(B7,'Reference Data'!$A$3:$A$9,0)),""))</f>
        <v/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true" outlineLevel="0" collapsed="false">
      <c r="A8" s="4"/>
      <c r="B8" s="4"/>
      <c r="C8" s="12" t="str">
        <f aca="false">IF(B8="","",IFERROR(INDEX('Reference Data'!$C$3:$C$9,MATCH(B8,'Reference Data'!$A$3:$A$9,0)),""))</f>
        <v/>
      </c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true" outlineLevel="0" collapsed="false">
      <c r="A9" s="4"/>
      <c r="B9" s="4"/>
      <c r="C9" s="12" t="str">
        <f aca="false">IF(B9="","",IFERROR(INDEX('Reference Data'!$C$3:$C$9,MATCH(B9,'Reference Data'!$A$3:$A$9,0)),""))</f>
        <v/>
      </c>
      <c r="D9" s="4"/>
      <c r="E9" s="4"/>
      <c r="F9" s="4"/>
      <c r="G9" s="4"/>
      <c r="H9" s="4"/>
      <c r="I9" s="4"/>
      <c r="J9" s="4"/>
      <c r="K9" s="4"/>
      <c r="L9" s="4"/>
    </row>
    <row r="10" customFormat="false" ht="15" hidden="false" customHeight="true" outlineLevel="0" collapsed="false">
      <c r="A10" s="4"/>
      <c r="B10" s="4"/>
      <c r="C10" s="12" t="str">
        <f aca="false">IF(B10="","",IFERROR(INDEX('Reference Data'!$C$3:$C$9,MATCH(B10,'Reference Data'!$A$3:$A$9,0)),""))</f>
        <v/>
      </c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true" outlineLevel="0" collapsed="false">
      <c r="A11" s="4"/>
      <c r="B11" s="4"/>
      <c r="C11" s="12" t="str">
        <f aca="false">IF(B11="","",IFERROR(INDEX('Reference Data'!$C$3:$C$9,MATCH(B11,'Reference Data'!$A$3:$A$9,0)),""))</f>
        <v/>
      </c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true" outlineLevel="0" collapsed="false">
      <c r="A12" s="4"/>
      <c r="B12" s="4"/>
      <c r="C12" s="12" t="str">
        <f aca="false">IF(B12="","",IFERROR(INDEX('Reference Data'!$C$3:$C$9,MATCH(B12,'Reference Data'!$A$3:$A$9,0)),""))</f>
        <v/>
      </c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true" outlineLevel="0" collapsed="false">
      <c r="A13" s="4"/>
      <c r="B13" s="4"/>
      <c r="C13" s="12" t="str">
        <f aca="false">IF(B13="","",IFERROR(INDEX('Reference Data'!$C$3:$C$9,MATCH(B13,'Reference Data'!$A$3:$A$9,0)),""))</f>
        <v/>
      </c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4"/>
      <c r="B14" s="4"/>
      <c r="C14" s="12" t="str">
        <f aca="false">IF(B14="","",IFERROR(INDEX('Reference Data'!$C$3:$C$9,MATCH(B14,'Reference Data'!$A$3:$A$9,0)),""))</f>
        <v/>
      </c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true" outlineLevel="0" collapsed="false">
      <c r="A15" s="4"/>
      <c r="B15" s="4"/>
      <c r="C15" s="12" t="str">
        <f aca="false">IF(B15="","",IFERROR(INDEX('Reference Data'!$C$3:$C$9,MATCH(B15,'Reference Data'!$A$3:$A$9,0)),""))</f>
        <v/>
      </c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5" hidden="false" customHeight="true" outlineLevel="0" collapsed="false">
      <c r="A16" s="4"/>
      <c r="B16" s="4"/>
      <c r="C16" s="12" t="str">
        <f aca="false">IF(B16="","",IFERROR(INDEX('Reference Data'!$C$3:$C$9,MATCH(B16,'Reference Data'!$A$3:$A$9,0)),""))</f>
        <v/>
      </c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true" outlineLevel="0" collapsed="false">
      <c r="A17" s="4"/>
      <c r="B17" s="4"/>
      <c r="C17" s="12" t="str">
        <f aca="false">IF(B17="","",IFERROR(INDEX('Reference Data'!$C$3:$C$9,MATCH(B17,'Reference Data'!$A$3:$A$9,0)),""))</f>
        <v/>
      </c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true" outlineLevel="0" collapsed="false">
      <c r="A18" s="4"/>
      <c r="B18" s="4"/>
      <c r="C18" s="12" t="str">
        <f aca="false">IF(B18="","",IFERROR(INDEX('Reference Data'!$C$3:$C$9,MATCH(B18,'Reference Data'!$A$3:$A$9,0)),""))</f>
        <v/>
      </c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5" hidden="false" customHeight="true" outlineLevel="0" collapsed="false">
      <c r="A19" s="4"/>
      <c r="B19" s="4"/>
      <c r="C19" s="12" t="str">
        <f aca="false">IF(B19="","",IFERROR(INDEX('Reference Data'!$C$3:$C$9,MATCH(B19,'Reference Data'!$A$3:$A$9,0)),""))</f>
        <v/>
      </c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true" outlineLevel="0" collapsed="false">
      <c r="A20" s="4"/>
      <c r="B20" s="4"/>
      <c r="C20" s="12" t="str">
        <f aca="false">IF(B20="","",IFERROR(INDEX('Reference Data'!$C$3:$C$9,MATCH(B20,'Reference Data'!$A$3:$A$9,0)),""))</f>
        <v/>
      </c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true" outlineLevel="0" collapsed="false">
      <c r="A21" s="4"/>
      <c r="B21" s="4"/>
      <c r="C21" s="12" t="str">
        <f aca="false">IF(B21="","",IFERROR(INDEX('Reference Data'!$C$3:$C$9,MATCH(B21,'Reference Data'!$A$3:$A$9,0)),""))</f>
        <v/>
      </c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true" outlineLevel="0" collapsed="false">
      <c r="A22" s="4"/>
      <c r="B22" s="4"/>
      <c r="C22" s="12" t="str">
        <f aca="false">IF(B22="","",IFERROR(INDEX('Reference Data'!$C$3:$C$9,MATCH(B22,'Reference Data'!$A$3:$A$9,0)),""))</f>
        <v/>
      </c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true" outlineLevel="0" collapsed="false">
      <c r="A23" s="4"/>
      <c r="B23" s="4"/>
      <c r="C23" s="12" t="str">
        <f aca="false">IF(B23="","",IFERROR(INDEX('Reference Data'!$C$3:$C$9,MATCH(B23,'Reference Data'!$A$3:$A$9,0)),""))</f>
        <v/>
      </c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true" outlineLevel="0" collapsed="false">
      <c r="A24" s="4"/>
      <c r="B24" s="4"/>
      <c r="C24" s="12" t="str">
        <f aca="false">IF(B24="","",IFERROR(INDEX('Reference Data'!$C$3:$C$9,MATCH(B24,'Reference Data'!$A$3:$A$9,0)),""))</f>
        <v/>
      </c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true" outlineLevel="0" collapsed="false">
      <c r="A25" s="4"/>
      <c r="B25" s="4"/>
      <c r="C25" s="12" t="str">
        <f aca="false">IF(B25="","",IFERROR(INDEX('Reference Data'!$C$3:$C$9,MATCH(B25,'Reference Data'!$A$3:$A$9,0)),""))</f>
        <v/>
      </c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true" outlineLevel="0" collapsed="false">
      <c r="A26" s="4"/>
      <c r="B26" s="4"/>
      <c r="C26" s="12" t="str">
        <f aca="false">IF(B26="","",IFERROR(INDEX('Reference Data'!$C$3:$C$9,MATCH(B26,'Reference Data'!$A$3:$A$9,0)),""))</f>
        <v/>
      </c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true" outlineLevel="0" collapsed="false">
      <c r="A27" s="4"/>
      <c r="B27" s="4"/>
      <c r="C27" s="12" t="str">
        <f aca="false">IF(B27="","",IFERROR(INDEX('Reference Data'!$C$3:$C$9,MATCH(B27,'Reference Data'!$A$3:$A$9,0)),""))</f>
        <v/>
      </c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true" outlineLevel="0" collapsed="false">
      <c r="A28" s="4"/>
      <c r="B28" s="4"/>
      <c r="C28" s="12" t="str">
        <f aca="false">IF(B28="","",IFERROR(INDEX('Reference Data'!$C$3:$C$9,MATCH(B28,'Reference Data'!$A$3:$A$9,0)),""))</f>
        <v/>
      </c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true" outlineLevel="0" collapsed="false">
      <c r="A29" s="4"/>
      <c r="B29" s="4"/>
      <c r="C29" s="12" t="str">
        <f aca="false">IF(B29="","",IFERROR(INDEX('Reference Data'!$C$3:$C$9,MATCH(B29,'Reference Data'!$A$3:$A$9,0)),""))</f>
        <v/>
      </c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5" hidden="false" customHeight="true" outlineLevel="0" collapsed="false">
      <c r="A30" s="4"/>
      <c r="B30" s="4"/>
      <c r="C30" s="12" t="str">
        <f aca="false">IF(B30="","",IFERROR(INDEX('Reference Data'!$C$3:$C$9,MATCH(B30,'Reference Data'!$A$3:$A$9,0)),""))</f>
        <v/>
      </c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true" outlineLevel="0" collapsed="false">
      <c r="A31" s="4"/>
      <c r="B31" s="4"/>
      <c r="C31" s="12" t="str">
        <f aca="false">IF(B31="","",IFERROR(INDEX('Reference Data'!$C$3:$C$9,MATCH(B31,'Reference Data'!$A$3:$A$9,0)),""))</f>
        <v/>
      </c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5" hidden="false" customHeight="true" outlineLevel="0" collapsed="false">
      <c r="A32" s="4"/>
      <c r="B32" s="4"/>
      <c r="C32" s="12" t="str">
        <f aca="false">IF(B32="","",IFERROR(INDEX('Reference Data'!$C$3:$C$9,MATCH(B32,'Reference Data'!$A$3:$A$9,0)),""))</f>
        <v/>
      </c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5" hidden="false" customHeight="true" outlineLevel="0" collapsed="false">
      <c r="A33" s="4"/>
      <c r="B33" s="4"/>
      <c r="C33" s="12" t="str">
        <f aca="false">IF(B33="","",IFERROR(INDEX('Reference Data'!$C$3:$C$9,MATCH(B33,'Reference Data'!$A$3:$A$9,0)),""))</f>
        <v/>
      </c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true" outlineLevel="0" collapsed="false">
      <c r="A34" s="4"/>
      <c r="B34" s="4"/>
      <c r="C34" s="12" t="str">
        <f aca="false">IF(B34="","",IFERROR(INDEX('Reference Data'!$C$3:$C$9,MATCH(B34,'Reference Data'!$A$3:$A$9,0)),""))</f>
        <v/>
      </c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true" outlineLevel="0" collapsed="false">
      <c r="A35" s="4"/>
      <c r="B35" s="4"/>
      <c r="C35" s="12" t="str">
        <f aca="false">IF(B35="","",IFERROR(INDEX('Reference Data'!$C$3:$C$9,MATCH(B35,'Reference Data'!$A$3:$A$9,0)),""))</f>
        <v/>
      </c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true" outlineLevel="0" collapsed="false">
      <c r="A36" s="4"/>
      <c r="B36" s="4"/>
      <c r="C36" s="12" t="str">
        <f aca="false">IF(B36="","",IFERROR(INDEX('Reference Data'!$C$3:$C$9,MATCH(B36,'Reference Data'!$A$3:$A$9,0)),""))</f>
        <v/>
      </c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true" outlineLevel="0" collapsed="false">
      <c r="A37" s="4"/>
      <c r="B37" s="4"/>
      <c r="C37" s="12" t="str">
        <f aca="false">IF(B37="","",IFERROR(INDEX('Reference Data'!$C$3:$C$9,MATCH(B37,'Reference Data'!$A$3:$A$9,0)),""))</f>
        <v/>
      </c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true" outlineLevel="0" collapsed="false">
      <c r="A38" s="4"/>
      <c r="B38" s="4"/>
      <c r="C38" s="12" t="str">
        <f aca="false">IF(B38="","",IFERROR(INDEX('Reference Data'!$C$3:$C$9,MATCH(B38,'Reference Data'!$A$3:$A$9,0)),""))</f>
        <v/>
      </c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true" outlineLevel="0" collapsed="false">
      <c r="A39" s="4"/>
      <c r="B39" s="4"/>
      <c r="C39" s="12" t="str">
        <f aca="false">IF(B39="","",IFERROR(INDEX('Reference Data'!$C$3:$C$9,MATCH(B39,'Reference Data'!$A$3:$A$9,0)),""))</f>
        <v/>
      </c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5" hidden="false" customHeight="true" outlineLevel="0" collapsed="false">
      <c r="A40" s="4"/>
      <c r="B40" s="4"/>
      <c r="C40" s="12" t="str">
        <f aca="false">IF(B40="","",IFERROR(INDEX('Reference Data'!$C$3:$C$9,MATCH(B40,'Reference Data'!$A$3:$A$9,0)),""))</f>
        <v/>
      </c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true" outlineLevel="0" collapsed="false">
      <c r="A41" s="4"/>
      <c r="B41" s="4"/>
      <c r="C41" s="12" t="str">
        <f aca="false">IF(B41="","",IFERROR(INDEX('Reference Data'!$C$3:$C$9,MATCH(B41,'Reference Data'!$A$3:$A$9,0)),""))</f>
        <v/>
      </c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5" hidden="false" customHeight="true" outlineLevel="0" collapsed="false">
      <c r="A42" s="4"/>
      <c r="B42" s="4"/>
      <c r="C42" s="12" t="str">
        <f aca="false">IF(B42="","",IFERROR(INDEX('Reference Data'!$C$3:$C$9,MATCH(B42,'Reference Data'!$A$3:$A$9,0)),""))</f>
        <v/>
      </c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" hidden="false" customHeight="true" outlineLevel="0" collapsed="false">
      <c r="A43" s="4"/>
      <c r="B43" s="4"/>
      <c r="C43" s="12" t="str">
        <f aca="false">IF(B43="","",IFERROR(INDEX('Reference Data'!$C$3:$C$9,MATCH(B43,'Reference Data'!$A$3:$A$9,0)),""))</f>
        <v/>
      </c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" hidden="false" customHeight="true" outlineLevel="0" collapsed="false">
      <c r="A44" s="4"/>
      <c r="B44" s="4"/>
      <c r="C44" s="12" t="str">
        <f aca="false">IF(B44="","",IFERROR(INDEX('Reference Data'!$C$3:$C$9,MATCH(B44,'Reference Data'!$A$3:$A$9,0)),""))</f>
        <v/>
      </c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true" outlineLevel="0" collapsed="false">
      <c r="A45" s="4"/>
      <c r="B45" s="4"/>
      <c r="C45" s="12" t="str">
        <f aca="false">IF(B45="","",IFERROR(INDEX('Reference Data'!$C$3:$C$9,MATCH(B45,'Reference Data'!$A$3:$A$9,0)),""))</f>
        <v/>
      </c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5" hidden="false" customHeight="true" outlineLevel="0" collapsed="false">
      <c r="A46" s="4"/>
      <c r="B46" s="4"/>
      <c r="C46" s="12" t="str">
        <f aca="false">IF(B46="","",IFERROR(INDEX('Reference Data'!$C$3:$C$9,MATCH(B46,'Reference Data'!$A$3:$A$9,0)),""))</f>
        <v/>
      </c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5" hidden="false" customHeight="true" outlineLevel="0" collapsed="false">
      <c r="A47" s="4"/>
      <c r="B47" s="4"/>
      <c r="C47" s="12" t="str">
        <f aca="false">IF(B47="","",IFERROR(INDEX('Reference Data'!$C$3:$C$9,MATCH(B47,'Reference Data'!$A$3:$A$9,0)),""))</f>
        <v/>
      </c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5" hidden="false" customHeight="true" outlineLevel="0" collapsed="false">
      <c r="A48" s="4"/>
      <c r="B48" s="4"/>
      <c r="C48" s="12" t="str">
        <f aca="false">IF(B48="","",IFERROR(INDEX('Reference Data'!$C$3:$C$9,MATCH(B48,'Reference Data'!$A$3:$A$9,0)),""))</f>
        <v/>
      </c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5" hidden="false" customHeight="true" outlineLevel="0" collapsed="false">
      <c r="A49" s="4"/>
      <c r="B49" s="4"/>
      <c r="C49" s="12" t="str">
        <f aca="false">IF(B49="","",IFERROR(INDEX('Reference Data'!$C$3:$C$9,MATCH(B49,'Reference Data'!$A$3:$A$9,0)),""))</f>
        <v/>
      </c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true" outlineLevel="0" collapsed="false">
      <c r="A50" s="4"/>
      <c r="B50" s="4"/>
      <c r="C50" s="12" t="str">
        <f aca="false">IF(B50="","",IFERROR(INDEX('Reference Data'!$C$3:$C$9,MATCH(B50,'Reference Data'!$A$3:$A$9,0)),""))</f>
        <v/>
      </c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5" hidden="false" customHeight="true" outlineLevel="0" collapsed="false">
      <c r="A51" s="4"/>
      <c r="B51" s="4"/>
      <c r="C51" s="12" t="str">
        <f aca="false">IF(B51="","",IFERROR(INDEX('Reference Data'!$C$3:$C$9,MATCH(B51,'Reference Data'!$A$3:$A$9,0)),""))</f>
        <v/>
      </c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true" outlineLevel="0" collapsed="false">
      <c r="A52" s="4"/>
      <c r="B52" s="4"/>
      <c r="C52" s="12" t="str">
        <f aca="false">IF(B52="","",IFERROR(INDEX('Reference Data'!$C$3:$C$9,MATCH(B52,'Reference Data'!$A$3:$A$9,0)),""))</f>
        <v/>
      </c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true" outlineLevel="0" collapsed="false">
      <c r="A53" s="4"/>
      <c r="B53" s="4"/>
      <c r="C53" s="12" t="str">
        <f aca="false">IF(B53="","",IFERROR(INDEX('Reference Data'!$C$3:$C$9,MATCH(B53,'Reference Data'!$A$3:$A$9,0)),""))</f>
        <v/>
      </c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true" outlineLevel="0" collapsed="false">
      <c r="A54" s="4"/>
      <c r="B54" s="4"/>
      <c r="C54" s="12" t="str">
        <f aca="false">IF(B54="","",IFERROR(INDEX('Reference Data'!$C$3:$C$9,MATCH(B54,'Reference Data'!$A$3:$A$9,0)),""))</f>
        <v/>
      </c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true" outlineLevel="0" collapsed="false">
      <c r="A55" s="4"/>
      <c r="B55" s="4"/>
      <c r="C55" s="12" t="str">
        <f aca="false">IF(B55="","",IFERROR(INDEX('Reference Data'!$C$3:$C$9,MATCH(B55,'Reference Data'!$A$3:$A$9,0)),""))</f>
        <v/>
      </c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true" outlineLevel="0" collapsed="false">
      <c r="A56" s="4"/>
      <c r="B56" s="4"/>
      <c r="C56" s="12" t="str">
        <f aca="false">IF(B56="","",IFERROR(INDEX('Reference Data'!$C$3:$C$9,MATCH(B56,'Reference Data'!$A$3:$A$9,0)),""))</f>
        <v/>
      </c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true" outlineLevel="0" collapsed="false">
      <c r="A57" s="4"/>
      <c r="B57" s="4"/>
      <c r="C57" s="12" t="str">
        <f aca="false">IF(B57="","",IFERROR(INDEX('Reference Data'!$C$3:$C$9,MATCH(B57,'Reference Data'!$A$3:$A$9,0)),""))</f>
        <v/>
      </c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true" outlineLevel="0" collapsed="false">
      <c r="A58" s="4"/>
      <c r="B58" s="4"/>
      <c r="C58" s="12" t="str">
        <f aca="false">IF(B58="","",IFERROR(INDEX('Reference Data'!$C$3:$C$9,MATCH(B58,'Reference Data'!$A$3:$A$9,0)),""))</f>
        <v/>
      </c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true" outlineLevel="0" collapsed="false">
      <c r="A59" s="4"/>
      <c r="B59" s="4"/>
      <c r="C59" s="12" t="str">
        <f aca="false">IF(B59="","",IFERROR(INDEX('Reference Data'!$C$3:$C$9,MATCH(B59,'Reference Data'!$A$3:$A$9,0)),""))</f>
        <v/>
      </c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true" outlineLevel="0" collapsed="false">
      <c r="A60" s="4"/>
      <c r="B60" s="4"/>
      <c r="C60" s="12" t="str">
        <f aca="false">IF(B60="","",IFERROR(INDEX('Reference Data'!$C$3:$C$9,MATCH(B60,'Reference Data'!$A$3:$A$9,0)),""))</f>
        <v/>
      </c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true" outlineLevel="0" collapsed="false">
      <c r="A61" s="4"/>
      <c r="B61" s="4"/>
      <c r="C61" s="12" t="str">
        <f aca="false">IF(B61="","",IFERROR(INDEX('Reference Data'!$C$3:$C$9,MATCH(B61,'Reference Data'!$A$3:$A$9,0)),""))</f>
        <v/>
      </c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true" outlineLevel="0" collapsed="false">
      <c r="A62" s="4"/>
      <c r="B62" s="4"/>
      <c r="C62" s="12" t="str">
        <f aca="false">IF(B62="","",IFERROR(INDEX('Reference Data'!$C$3:$C$9,MATCH(B62,'Reference Data'!$A$3:$A$9,0)),""))</f>
        <v/>
      </c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true" outlineLevel="0" collapsed="false">
      <c r="A63" s="4"/>
      <c r="B63" s="4"/>
      <c r="C63" s="12" t="str">
        <f aca="false">IF(B63="","",IFERROR(INDEX('Reference Data'!$C$3:$C$9,MATCH(B63,'Reference Data'!$A$3:$A$9,0)),""))</f>
        <v/>
      </c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true" outlineLevel="0" collapsed="false">
      <c r="A64" s="4"/>
      <c r="B64" s="4"/>
      <c r="C64" s="12" t="str">
        <f aca="false">IF(B64="","",IFERROR(INDEX('Reference Data'!$C$3:$C$9,MATCH(B64,'Reference Data'!$A$3:$A$9,0)),""))</f>
        <v/>
      </c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true" outlineLevel="0" collapsed="false">
      <c r="A65" s="4"/>
      <c r="B65" s="4"/>
      <c r="C65" s="12" t="str">
        <f aca="false">IF(B65="","",IFERROR(INDEX('Reference Data'!$C$3:$C$9,MATCH(B65,'Reference Data'!$A$3:$A$9,0)),""))</f>
        <v/>
      </c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true" outlineLevel="0" collapsed="false">
      <c r="A66" s="4"/>
      <c r="B66" s="4"/>
      <c r="C66" s="12" t="str">
        <f aca="false">IF(B66="","",IFERROR(INDEX('Reference Data'!$C$3:$C$9,MATCH(B66,'Reference Data'!$A$3:$A$9,0)),""))</f>
        <v/>
      </c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true" outlineLevel="0" collapsed="false">
      <c r="A67" s="4"/>
      <c r="B67" s="4"/>
      <c r="C67" s="12" t="str">
        <f aca="false">IF(B67="","",IFERROR(INDEX('Reference Data'!$C$3:$C$9,MATCH(B67,'Reference Data'!$A$3:$A$9,0)),""))</f>
        <v/>
      </c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true" outlineLevel="0" collapsed="false">
      <c r="A68" s="4"/>
      <c r="B68" s="4"/>
      <c r="C68" s="12" t="str">
        <f aca="false">IF(B68="","",IFERROR(INDEX('Reference Data'!$C$3:$C$9,MATCH(B68,'Reference Data'!$A$3:$A$9,0)),""))</f>
        <v/>
      </c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true" outlineLevel="0" collapsed="false">
      <c r="A69" s="4"/>
      <c r="B69" s="4"/>
      <c r="C69" s="12" t="str">
        <f aca="false">IF(B69="","",IFERROR(INDEX('Reference Data'!$C$3:$C$9,MATCH(B69,'Reference Data'!$A$3:$A$9,0)),""))</f>
        <v/>
      </c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true" outlineLevel="0" collapsed="false">
      <c r="A70" s="4"/>
      <c r="B70" s="4"/>
      <c r="C70" s="12" t="str">
        <f aca="false">IF(B70="","",IFERROR(INDEX('Reference Data'!$C$3:$C$9,MATCH(B70,'Reference Data'!$A$3:$A$9,0)),""))</f>
        <v/>
      </c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true" outlineLevel="0" collapsed="false">
      <c r="A71" s="4"/>
      <c r="B71" s="4"/>
      <c r="C71" s="12" t="str">
        <f aca="false">IF(B71="","",IFERROR(INDEX('Reference Data'!$C$3:$C$9,MATCH(B71,'Reference Data'!$A$3:$A$9,0)),""))</f>
        <v/>
      </c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true" outlineLevel="0" collapsed="false">
      <c r="A72" s="4"/>
      <c r="B72" s="4"/>
      <c r="C72" s="12" t="str">
        <f aca="false">IF(B72="","",IFERROR(INDEX('Reference Data'!$C$3:$C$9,MATCH(B72,'Reference Data'!$A$3:$A$9,0)),""))</f>
        <v/>
      </c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true" outlineLevel="0" collapsed="false">
      <c r="A73" s="4"/>
      <c r="B73" s="4"/>
      <c r="C73" s="12" t="str">
        <f aca="false">IF(B73="","",IFERROR(INDEX('Reference Data'!$C$3:$C$9,MATCH(B73,'Reference Data'!$A$3:$A$9,0)),""))</f>
        <v/>
      </c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true" outlineLevel="0" collapsed="false">
      <c r="A74" s="4"/>
      <c r="B74" s="4"/>
      <c r="C74" s="12" t="str">
        <f aca="false">IF(B74="","",IFERROR(INDEX('Reference Data'!$C$3:$C$9,MATCH(B74,'Reference Data'!$A$3:$A$9,0)),""))</f>
        <v/>
      </c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true" outlineLevel="0" collapsed="false">
      <c r="A75" s="4"/>
      <c r="B75" s="4"/>
      <c r="C75" s="12" t="str">
        <f aca="false">IF(B75="","",IFERROR(INDEX('Reference Data'!$C$3:$C$9,MATCH(B75,'Reference Data'!$A$3:$A$9,0)),""))</f>
        <v/>
      </c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true" outlineLevel="0" collapsed="false">
      <c r="A76" s="4"/>
      <c r="B76" s="4"/>
      <c r="C76" s="12" t="str">
        <f aca="false">IF(B76="","",IFERROR(INDEX('Reference Data'!$C$3:$C$9,MATCH(B76,'Reference Data'!$A$3:$A$9,0)),""))</f>
        <v/>
      </c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true" outlineLevel="0" collapsed="false">
      <c r="A77" s="4"/>
      <c r="B77" s="4"/>
      <c r="C77" s="12" t="str">
        <f aca="false">IF(B77="","",IFERROR(INDEX('Reference Data'!$C$3:$C$9,MATCH(B77,'Reference Data'!$A$3:$A$9,0)),""))</f>
        <v/>
      </c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true" outlineLevel="0" collapsed="false">
      <c r="A78" s="4"/>
      <c r="B78" s="4"/>
      <c r="C78" s="12" t="str">
        <f aca="false">IF(B78="","",IFERROR(INDEX('Reference Data'!$C$3:$C$9,MATCH(B78,'Reference Data'!$A$3:$A$9,0)),""))</f>
        <v/>
      </c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true" outlineLevel="0" collapsed="false">
      <c r="A79" s="4"/>
      <c r="B79" s="4"/>
      <c r="C79" s="12" t="str">
        <f aca="false">IF(B79="","",IFERROR(INDEX('Reference Data'!$C$3:$C$9,MATCH(B79,'Reference Data'!$A$3:$A$9,0)),""))</f>
        <v/>
      </c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true" outlineLevel="0" collapsed="false">
      <c r="A80" s="4"/>
      <c r="B80" s="4"/>
      <c r="C80" s="12" t="str">
        <f aca="false">IF(B80="","",IFERROR(INDEX('Reference Data'!$C$3:$C$9,MATCH(B80,'Reference Data'!$A$3:$A$9,0)),""))</f>
        <v/>
      </c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true" outlineLevel="0" collapsed="false">
      <c r="A81" s="4"/>
      <c r="B81" s="4"/>
      <c r="C81" s="12" t="str">
        <f aca="false">IF(B81="","",IFERROR(INDEX('Reference Data'!$C$3:$C$9,MATCH(B81,'Reference Data'!$A$3:$A$9,0)),""))</f>
        <v/>
      </c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true" outlineLevel="0" collapsed="false">
      <c r="A82" s="4"/>
      <c r="B82" s="4"/>
      <c r="C82" s="12" t="str">
        <f aca="false">IF(B82="","",IFERROR(INDEX('Reference Data'!$C$3:$C$9,MATCH(B82,'Reference Data'!$A$3:$A$9,0)),""))</f>
        <v/>
      </c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true" outlineLevel="0" collapsed="false">
      <c r="A83" s="4"/>
      <c r="B83" s="4"/>
      <c r="C83" s="12" t="str">
        <f aca="false">IF(B83="","",IFERROR(INDEX('Reference Data'!$C$3:$C$9,MATCH(B83,'Reference Data'!$A$3:$A$9,0)),""))</f>
        <v/>
      </c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true" outlineLevel="0" collapsed="false">
      <c r="A84" s="4"/>
      <c r="B84" s="4"/>
      <c r="C84" s="12" t="str">
        <f aca="false">IF(B84="","",IFERROR(INDEX('Reference Data'!$C$3:$C$9,MATCH(B84,'Reference Data'!$A$3:$A$9,0)),""))</f>
        <v/>
      </c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true" outlineLevel="0" collapsed="false">
      <c r="A85" s="4"/>
      <c r="B85" s="4"/>
      <c r="C85" s="12" t="str">
        <f aca="false">IF(B85="","",IFERROR(INDEX('Reference Data'!$C$3:$C$9,MATCH(B85,'Reference Data'!$A$3:$A$9,0)),""))</f>
        <v/>
      </c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true" outlineLevel="0" collapsed="false">
      <c r="A86" s="4"/>
      <c r="B86" s="4"/>
      <c r="C86" s="12" t="str">
        <f aca="false">IF(B86="","",IFERROR(INDEX('Reference Data'!$C$3:$C$9,MATCH(B86,'Reference Data'!$A$3:$A$9,0)),""))</f>
        <v/>
      </c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true" outlineLevel="0" collapsed="false">
      <c r="A87" s="4"/>
      <c r="B87" s="4"/>
      <c r="C87" s="12" t="str">
        <f aca="false">IF(B87="","",IFERROR(INDEX('Reference Data'!$C$3:$C$9,MATCH(B87,'Reference Data'!$A$3:$A$9,0)),""))</f>
        <v/>
      </c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true" outlineLevel="0" collapsed="false">
      <c r="A88" s="4"/>
      <c r="B88" s="4"/>
      <c r="C88" s="12" t="str">
        <f aca="false">IF(B88="","",IFERROR(INDEX('Reference Data'!$C$3:$C$9,MATCH(B88,'Reference Data'!$A$3:$A$9,0)),""))</f>
        <v/>
      </c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true" outlineLevel="0" collapsed="false">
      <c r="A89" s="4"/>
      <c r="B89" s="4"/>
      <c r="C89" s="12" t="str">
        <f aca="false">IF(B89="","",IFERROR(INDEX('Reference Data'!$C$3:$C$9,MATCH(B89,'Reference Data'!$A$3:$A$9,0)),""))</f>
        <v/>
      </c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true" outlineLevel="0" collapsed="false">
      <c r="A90" s="4"/>
      <c r="B90" s="4"/>
      <c r="C90" s="12" t="str">
        <f aca="false">IF(B90="","",IFERROR(INDEX('Reference Data'!$C$3:$C$9,MATCH(B90,'Reference Data'!$A$3:$A$9,0)),""))</f>
        <v/>
      </c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true" outlineLevel="0" collapsed="false">
      <c r="A91" s="4"/>
      <c r="B91" s="4"/>
      <c r="C91" s="12" t="str">
        <f aca="false">IF(B91="","",IFERROR(INDEX('Reference Data'!$C$3:$C$9,MATCH(B91,'Reference Data'!$A$3:$A$9,0)),""))</f>
        <v/>
      </c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true" outlineLevel="0" collapsed="false">
      <c r="A92" s="4"/>
      <c r="B92" s="4"/>
      <c r="C92" s="12" t="str">
        <f aca="false">IF(B92="","",IFERROR(INDEX('Reference Data'!$C$3:$C$9,MATCH(B92,'Reference Data'!$A$3:$A$9,0)),""))</f>
        <v/>
      </c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true" outlineLevel="0" collapsed="false">
      <c r="A93" s="4"/>
      <c r="B93" s="4"/>
      <c r="C93" s="12" t="str">
        <f aca="false">IF(B93="","",IFERROR(INDEX('Reference Data'!$C$3:$C$9,MATCH(B93,'Reference Data'!$A$3:$A$9,0)),""))</f>
        <v/>
      </c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true" outlineLevel="0" collapsed="false">
      <c r="A94" s="4"/>
      <c r="B94" s="4"/>
      <c r="C94" s="12" t="str">
        <f aca="false">IF(B94="","",IFERROR(INDEX('Reference Data'!$C$3:$C$9,MATCH(B94,'Reference Data'!$A$3:$A$9,0)),""))</f>
        <v/>
      </c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true" outlineLevel="0" collapsed="false">
      <c r="A95" s="4"/>
      <c r="B95" s="4"/>
      <c r="C95" s="12" t="str">
        <f aca="false">IF(B95="","",IFERROR(INDEX('Reference Data'!$C$3:$C$9,MATCH(B95,'Reference Data'!$A$3:$A$9,0)),""))</f>
        <v/>
      </c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true" outlineLevel="0" collapsed="false">
      <c r="A96" s="4"/>
      <c r="B96" s="4"/>
      <c r="C96" s="12" t="str">
        <f aca="false">IF(B96="","",IFERROR(INDEX('Reference Data'!$C$3:$C$9,MATCH(B96,'Reference Data'!$A$3:$A$9,0)),""))</f>
        <v/>
      </c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true" outlineLevel="0" collapsed="false">
      <c r="A97" s="4"/>
      <c r="B97" s="4"/>
      <c r="C97" s="12" t="str">
        <f aca="false">IF(B97="","",IFERROR(INDEX('Reference Data'!$C$3:$C$9,MATCH(B97,'Reference Data'!$A$3:$A$9,0)),""))</f>
        <v/>
      </c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true" outlineLevel="0" collapsed="false">
      <c r="A98" s="4"/>
      <c r="B98" s="4"/>
      <c r="C98" s="12" t="str">
        <f aca="false">IF(B98="","",IFERROR(INDEX('Reference Data'!$C$3:$C$9,MATCH(B98,'Reference Data'!$A$3:$A$9,0)),""))</f>
        <v/>
      </c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" hidden="false" customHeight="true" outlineLevel="0" collapsed="false">
      <c r="A99" s="4"/>
      <c r="B99" s="4"/>
      <c r="C99" s="12" t="str">
        <f aca="false">IF(B99="","",IFERROR(INDEX('Reference Data'!$C$3:$C$9,MATCH(B99,'Reference Data'!$A$3:$A$9,0)),""))</f>
        <v/>
      </c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5" hidden="false" customHeight="true" outlineLevel="0" collapsed="false">
      <c r="A100" s="4"/>
      <c r="B100" s="4"/>
      <c r="C100" s="12" t="str">
        <f aca="false">IF(B100="","",IFERROR(INDEX('Reference Data'!$C$3:$C$9,MATCH(B100,'Reference Data'!$A$3:$A$9,0)),""))</f>
        <v/>
      </c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5" hidden="false" customHeight="true" outlineLevel="0" collapsed="false">
      <c r="A101" s="4"/>
      <c r="B101" s="4"/>
      <c r="C101" s="12" t="str">
        <f aca="false">IF(B101="","",IFERROR(INDEX('Reference Data'!$C$3:$C$9,MATCH(B101,'Reference Data'!$A$3:$A$9,0)),""))</f>
        <v/>
      </c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5" hidden="false" customHeight="true" outlineLevel="0" collapsed="false">
      <c r="A102" s="4"/>
      <c r="B102" s="4"/>
      <c r="C102" s="12" t="str">
        <f aca="false">IF(B102="","",IFERROR(INDEX('Reference Data'!$C$3:$C$9,MATCH(B102,'Reference Data'!$A$3:$A$9,0)),""))</f>
        <v/>
      </c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5" hidden="false" customHeight="true" outlineLevel="0" collapsed="false">
      <c r="A103" s="4"/>
      <c r="B103" s="4"/>
      <c r="C103" s="12" t="str">
        <f aca="false">IF(B103="","",IFERROR(INDEX('Reference Data'!$C$3:$C$9,MATCH(B103,'Reference Data'!$A$3:$A$9,0)),""))</f>
        <v/>
      </c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5" hidden="false" customHeight="true" outlineLevel="0" collapsed="false">
      <c r="A104" s="4"/>
      <c r="B104" s="4"/>
      <c r="C104" s="12" t="str">
        <f aca="false">IF(B104="","",IFERROR(INDEX('Reference Data'!$C$3:$C$9,MATCH(B104,'Reference Data'!$A$3:$A$9,0)),""))</f>
        <v/>
      </c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5" hidden="false" customHeight="true" outlineLevel="0" collapsed="false">
      <c r="A105" s="4"/>
      <c r="B105" s="4"/>
      <c r="C105" s="12" t="str">
        <f aca="false">IF(B105="","",IFERROR(INDEX('Reference Data'!$C$3:$C$9,MATCH(B105,'Reference Data'!$A$3:$A$9,0)),""))</f>
        <v/>
      </c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5" hidden="false" customHeight="true" outlineLevel="0" collapsed="false">
      <c r="A106" s="4"/>
      <c r="B106" s="4"/>
      <c r="C106" s="12" t="str">
        <f aca="false">IF(B106="","",IFERROR(INDEX('Reference Data'!$C$3:$C$9,MATCH(B106,'Reference Data'!$A$3:$A$9,0)),""))</f>
        <v/>
      </c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5" hidden="false" customHeight="true" outlineLevel="0" collapsed="false">
      <c r="A107" s="4"/>
      <c r="B107" s="4"/>
      <c r="C107" s="12" t="str">
        <f aca="false">IF(B107="","",IFERROR(INDEX('Reference Data'!$C$3:$C$9,MATCH(B107,'Reference Data'!$A$3:$A$9,0)),""))</f>
        <v/>
      </c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5" hidden="false" customHeight="true" outlineLevel="0" collapsed="false">
      <c r="A108" s="4"/>
      <c r="B108" s="4"/>
      <c r="C108" s="12" t="str">
        <f aca="false">IF(B108="","",IFERROR(INDEX('Reference Data'!$C$3:$C$9,MATCH(B108,'Reference Data'!$A$3:$A$9,0)),""))</f>
        <v/>
      </c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5" hidden="false" customHeight="true" outlineLevel="0" collapsed="false">
      <c r="A109" s="4"/>
      <c r="B109" s="4"/>
      <c r="C109" s="12" t="str">
        <f aca="false">IF(B109="","",IFERROR(INDEX('Reference Data'!$C$3:$C$9,MATCH(B109,'Reference Data'!$A$3:$A$9,0)),""))</f>
        <v/>
      </c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5" hidden="false" customHeight="true" outlineLevel="0" collapsed="false">
      <c r="A110" s="4"/>
      <c r="B110" s="4"/>
      <c r="C110" s="12" t="str">
        <f aca="false">IF(B110="","",IFERROR(INDEX('Reference Data'!$C$3:$C$9,MATCH(B110,'Reference Data'!$A$3:$A$9,0)),""))</f>
        <v/>
      </c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5" hidden="false" customHeight="true" outlineLevel="0" collapsed="false">
      <c r="A111" s="4"/>
      <c r="B111" s="4"/>
      <c r="C111" s="12" t="str">
        <f aca="false">IF(B111="","",IFERROR(INDEX('Reference Data'!$C$3:$C$9,MATCH(B111,'Reference Data'!$A$3:$A$9,0)),""))</f>
        <v/>
      </c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5" hidden="false" customHeight="true" outlineLevel="0" collapsed="false">
      <c r="A112" s="4"/>
      <c r="B112" s="4"/>
      <c r="C112" s="12" t="str">
        <f aca="false">IF(B112="","",IFERROR(INDEX('Reference Data'!$C$3:$C$9,MATCH(B112,'Reference Data'!$A$3:$A$9,0)),""))</f>
        <v/>
      </c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5" hidden="false" customHeight="true" outlineLevel="0" collapsed="false">
      <c r="A113" s="4"/>
      <c r="B113" s="4"/>
      <c r="C113" s="12" t="str">
        <f aca="false">IF(B113="","",IFERROR(INDEX('Reference Data'!$C$3:$C$9,MATCH(B113,'Reference Data'!$A$3:$A$9,0)),""))</f>
        <v/>
      </c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5" hidden="false" customHeight="true" outlineLevel="0" collapsed="false">
      <c r="A114" s="4"/>
      <c r="B114" s="4"/>
      <c r="C114" s="12" t="str">
        <f aca="false">IF(B114="","",IFERROR(INDEX('Reference Data'!$C$3:$C$9,MATCH(B114,'Reference Data'!$A$3:$A$9,0)),""))</f>
        <v/>
      </c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5" hidden="false" customHeight="true" outlineLevel="0" collapsed="false">
      <c r="A115" s="4"/>
      <c r="B115" s="4"/>
      <c r="C115" s="12" t="str">
        <f aca="false">IF(B115="","",IFERROR(INDEX('Reference Data'!$C$3:$C$9,MATCH(B115,'Reference Data'!$A$3:$A$9,0)),""))</f>
        <v/>
      </c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5" hidden="false" customHeight="true" outlineLevel="0" collapsed="false">
      <c r="A116" s="4"/>
      <c r="B116" s="4"/>
      <c r="C116" s="12" t="str">
        <f aca="false">IF(B116="","",IFERROR(INDEX('Reference Data'!$C$3:$C$9,MATCH(B116,'Reference Data'!$A$3:$A$9,0)),""))</f>
        <v/>
      </c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5" hidden="false" customHeight="true" outlineLevel="0" collapsed="false">
      <c r="A117" s="4"/>
      <c r="B117" s="4"/>
      <c r="C117" s="12" t="str">
        <f aca="false">IF(B117="","",IFERROR(INDEX('Reference Data'!$C$3:$C$9,MATCH(B117,'Reference Data'!$A$3:$A$9,0)),""))</f>
        <v/>
      </c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5" hidden="false" customHeight="true" outlineLevel="0" collapsed="false">
      <c r="A118" s="4"/>
      <c r="B118" s="4"/>
      <c r="C118" s="12" t="str">
        <f aca="false">IF(B118="","",IFERROR(INDEX('Reference Data'!$C$3:$C$9,MATCH(B118,'Reference Data'!$A$3:$A$9,0)),""))</f>
        <v/>
      </c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5" hidden="false" customHeight="true" outlineLevel="0" collapsed="false">
      <c r="A119" s="4"/>
      <c r="B119" s="4"/>
      <c r="C119" s="12" t="str">
        <f aca="false">IF(B119="","",IFERROR(INDEX('Reference Data'!$C$3:$C$9,MATCH(B119,'Reference Data'!$A$3:$A$9,0)),""))</f>
        <v/>
      </c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5" hidden="false" customHeight="true" outlineLevel="0" collapsed="false">
      <c r="A120" s="4"/>
      <c r="B120" s="4"/>
      <c r="C120" s="12" t="str">
        <f aca="false">IF(B120="","",IFERROR(INDEX('Reference Data'!$C$3:$C$9,MATCH(B120,'Reference Data'!$A$3:$A$9,0)),""))</f>
        <v/>
      </c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5" hidden="false" customHeight="true" outlineLevel="0" collapsed="false">
      <c r="A121" s="4"/>
      <c r="B121" s="4"/>
      <c r="C121" s="12" t="str">
        <f aca="false">IF(B121="","",IFERROR(INDEX('Reference Data'!$C$3:$C$9,MATCH(B121,'Reference Data'!$A$3:$A$9,0)),""))</f>
        <v/>
      </c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5" hidden="false" customHeight="true" outlineLevel="0" collapsed="false">
      <c r="A122" s="4"/>
      <c r="B122" s="4"/>
      <c r="C122" s="12" t="str">
        <f aca="false">IF(B122="","",IFERROR(INDEX('Reference Data'!$C$3:$C$9,MATCH(B122,'Reference Data'!$A$3:$A$9,0)),""))</f>
        <v/>
      </c>
      <c r="D122" s="4"/>
      <c r="E122" s="4"/>
      <c r="F122" s="4"/>
      <c r="G122" s="4"/>
      <c r="H122" s="4"/>
      <c r="I122" s="4"/>
      <c r="J122" s="4"/>
      <c r="K122" s="4"/>
      <c r="L122" s="4"/>
    </row>
  </sheetData>
  <mergeCells count="1">
    <mergeCell ref="A1:L1"/>
  </mergeCells>
  <conditionalFormatting sqref="L3:L122">
    <cfRule type="cellIs" priority="2" operator="equal" aboveAverage="0" equalAverage="0" bottom="0" percent="0" rank="0" text="" dxfId="0">
      <formula>"At Risk"</formula>
    </cfRule>
    <cfRule type="cellIs" priority="3" operator="equal" aboveAverage="0" equalAverage="0" bottom="0" percent="0" rank="0" text="" dxfId="2">
      <formula>"Complete"</formula>
    </cfRule>
  </conditionalFormatting>
  <dataValidations count="3">
    <dataValidation allowBlank="true" errorStyle="stop" operator="between" showDropDown="false" showErrorMessage="false" showInputMessage="false" sqref="B3:B122" type="list">
      <formula1>"AUD-01,AUD-02,AUD-03,AUD-04,AUD-05,AUD-06,AUD-07"</formula1>
      <formula2>0</formula2>
    </dataValidation>
    <dataValidation allowBlank="true" errorStyle="stop" operator="between" showDropDown="false" showErrorMessage="false" showInputMessage="false" sqref="J3:J122" type="list">
      <formula1>"Initiation,Charter / Baseline,Design,Build / Test / Validation,Operational Readiness / Go-Live,Stabilization / Handoff,Closure"</formula1>
      <formula2>0</formula2>
    </dataValidation>
    <dataValidation allowBlank="true" errorStyle="stop" operator="between" showDropDown="false" showErrorMessage="false" showInputMessage="false" sqref="L3:L122" type="list">
      <formula1>"Planned,Scheduled,In Delivery,Complete,At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8" min="5" style="1" width="11"/>
    <col collapsed="false" customWidth="true" hidden="false" outlineLevel="0" max="9" min="9" style="1" width="22"/>
    <col collapsed="false" customWidth="true" hidden="false" outlineLevel="0" max="11" min="10" style="1" width="24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2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9" t="s">
        <v>89</v>
      </c>
      <c r="B2" s="9" t="s">
        <v>47</v>
      </c>
      <c r="C2" s="9" t="s">
        <v>74</v>
      </c>
      <c r="D2" s="9" t="s">
        <v>125</v>
      </c>
      <c r="E2" s="9" t="s">
        <v>126</v>
      </c>
      <c r="F2" s="9" t="s">
        <v>127</v>
      </c>
      <c r="G2" s="9" t="s">
        <v>128</v>
      </c>
      <c r="H2" s="9" t="s">
        <v>129</v>
      </c>
      <c r="I2" s="9" t="s">
        <v>130</v>
      </c>
      <c r="J2" s="9" t="s">
        <v>131</v>
      </c>
      <c r="K2" s="9" t="s">
        <v>132</v>
      </c>
      <c r="L2" s="9" t="s">
        <v>117</v>
      </c>
    </row>
    <row r="3" customFormat="false" ht="34.5" hidden="false" customHeight="true" outlineLevel="0" collapsed="false">
      <c r="A3" s="10" t="s">
        <v>99</v>
      </c>
      <c r="B3" s="10" t="s">
        <v>57</v>
      </c>
      <c r="C3" s="11" t="str">
        <f aca="false">IF(B3="","",IFERROR(INDEX('Reference Data'!$C$3:$C$9,MATCH(B3,'Reference Data'!$A$3:$A$9,0)),""))</f>
        <v>IT &amp; Application Owners</v>
      </c>
      <c r="D3" s="10" t="n">
        <v>45</v>
      </c>
      <c r="E3" s="10" t="n">
        <v>38</v>
      </c>
      <c r="F3" s="13" t="n">
        <f aca="false">IF(OR(D3="",D3=0,E3=""),"",E3/D3)</f>
        <v>0.844444444444444</v>
      </c>
      <c r="G3" s="14" t="n">
        <v>1</v>
      </c>
      <c r="H3" s="11" t="str">
        <f aca="false">IF(OR(F3="",G3=""),"",IF(F3&gt;=G3,"Yes","No"))</f>
        <v>No</v>
      </c>
      <c r="I3" s="10" t="s">
        <v>133</v>
      </c>
      <c r="J3" s="10" t="s">
        <v>134</v>
      </c>
      <c r="K3" s="10" t="s">
        <v>121</v>
      </c>
      <c r="L3" s="10" t="s">
        <v>135</v>
      </c>
    </row>
    <row r="4" customFormat="false" ht="15" hidden="false" customHeight="true" outlineLevel="0" collapsed="false">
      <c r="A4" s="4"/>
      <c r="B4" s="4"/>
      <c r="C4" s="12" t="str">
        <f aca="false">IF(B4="","",IFERROR(INDEX('Reference Data'!$C$3:$C$9,MATCH(B4,'Reference Data'!$A$3:$A$9,0)),""))</f>
        <v/>
      </c>
      <c r="D4" s="4"/>
      <c r="E4" s="4"/>
      <c r="F4" s="15" t="str">
        <f aca="false">IF(OR(D4="",D4=0,E4=""),"",E4/D4)</f>
        <v/>
      </c>
      <c r="G4" s="16"/>
      <c r="H4" s="12" t="str">
        <f aca="false">IF(OR(F4="",G4=""),"",IF(F4&gt;=G4,"Yes","No"))</f>
        <v/>
      </c>
      <c r="I4" s="4"/>
      <c r="J4" s="4"/>
      <c r="K4" s="4"/>
      <c r="L4" s="4"/>
    </row>
    <row r="5" customFormat="false" ht="15" hidden="false" customHeight="true" outlineLevel="0" collapsed="false">
      <c r="A5" s="4"/>
      <c r="B5" s="4"/>
      <c r="C5" s="12" t="str">
        <f aca="false">IF(B5="","",IFERROR(INDEX('Reference Data'!$C$3:$C$9,MATCH(B5,'Reference Data'!$A$3:$A$9,0)),""))</f>
        <v/>
      </c>
      <c r="D5" s="4"/>
      <c r="E5" s="4"/>
      <c r="F5" s="15" t="str">
        <f aca="false">IF(OR(D5="",D5=0,E5=""),"",E5/D5)</f>
        <v/>
      </c>
      <c r="G5" s="16"/>
      <c r="H5" s="12" t="str">
        <f aca="false">IF(OR(F5="",G5=""),"",IF(F5&gt;=G5,"Yes","No"))</f>
        <v/>
      </c>
      <c r="I5" s="4"/>
      <c r="J5" s="4"/>
      <c r="K5" s="4"/>
      <c r="L5" s="4"/>
    </row>
    <row r="6" customFormat="false" ht="15" hidden="false" customHeight="true" outlineLevel="0" collapsed="false">
      <c r="A6" s="4"/>
      <c r="B6" s="4"/>
      <c r="C6" s="12" t="str">
        <f aca="false">IF(B6="","",IFERROR(INDEX('Reference Data'!$C$3:$C$9,MATCH(B6,'Reference Data'!$A$3:$A$9,0)),""))</f>
        <v/>
      </c>
      <c r="D6" s="4"/>
      <c r="E6" s="4"/>
      <c r="F6" s="15" t="str">
        <f aca="false">IF(OR(D6="",D6=0,E6=""),"",E6/D6)</f>
        <v/>
      </c>
      <c r="G6" s="16"/>
      <c r="H6" s="12" t="str">
        <f aca="false">IF(OR(F6="",G6=""),"",IF(F6&gt;=G6,"Yes","No"))</f>
        <v/>
      </c>
      <c r="I6" s="4"/>
      <c r="J6" s="4"/>
      <c r="K6" s="4"/>
      <c r="L6" s="4"/>
    </row>
    <row r="7" customFormat="false" ht="15" hidden="false" customHeight="true" outlineLevel="0" collapsed="false">
      <c r="A7" s="4"/>
      <c r="B7" s="4"/>
      <c r="C7" s="12" t="str">
        <f aca="false">IF(B7="","",IFERROR(INDEX('Reference Data'!$C$3:$C$9,MATCH(B7,'Reference Data'!$A$3:$A$9,0)),""))</f>
        <v/>
      </c>
      <c r="D7" s="4"/>
      <c r="E7" s="4"/>
      <c r="F7" s="15" t="str">
        <f aca="false">IF(OR(D7="",D7=0,E7=""),"",E7/D7)</f>
        <v/>
      </c>
      <c r="G7" s="16"/>
      <c r="H7" s="12" t="str">
        <f aca="false">IF(OR(F7="",G7=""),"",IF(F7&gt;=G7,"Yes","No"))</f>
        <v/>
      </c>
      <c r="I7" s="4"/>
      <c r="J7" s="4"/>
      <c r="K7" s="4"/>
      <c r="L7" s="4"/>
    </row>
    <row r="8" customFormat="false" ht="15" hidden="false" customHeight="true" outlineLevel="0" collapsed="false">
      <c r="A8" s="4"/>
      <c r="B8" s="4"/>
      <c r="C8" s="12" t="str">
        <f aca="false">IF(B8="","",IFERROR(INDEX('Reference Data'!$C$3:$C$9,MATCH(B8,'Reference Data'!$A$3:$A$9,0)),""))</f>
        <v/>
      </c>
      <c r="D8" s="4"/>
      <c r="E8" s="4"/>
      <c r="F8" s="15" t="str">
        <f aca="false">IF(OR(D8="",D8=0,E8=""),"",E8/D8)</f>
        <v/>
      </c>
      <c r="G8" s="16"/>
      <c r="H8" s="12" t="str">
        <f aca="false">IF(OR(F8="",G8=""),"",IF(F8&gt;=G8,"Yes","No"))</f>
        <v/>
      </c>
      <c r="I8" s="4"/>
      <c r="J8" s="4"/>
      <c r="K8" s="4"/>
      <c r="L8" s="4"/>
    </row>
    <row r="9" customFormat="false" ht="15" hidden="false" customHeight="true" outlineLevel="0" collapsed="false">
      <c r="A9" s="4"/>
      <c r="B9" s="4"/>
      <c r="C9" s="12" t="str">
        <f aca="false">IF(B9="","",IFERROR(INDEX('Reference Data'!$C$3:$C$9,MATCH(B9,'Reference Data'!$A$3:$A$9,0)),""))</f>
        <v/>
      </c>
      <c r="D9" s="4"/>
      <c r="E9" s="4"/>
      <c r="F9" s="15" t="str">
        <f aca="false">IF(OR(D9="",D9=0,E9=""),"",E9/D9)</f>
        <v/>
      </c>
      <c r="G9" s="16"/>
      <c r="H9" s="12" t="str">
        <f aca="false">IF(OR(F9="",G9=""),"",IF(F9&gt;=G9,"Yes","No"))</f>
        <v/>
      </c>
      <c r="I9" s="4"/>
      <c r="J9" s="4"/>
      <c r="K9" s="4"/>
      <c r="L9" s="4"/>
    </row>
    <row r="10" customFormat="false" ht="15" hidden="false" customHeight="true" outlineLevel="0" collapsed="false">
      <c r="A10" s="4"/>
      <c r="B10" s="4"/>
      <c r="C10" s="12" t="str">
        <f aca="false">IF(B10="","",IFERROR(INDEX('Reference Data'!$C$3:$C$9,MATCH(B10,'Reference Data'!$A$3:$A$9,0)),""))</f>
        <v/>
      </c>
      <c r="D10" s="4"/>
      <c r="E10" s="4"/>
      <c r="F10" s="15" t="str">
        <f aca="false">IF(OR(D10="",D10=0,E10=""),"",E10/D10)</f>
        <v/>
      </c>
      <c r="G10" s="16"/>
      <c r="H10" s="12" t="str">
        <f aca="false">IF(OR(F10="",G10=""),"",IF(F10&gt;=G10,"Yes","No"))</f>
        <v/>
      </c>
      <c r="I10" s="4"/>
      <c r="J10" s="4"/>
      <c r="K10" s="4"/>
      <c r="L10" s="4"/>
    </row>
    <row r="11" customFormat="false" ht="15" hidden="false" customHeight="true" outlineLevel="0" collapsed="false">
      <c r="A11" s="4"/>
      <c r="B11" s="4"/>
      <c r="C11" s="12" t="str">
        <f aca="false">IF(B11="","",IFERROR(INDEX('Reference Data'!$C$3:$C$9,MATCH(B11,'Reference Data'!$A$3:$A$9,0)),""))</f>
        <v/>
      </c>
      <c r="D11" s="4"/>
      <c r="E11" s="4"/>
      <c r="F11" s="15" t="str">
        <f aca="false">IF(OR(D11="",D11=0,E11=""),"",E11/D11)</f>
        <v/>
      </c>
      <c r="G11" s="16"/>
      <c r="H11" s="12" t="str">
        <f aca="false">IF(OR(F11="",G11=""),"",IF(F11&gt;=G11,"Yes","No"))</f>
        <v/>
      </c>
      <c r="I11" s="4"/>
      <c r="J11" s="4"/>
      <c r="K11" s="4"/>
      <c r="L11" s="4"/>
    </row>
    <row r="12" customFormat="false" ht="15" hidden="false" customHeight="true" outlineLevel="0" collapsed="false">
      <c r="A12" s="4"/>
      <c r="B12" s="4"/>
      <c r="C12" s="12" t="str">
        <f aca="false">IF(B12="","",IFERROR(INDEX('Reference Data'!$C$3:$C$9,MATCH(B12,'Reference Data'!$A$3:$A$9,0)),""))</f>
        <v/>
      </c>
      <c r="D12" s="4"/>
      <c r="E12" s="4"/>
      <c r="F12" s="15" t="str">
        <f aca="false">IF(OR(D12="",D12=0,E12=""),"",E12/D12)</f>
        <v/>
      </c>
      <c r="G12" s="16"/>
      <c r="H12" s="12" t="str">
        <f aca="false">IF(OR(F12="",G12=""),"",IF(F12&gt;=G12,"Yes","No"))</f>
        <v/>
      </c>
      <c r="I12" s="4"/>
      <c r="J12" s="4"/>
      <c r="K12" s="4"/>
      <c r="L12" s="4"/>
    </row>
    <row r="13" customFormat="false" ht="15" hidden="false" customHeight="true" outlineLevel="0" collapsed="false">
      <c r="A13" s="4"/>
      <c r="B13" s="4"/>
      <c r="C13" s="12" t="str">
        <f aca="false">IF(B13="","",IFERROR(INDEX('Reference Data'!$C$3:$C$9,MATCH(B13,'Reference Data'!$A$3:$A$9,0)),""))</f>
        <v/>
      </c>
      <c r="D13" s="4"/>
      <c r="E13" s="4"/>
      <c r="F13" s="15" t="str">
        <f aca="false">IF(OR(D13="",D13=0,E13=""),"",E13/D13)</f>
        <v/>
      </c>
      <c r="G13" s="16"/>
      <c r="H13" s="12" t="str">
        <f aca="false">IF(OR(F13="",G13=""),"",IF(F13&gt;=G13,"Yes","No"))</f>
        <v/>
      </c>
      <c r="I13" s="4"/>
      <c r="J13" s="4"/>
      <c r="K13" s="4"/>
      <c r="L13" s="4"/>
    </row>
    <row r="14" customFormat="false" ht="15" hidden="false" customHeight="true" outlineLevel="0" collapsed="false">
      <c r="A14" s="4"/>
      <c r="B14" s="4"/>
      <c r="C14" s="12" t="str">
        <f aca="false">IF(B14="","",IFERROR(INDEX('Reference Data'!$C$3:$C$9,MATCH(B14,'Reference Data'!$A$3:$A$9,0)),""))</f>
        <v/>
      </c>
      <c r="D14" s="4"/>
      <c r="E14" s="4"/>
      <c r="F14" s="15" t="str">
        <f aca="false">IF(OR(D14="",D14=0,E14=""),"",E14/D14)</f>
        <v/>
      </c>
      <c r="G14" s="16"/>
      <c r="H14" s="12" t="str">
        <f aca="false">IF(OR(F14="",G14=""),"",IF(F14&gt;=G14,"Yes","No"))</f>
        <v/>
      </c>
      <c r="I14" s="4"/>
      <c r="J14" s="4"/>
      <c r="K14" s="4"/>
      <c r="L14" s="4"/>
    </row>
    <row r="15" customFormat="false" ht="15" hidden="false" customHeight="true" outlineLevel="0" collapsed="false">
      <c r="A15" s="4"/>
      <c r="B15" s="4"/>
      <c r="C15" s="12" t="str">
        <f aca="false">IF(B15="","",IFERROR(INDEX('Reference Data'!$C$3:$C$9,MATCH(B15,'Reference Data'!$A$3:$A$9,0)),""))</f>
        <v/>
      </c>
      <c r="D15" s="4"/>
      <c r="E15" s="4"/>
      <c r="F15" s="15" t="str">
        <f aca="false">IF(OR(D15="",D15=0,E15=""),"",E15/D15)</f>
        <v/>
      </c>
      <c r="G15" s="16"/>
      <c r="H15" s="12" t="str">
        <f aca="false">IF(OR(F15="",G15=""),"",IF(F15&gt;=G15,"Yes","No"))</f>
        <v/>
      </c>
      <c r="I15" s="4"/>
      <c r="J15" s="4"/>
      <c r="K15" s="4"/>
      <c r="L15" s="4"/>
    </row>
    <row r="16" customFormat="false" ht="15" hidden="false" customHeight="true" outlineLevel="0" collapsed="false">
      <c r="A16" s="4"/>
      <c r="B16" s="4"/>
      <c r="C16" s="12" t="str">
        <f aca="false">IF(B16="","",IFERROR(INDEX('Reference Data'!$C$3:$C$9,MATCH(B16,'Reference Data'!$A$3:$A$9,0)),""))</f>
        <v/>
      </c>
      <c r="D16" s="4"/>
      <c r="E16" s="4"/>
      <c r="F16" s="15" t="str">
        <f aca="false">IF(OR(D16="",D16=0,E16=""),"",E16/D16)</f>
        <v/>
      </c>
      <c r="G16" s="16"/>
      <c r="H16" s="12" t="str">
        <f aca="false">IF(OR(F16="",G16=""),"",IF(F16&gt;=G16,"Yes","No"))</f>
        <v/>
      </c>
      <c r="I16" s="4"/>
      <c r="J16" s="4"/>
      <c r="K16" s="4"/>
      <c r="L16" s="4"/>
    </row>
    <row r="17" customFormat="false" ht="15" hidden="false" customHeight="true" outlineLevel="0" collapsed="false">
      <c r="A17" s="4"/>
      <c r="B17" s="4"/>
      <c r="C17" s="12" t="str">
        <f aca="false">IF(B17="","",IFERROR(INDEX('Reference Data'!$C$3:$C$9,MATCH(B17,'Reference Data'!$A$3:$A$9,0)),""))</f>
        <v/>
      </c>
      <c r="D17" s="4"/>
      <c r="E17" s="4"/>
      <c r="F17" s="15" t="str">
        <f aca="false">IF(OR(D17="",D17=0,E17=""),"",E17/D17)</f>
        <v/>
      </c>
      <c r="G17" s="16"/>
      <c r="H17" s="12" t="str">
        <f aca="false">IF(OR(F17="",G17=""),"",IF(F17&gt;=G17,"Yes","No"))</f>
        <v/>
      </c>
      <c r="I17" s="4"/>
      <c r="J17" s="4"/>
      <c r="K17" s="4"/>
      <c r="L17" s="4"/>
    </row>
    <row r="18" customFormat="false" ht="15" hidden="false" customHeight="true" outlineLevel="0" collapsed="false">
      <c r="A18" s="4"/>
      <c r="B18" s="4"/>
      <c r="C18" s="12" t="str">
        <f aca="false">IF(B18="","",IFERROR(INDEX('Reference Data'!$C$3:$C$9,MATCH(B18,'Reference Data'!$A$3:$A$9,0)),""))</f>
        <v/>
      </c>
      <c r="D18" s="4"/>
      <c r="E18" s="4"/>
      <c r="F18" s="15" t="str">
        <f aca="false">IF(OR(D18="",D18=0,E18=""),"",E18/D18)</f>
        <v/>
      </c>
      <c r="G18" s="16"/>
      <c r="H18" s="12" t="str">
        <f aca="false">IF(OR(F18="",G18=""),"",IF(F18&gt;=G18,"Yes","No"))</f>
        <v/>
      </c>
      <c r="I18" s="4"/>
      <c r="J18" s="4"/>
      <c r="K18" s="4"/>
      <c r="L18" s="4"/>
    </row>
    <row r="19" customFormat="false" ht="15" hidden="false" customHeight="true" outlineLevel="0" collapsed="false">
      <c r="A19" s="4"/>
      <c r="B19" s="4"/>
      <c r="C19" s="12" t="str">
        <f aca="false">IF(B19="","",IFERROR(INDEX('Reference Data'!$C$3:$C$9,MATCH(B19,'Reference Data'!$A$3:$A$9,0)),""))</f>
        <v/>
      </c>
      <c r="D19" s="4"/>
      <c r="E19" s="4"/>
      <c r="F19" s="15" t="str">
        <f aca="false">IF(OR(D19="",D19=0,E19=""),"",E19/D19)</f>
        <v/>
      </c>
      <c r="G19" s="16"/>
      <c r="H19" s="12" t="str">
        <f aca="false">IF(OR(F19="",G19=""),"",IF(F19&gt;=G19,"Yes","No"))</f>
        <v/>
      </c>
      <c r="I19" s="4"/>
      <c r="J19" s="4"/>
      <c r="K19" s="4"/>
      <c r="L19" s="4"/>
    </row>
    <row r="20" customFormat="false" ht="15" hidden="false" customHeight="true" outlineLevel="0" collapsed="false">
      <c r="A20" s="4"/>
      <c r="B20" s="4"/>
      <c r="C20" s="12" t="str">
        <f aca="false">IF(B20="","",IFERROR(INDEX('Reference Data'!$C$3:$C$9,MATCH(B20,'Reference Data'!$A$3:$A$9,0)),""))</f>
        <v/>
      </c>
      <c r="D20" s="4"/>
      <c r="E20" s="4"/>
      <c r="F20" s="15" t="str">
        <f aca="false">IF(OR(D20="",D20=0,E20=""),"",E20/D20)</f>
        <v/>
      </c>
      <c r="G20" s="16"/>
      <c r="H20" s="12" t="str">
        <f aca="false">IF(OR(F20="",G20=""),"",IF(F20&gt;=G20,"Yes","No"))</f>
        <v/>
      </c>
      <c r="I20" s="4"/>
      <c r="J20" s="4"/>
      <c r="K20" s="4"/>
      <c r="L20" s="4"/>
    </row>
    <row r="21" customFormat="false" ht="15" hidden="false" customHeight="true" outlineLevel="0" collapsed="false">
      <c r="A21" s="4"/>
      <c r="B21" s="4"/>
      <c r="C21" s="12" t="str">
        <f aca="false">IF(B21="","",IFERROR(INDEX('Reference Data'!$C$3:$C$9,MATCH(B21,'Reference Data'!$A$3:$A$9,0)),""))</f>
        <v/>
      </c>
      <c r="D21" s="4"/>
      <c r="E21" s="4"/>
      <c r="F21" s="15" t="str">
        <f aca="false">IF(OR(D21="",D21=0,E21=""),"",E21/D21)</f>
        <v/>
      </c>
      <c r="G21" s="16"/>
      <c r="H21" s="12" t="str">
        <f aca="false">IF(OR(F21="",G21=""),"",IF(F21&gt;=G21,"Yes","No"))</f>
        <v/>
      </c>
      <c r="I21" s="4"/>
      <c r="J21" s="4"/>
      <c r="K21" s="4"/>
      <c r="L21" s="4"/>
    </row>
    <row r="22" customFormat="false" ht="15" hidden="false" customHeight="true" outlineLevel="0" collapsed="false">
      <c r="A22" s="4"/>
      <c r="B22" s="4"/>
      <c r="C22" s="12" t="str">
        <f aca="false">IF(B22="","",IFERROR(INDEX('Reference Data'!$C$3:$C$9,MATCH(B22,'Reference Data'!$A$3:$A$9,0)),""))</f>
        <v/>
      </c>
      <c r="D22" s="4"/>
      <c r="E22" s="4"/>
      <c r="F22" s="15" t="str">
        <f aca="false">IF(OR(D22="",D22=0,E22=""),"",E22/D22)</f>
        <v/>
      </c>
      <c r="G22" s="16"/>
      <c r="H22" s="12" t="str">
        <f aca="false">IF(OR(F22="",G22=""),"",IF(F22&gt;=G22,"Yes","No"))</f>
        <v/>
      </c>
      <c r="I22" s="4"/>
      <c r="J22" s="4"/>
      <c r="K22" s="4"/>
      <c r="L22" s="4"/>
    </row>
    <row r="23" customFormat="false" ht="15" hidden="false" customHeight="true" outlineLevel="0" collapsed="false">
      <c r="A23" s="4"/>
      <c r="B23" s="4"/>
      <c r="C23" s="12" t="str">
        <f aca="false">IF(B23="","",IFERROR(INDEX('Reference Data'!$C$3:$C$9,MATCH(B23,'Reference Data'!$A$3:$A$9,0)),""))</f>
        <v/>
      </c>
      <c r="D23" s="4"/>
      <c r="E23" s="4"/>
      <c r="F23" s="15" t="str">
        <f aca="false">IF(OR(D23="",D23=0,E23=""),"",E23/D23)</f>
        <v/>
      </c>
      <c r="G23" s="16"/>
      <c r="H23" s="12" t="str">
        <f aca="false">IF(OR(F23="",G23=""),"",IF(F23&gt;=G23,"Yes","No"))</f>
        <v/>
      </c>
      <c r="I23" s="4"/>
      <c r="J23" s="4"/>
      <c r="K23" s="4"/>
      <c r="L23" s="4"/>
    </row>
    <row r="24" customFormat="false" ht="15" hidden="false" customHeight="true" outlineLevel="0" collapsed="false">
      <c r="A24" s="4"/>
      <c r="B24" s="4"/>
      <c r="C24" s="12" t="str">
        <f aca="false">IF(B24="","",IFERROR(INDEX('Reference Data'!$C$3:$C$9,MATCH(B24,'Reference Data'!$A$3:$A$9,0)),""))</f>
        <v/>
      </c>
      <c r="D24" s="4"/>
      <c r="E24" s="4"/>
      <c r="F24" s="15" t="str">
        <f aca="false">IF(OR(D24="",D24=0,E24=""),"",E24/D24)</f>
        <v/>
      </c>
      <c r="G24" s="16"/>
      <c r="H24" s="12" t="str">
        <f aca="false">IF(OR(F24="",G24=""),"",IF(F24&gt;=G24,"Yes","No"))</f>
        <v/>
      </c>
      <c r="I24" s="4"/>
      <c r="J24" s="4"/>
      <c r="K24" s="4"/>
      <c r="L24" s="4"/>
    </row>
    <row r="25" customFormat="false" ht="15" hidden="false" customHeight="true" outlineLevel="0" collapsed="false">
      <c r="A25" s="4"/>
      <c r="B25" s="4"/>
      <c r="C25" s="12" t="str">
        <f aca="false">IF(B25="","",IFERROR(INDEX('Reference Data'!$C$3:$C$9,MATCH(B25,'Reference Data'!$A$3:$A$9,0)),""))</f>
        <v/>
      </c>
      <c r="D25" s="4"/>
      <c r="E25" s="4"/>
      <c r="F25" s="15" t="str">
        <f aca="false">IF(OR(D25="",D25=0,E25=""),"",E25/D25)</f>
        <v/>
      </c>
      <c r="G25" s="16"/>
      <c r="H25" s="12" t="str">
        <f aca="false">IF(OR(F25="",G25=""),"",IF(F25&gt;=G25,"Yes","No"))</f>
        <v/>
      </c>
      <c r="I25" s="4"/>
      <c r="J25" s="4"/>
      <c r="K25" s="4"/>
      <c r="L25" s="4"/>
    </row>
    <row r="26" customFormat="false" ht="15" hidden="false" customHeight="true" outlineLevel="0" collapsed="false">
      <c r="A26" s="4"/>
      <c r="B26" s="4"/>
      <c r="C26" s="12" t="str">
        <f aca="false">IF(B26="","",IFERROR(INDEX('Reference Data'!$C$3:$C$9,MATCH(B26,'Reference Data'!$A$3:$A$9,0)),""))</f>
        <v/>
      </c>
      <c r="D26" s="4"/>
      <c r="E26" s="4"/>
      <c r="F26" s="15" t="str">
        <f aca="false">IF(OR(D26="",D26=0,E26=""),"",E26/D26)</f>
        <v/>
      </c>
      <c r="G26" s="16"/>
      <c r="H26" s="12" t="str">
        <f aca="false">IF(OR(F26="",G26=""),"",IF(F26&gt;=G26,"Yes","No"))</f>
        <v/>
      </c>
      <c r="I26" s="4"/>
      <c r="J26" s="4"/>
      <c r="K26" s="4"/>
      <c r="L26" s="4"/>
    </row>
    <row r="27" customFormat="false" ht="15" hidden="false" customHeight="true" outlineLevel="0" collapsed="false">
      <c r="A27" s="4"/>
      <c r="B27" s="4"/>
      <c r="C27" s="12" t="str">
        <f aca="false">IF(B27="","",IFERROR(INDEX('Reference Data'!$C$3:$C$9,MATCH(B27,'Reference Data'!$A$3:$A$9,0)),""))</f>
        <v/>
      </c>
      <c r="D27" s="4"/>
      <c r="E27" s="4"/>
      <c r="F27" s="15" t="str">
        <f aca="false">IF(OR(D27="",D27=0,E27=""),"",E27/D27)</f>
        <v/>
      </c>
      <c r="G27" s="16"/>
      <c r="H27" s="12" t="str">
        <f aca="false">IF(OR(F27="",G27=""),"",IF(F27&gt;=G27,"Yes","No"))</f>
        <v/>
      </c>
      <c r="I27" s="4"/>
      <c r="J27" s="4"/>
      <c r="K27" s="4"/>
      <c r="L27" s="4"/>
    </row>
    <row r="28" customFormat="false" ht="15" hidden="false" customHeight="true" outlineLevel="0" collapsed="false">
      <c r="A28" s="4"/>
      <c r="B28" s="4"/>
      <c r="C28" s="12" t="str">
        <f aca="false">IF(B28="","",IFERROR(INDEX('Reference Data'!$C$3:$C$9,MATCH(B28,'Reference Data'!$A$3:$A$9,0)),""))</f>
        <v/>
      </c>
      <c r="D28" s="4"/>
      <c r="E28" s="4"/>
      <c r="F28" s="15" t="str">
        <f aca="false">IF(OR(D28="",D28=0,E28=""),"",E28/D28)</f>
        <v/>
      </c>
      <c r="G28" s="16"/>
      <c r="H28" s="12" t="str">
        <f aca="false">IF(OR(F28="",G28=""),"",IF(F28&gt;=G28,"Yes","No"))</f>
        <v/>
      </c>
      <c r="I28" s="4"/>
      <c r="J28" s="4"/>
      <c r="K28" s="4"/>
      <c r="L28" s="4"/>
    </row>
    <row r="29" customFormat="false" ht="15" hidden="false" customHeight="true" outlineLevel="0" collapsed="false">
      <c r="A29" s="4"/>
      <c r="B29" s="4"/>
      <c r="C29" s="12" t="str">
        <f aca="false">IF(B29="","",IFERROR(INDEX('Reference Data'!$C$3:$C$9,MATCH(B29,'Reference Data'!$A$3:$A$9,0)),""))</f>
        <v/>
      </c>
      <c r="D29" s="4"/>
      <c r="E29" s="4"/>
      <c r="F29" s="15" t="str">
        <f aca="false">IF(OR(D29="",D29=0,E29=""),"",E29/D29)</f>
        <v/>
      </c>
      <c r="G29" s="16"/>
      <c r="H29" s="12" t="str">
        <f aca="false">IF(OR(F29="",G29=""),"",IF(F29&gt;=G29,"Yes","No"))</f>
        <v/>
      </c>
      <c r="I29" s="4"/>
      <c r="J29" s="4"/>
      <c r="K29" s="4"/>
      <c r="L29" s="4"/>
    </row>
    <row r="30" customFormat="false" ht="15" hidden="false" customHeight="true" outlineLevel="0" collapsed="false">
      <c r="A30" s="4"/>
      <c r="B30" s="4"/>
      <c r="C30" s="12" t="str">
        <f aca="false">IF(B30="","",IFERROR(INDEX('Reference Data'!$C$3:$C$9,MATCH(B30,'Reference Data'!$A$3:$A$9,0)),""))</f>
        <v/>
      </c>
      <c r="D30" s="4"/>
      <c r="E30" s="4"/>
      <c r="F30" s="15" t="str">
        <f aca="false">IF(OR(D30="",D30=0,E30=""),"",E30/D30)</f>
        <v/>
      </c>
      <c r="G30" s="16"/>
      <c r="H30" s="12" t="str">
        <f aca="false">IF(OR(F30="",G30=""),"",IF(F30&gt;=G30,"Yes","No"))</f>
        <v/>
      </c>
      <c r="I30" s="4"/>
      <c r="J30" s="4"/>
      <c r="K30" s="4"/>
      <c r="L30" s="4"/>
    </row>
    <row r="31" customFormat="false" ht="15" hidden="false" customHeight="true" outlineLevel="0" collapsed="false">
      <c r="A31" s="4"/>
      <c r="B31" s="4"/>
      <c r="C31" s="12" t="str">
        <f aca="false">IF(B31="","",IFERROR(INDEX('Reference Data'!$C$3:$C$9,MATCH(B31,'Reference Data'!$A$3:$A$9,0)),""))</f>
        <v/>
      </c>
      <c r="D31" s="4"/>
      <c r="E31" s="4"/>
      <c r="F31" s="15" t="str">
        <f aca="false">IF(OR(D31="",D31=0,E31=""),"",E31/D31)</f>
        <v/>
      </c>
      <c r="G31" s="16"/>
      <c r="H31" s="12" t="str">
        <f aca="false">IF(OR(F31="",G31=""),"",IF(F31&gt;=G31,"Yes","No"))</f>
        <v/>
      </c>
      <c r="I31" s="4"/>
      <c r="J31" s="4"/>
      <c r="K31" s="4"/>
      <c r="L31" s="4"/>
    </row>
    <row r="32" customFormat="false" ht="15" hidden="false" customHeight="true" outlineLevel="0" collapsed="false">
      <c r="A32" s="4"/>
      <c r="B32" s="4"/>
      <c r="C32" s="12" t="str">
        <f aca="false">IF(B32="","",IFERROR(INDEX('Reference Data'!$C$3:$C$9,MATCH(B32,'Reference Data'!$A$3:$A$9,0)),""))</f>
        <v/>
      </c>
      <c r="D32" s="4"/>
      <c r="E32" s="4"/>
      <c r="F32" s="15" t="str">
        <f aca="false">IF(OR(D32="",D32=0,E32=""),"",E32/D32)</f>
        <v/>
      </c>
      <c r="G32" s="16"/>
      <c r="H32" s="12" t="str">
        <f aca="false">IF(OR(F32="",G32=""),"",IF(F32&gt;=G32,"Yes","No"))</f>
        <v/>
      </c>
      <c r="I32" s="4"/>
      <c r="J32" s="4"/>
      <c r="K32" s="4"/>
      <c r="L32" s="4"/>
    </row>
    <row r="33" customFormat="false" ht="15" hidden="false" customHeight="true" outlineLevel="0" collapsed="false">
      <c r="A33" s="4"/>
      <c r="B33" s="4"/>
      <c r="C33" s="12" t="str">
        <f aca="false">IF(B33="","",IFERROR(INDEX('Reference Data'!$C$3:$C$9,MATCH(B33,'Reference Data'!$A$3:$A$9,0)),""))</f>
        <v/>
      </c>
      <c r="D33" s="4"/>
      <c r="E33" s="4"/>
      <c r="F33" s="15" t="str">
        <f aca="false">IF(OR(D33="",D33=0,E33=""),"",E33/D33)</f>
        <v/>
      </c>
      <c r="G33" s="16"/>
      <c r="H33" s="12" t="str">
        <f aca="false">IF(OR(F33="",G33=""),"",IF(F33&gt;=G33,"Yes","No"))</f>
        <v/>
      </c>
      <c r="I33" s="4"/>
      <c r="J33" s="4"/>
      <c r="K33" s="4"/>
      <c r="L33" s="4"/>
    </row>
    <row r="34" customFormat="false" ht="15" hidden="false" customHeight="true" outlineLevel="0" collapsed="false">
      <c r="A34" s="4"/>
      <c r="B34" s="4"/>
      <c r="C34" s="12" t="str">
        <f aca="false">IF(B34="","",IFERROR(INDEX('Reference Data'!$C$3:$C$9,MATCH(B34,'Reference Data'!$A$3:$A$9,0)),""))</f>
        <v/>
      </c>
      <c r="D34" s="4"/>
      <c r="E34" s="4"/>
      <c r="F34" s="15" t="str">
        <f aca="false">IF(OR(D34="",D34=0,E34=""),"",E34/D34)</f>
        <v/>
      </c>
      <c r="G34" s="16"/>
      <c r="H34" s="12" t="str">
        <f aca="false">IF(OR(F34="",G34=""),"",IF(F34&gt;=G34,"Yes","No"))</f>
        <v/>
      </c>
      <c r="I34" s="4"/>
      <c r="J34" s="4"/>
      <c r="K34" s="4"/>
      <c r="L34" s="4"/>
    </row>
    <row r="35" customFormat="false" ht="15" hidden="false" customHeight="true" outlineLevel="0" collapsed="false">
      <c r="A35" s="4"/>
      <c r="B35" s="4"/>
      <c r="C35" s="12" t="str">
        <f aca="false">IF(B35="","",IFERROR(INDEX('Reference Data'!$C$3:$C$9,MATCH(B35,'Reference Data'!$A$3:$A$9,0)),""))</f>
        <v/>
      </c>
      <c r="D35" s="4"/>
      <c r="E35" s="4"/>
      <c r="F35" s="15" t="str">
        <f aca="false">IF(OR(D35="",D35=0,E35=""),"",E35/D35)</f>
        <v/>
      </c>
      <c r="G35" s="16"/>
      <c r="H35" s="12" t="str">
        <f aca="false">IF(OR(F35="",G35=""),"",IF(F35&gt;=G35,"Yes","No"))</f>
        <v/>
      </c>
      <c r="I35" s="4"/>
      <c r="J35" s="4"/>
      <c r="K35" s="4"/>
      <c r="L35" s="4"/>
    </row>
    <row r="36" customFormat="false" ht="15" hidden="false" customHeight="true" outlineLevel="0" collapsed="false">
      <c r="A36" s="4"/>
      <c r="B36" s="4"/>
      <c r="C36" s="12" t="str">
        <f aca="false">IF(B36="","",IFERROR(INDEX('Reference Data'!$C$3:$C$9,MATCH(B36,'Reference Data'!$A$3:$A$9,0)),""))</f>
        <v/>
      </c>
      <c r="D36" s="4"/>
      <c r="E36" s="4"/>
      <c r="F36" s="15" t="str">
        <f aca="false">IF(OR(D36="",D36=0,E36=""),"",E36/D36)</f>
        <v/>
      </c>
      <c r="G36" s="16"/>
      <c r="H36" s="12" t="str">
        <f aca="false">IF(OR(F36="",G36=""),"",IF(F36&gt;=G36,"Yes","No"))</f>
        <v/>
      </c>
      <c r="I36" s="4"/>
      <c r="J36" s="4"/>
      <c r="K36" s="4"/>
      <c r="L36" s="4"/>
    </row>
    <row r="37" customFormat="false" ht="15" hidden="false" customHeight="true" outlineLevel="0" collapsed="false">
      <c r="A37" s="4"/>
      <c r="B37" s="4"/>
      <c r="C37" s="12" t="str">
        <f aca="false">IF(B37="","",IFERROR(INDEX('Reference Data'!$C$3:$C$9,MATCH(B37,'Reference Data'!$A$3:$A$9,0)),""))</f>
        <v/>
      </c>
      <c r="D37" s="4"/>
      <c r="E37" s="4"/>
      <c r="F37" s="15" t="str">
        <f aca="false">IF(OR(D37="",D37=0,E37=""),"",E37/D37)</f>
        <v/>
      </c>
      <c r="G37" s="16"/>
      <c r="H37" s="12" t="str">
        <f aca="false">IF(OR(F37="",G37=""),"",IF(F37&gt;=G37,"Yes","No"))</f>
        <v/>
      </c>
      <c r="I37" s="4"/>
      <c r="J37" s="4"/>
      <c r="K37" s="4"/>
      <c r="L37" s="4"/>
    </row>
    <row r="38" customFormat="false" ht="15" hidden="false" customHeight="true" outlineLevel="0" collapsed="false">
      <c r="A38" s="4"/>
      <c r="B38" s="4"/>
      <c r="C38" s="12" t="str">
        <f aca="false">IF(B38="","",IFERROR(INDEX('Reference Data'!$C$3:$C$9,MATCH(B38,'Reference Data'!$A$3:$A$9,0)),""))</f>
        <v/>
      </c>
      <c r="D38" s="4"/>
      <c r="E38" s="4"/>
      <c r="F38" s="15" t="str">
        <f aca="false">IF(OR(D38="",D38=0,E38=""),"",E38/D38)</f>
        <v/>
      </c>
      <c r="G38" s="16"/>
      <c r="H38" s="12" t="str">
        <f aca="false">IF(OR(F38="",G38=""),"",IF(F38&gt;=G38,"Yes","No"))</f>
        <v/>
      </c>
      <c r="I38" s="4"/>
      <c r="J38" s="4"/>
      <c r="K38" s="4"/>
      <c r="L38" s="4"/>
    </row>
    <row r="39" customFormat="false" ht="15" hidden="false" customHeight="true" outlineLevel="0" collapsed="false">
      <c r="A39" s="4"/>
      <c r="B39" s="4"/>
      <c r="C39" s="12" t="str">
        <f aca="false">IF(B39="","",IFERROR(INDEX('Reference Data'!$C$3:$C$9,MATCH(B39,'Reference Data'!$A$3:$A$9,0)),""))</f>
        <v/>
      </c>
      <c r="D39" s="4"/>
      <c r="E39" s="4"/>
      <c r="F39" s="15" t="str">
        <f aca="false">IF(OR(D39="",D39=0,E39=""),"",E39/D39)</f>
        <v/>
      </c>
      <c r="G39" s="16"/>
      <c r="H39" s="12" t="str">
        <f aca="false">IF(OR(F39="",G39=""),"",IF(F39&gt;=G39,"Yes","No"))</f>
        <v/>
      </c>
      <c r="I39" s="4"/>
      <c r="J39" s="4"/>
      <c r="K39" s="4"/>
      <c r="L39" s="4"/>
    </row>
    <row r="40" customFormat="false" ht="15" hidden="false" customHeight="true" outlineLevel="0" collapsed="false">
      <c r="A40" s="4"/>
      <c r="B40" s="4"/>
      <c r="C40" s="12" t="str">
        <f aca="false">IF(B40="","",IFERROR(INDEX('Reference Data'!$C$3:$C$9,MATCH(B40,'Reference Data'!$A$3:$A$9,0)),""))</f>
        <v/>
      </c>
      <c r="D40" s="4"/>
      <c r="E40" s="4"/>
      <c r="F40" s="15" t="str">
        <f aca="false">IF(OR(D40="",D40=0,E40=""),"",E40/D40)</f>
        <v/>
      </c>
      <c r="G40" s="16"/>
      <c r="H40" s="12" t="str">
        <f aca="false">IF(OR(F40="",G40=""),"",IF(F40&gt;=G40,"Yes","No"))</f>
        <v/>
      </c>
      <c r="I40" s="4"/>
      <c r="J40" s="4"/>
      <c r="K40" s="4"/>
      <c r="L40" s="4"/>
    </row>
    <row r="41" customFormat="false" ht="15" hidden="false" customHeight="true" outlineLevel="0" collapsed="false">
      <c r="A41" s="4"/>
      <c r="B41" s="4"/>
      <c r="C41" s="12" t="str">
        <f aca="false">IF(B41="","",IFERROR(INDEX('Reference Data'!$C$3:$C$9,MATCH(B41,'Reference Data'!$A$3:$A$9,0)),""))</f>
        <v/>
      </c>
      <c r="D41" s="4"/>
      <c r="E41" s="4"/>
      <c r="F41" s="15" t="str">
        <f aca="false">IF(OR(D41="",D41=0,E41=""),"",E41/D41)</f>
        <v/>
      </c>
      <c r="G41" s="16"/>
      <c r="H41" s="12" t="str">
        <f aca="false">IF(OR(F41="",G41=""),"",IF(F41&gt;=G41,"Yes","No"))</f>
        <v/>
      </c>
      <c r="I41" s="4"/>
      <c r="J41" s="4"/>
      <c r="K41" s="4"/>
      <c r="L41" s="4"/>
    </row>
    <row r="42" customFormat="false" ht="15" hidden="false" customHeight="true" outlineLevel="0" collapsed="false">
      <c r="A42" s="4"/>
      <c r="B42" s="4"/>
      <c r="C42" s="12" t="str">
        <f aca="false">IF(B42="","",IFERROR(INDEX('Reference Data'!$C$3:$C$9,MATCH(B42,'Reference Data'!$A$3:$A$9,0)),""))</f>
        <v/>
      </c>
      <c r="D42" s="4"/>
      <c r="E42" s="4"/>
      <c r="F42" s="15" t="str">
        <f aca="false">IF(OR(D42="",D42=0,E42=""),"",E42/D42)</f>
        <v/>
      </c>
      <c r="G42" s="16"/>
      <c r="H42" s="12" t="str">
        <f aca="false">IF(OR(F42="",G42=""),"",IF(F42&gt;=G42,"Yes","No"))</f>
        <v/>
      </c>
      <c r="I42" s="4"/>
      <c r="J42" s="4"/>
      <c r="K42" s="4"/>
      <c r="L42" s="4"/>
    </row>
    <row r="43" customFormat="false" ht="15" hidden="false" customHeight="true" outlineLevel="0" collapsed="false">
      <c r="A43" s="4"/>
      <c r="B43" s="4"/>
      <c r="C43" s="12" t="str">
        <f aca="false">IF(B43="","",IFERROR(INDEX('Reference Data'!$C$3:$C$9,MATCH(B43,'Reference Data'!$A$3:$A$9,0)),""))</f>
        <v/>
      </c>
      <c r="D43" s="4"/>
      <c r="E43" s="4"/>
      <c r="F43" s="15" t="str">
        <f aca="false">IF(OR(D43="",D43=0,E43=""),"",E43/D43)</f>
        <v/>
      </c>
      <c r="G43" s="16"/>
      <c r="H43" s="12" t="str">
        <f aca="false">IF(OR(F43="",G43=""),"",IF(F43&gt;=G43,"Yes","No"))</f>
        <v/>
      </c>
      <c r="I43" s="4"/>
      <c r="J43" s="4"/>
      <c r="K43" s="4"/>
      <c r="L43" s="4"/>
    </row>
    <row r="44" customFormat="false" ht="15" hidden="false" customHeight="true" outlineLevel="0" collapsed="false">
      <c r="A44" s="4"/>
      <c r="B44" s="4"/>
      <c r="C44" s="12" t="str">
        <f aca="false">IF(B44="","",IFERROR(INDEX('Reference Data'!$C$3:$C$9,MATCH(B44,'Reference Data'!$A$3:$A$9,0)),""))</f>
        <v/>
      </c>
      <c r="D44" s="4"/>
      <c r="E44" s="4"/>
      <c r="F44" s="15" t="str">
        <f aca="false">IF(OR(D44="",D44=0,E44=""),"",E44/D44)</f>
        <v/>
      </c>
      <c r="G44" s="16"/>
      <c r="H44" s="12" t="str">
        <f aca="false">IF(OR(F44="",G44=""),"",IF(F44&gt;=G44,"Yes","No"))</f>
        <v/>
      </c>
      <c r="I44" s="4"/>
      <c r="J44" s="4"/>
      <c r="K44" s="4"/>
      <c r="L44" s="4"/>
    </row>
    <row r="45" customFormat="false" ht="15" hidden="false" customHeight="true" outlineLevel="0" collapsed="false">
      <c r="A45" s="4"/>
      <c r="B45" s="4"/>
      <c r="C45" s="12" t="str">
        <f aca="false">IF(B45="","",IFERROR(INDEX('Reference Data'!$C$3:$C$9,MATCH(B45,'Reference Data'!$A$3:$A$9,0)),""))</f>
        <v/>
      </c>
      <c r="D45" s="4"/>
      <c r="E45" s="4"/>
      <c r="F45" s="15" t="str">
        <f aca="false">IF(OR(D45="",D45=0,E45=""),"",E45/D45)</f>
        <v/>
      </c>
      <c r="G45" s="16"/>
      <c r="H45" s="12" t="str">
        <f aca="false">IF(OR(F45="",G45=""),"",IF(F45&gt;=G45,"Yes","No"))</f>
        <v/>
      </c>
      <c r="I45" s="4"/>
      <c r="J45" s="4"/>
      <c r="K45" s="4"/>
      <c r="L45" s="4"/>
    </row>
    <row r="46" customFormat="false" ht="15" hidden="false" customHeight="true" outlineLevel="0" collapsed="false">
      <c r="A46" s="4"/>
      <c r="B46" s="4"/>
      <c r="C46" s="12" t="str">
        <f aca="false">IF(B46="","",IFERROR(INDEX('Reference Data'!$C$3:$C$9,MATCH(B46,'Reference Data'!$A$3:$A$9,0)),""))</f>
        <v/>
      </c>
      <c r="D46" s="4"/>
      <c r="E46" s="4"/>
      <c r="F46" s="15" t="str">
        <f aca="false">IF(OR(D46="",D46=0,E46=""),"",E46/D46)</f>
        <v/>
      </c>
      <c r="G46" s="16"/>
      <c r="H46" s="12" t="str">
        <f aca="false">IF(OR(F46="",G46=""),"",IF(F46&gt;=G46,"Yes","No"))</f>
        <v/>
      </c>
      <c r="I46" s="4"/>
      <c r="J46" s="4"/>
      <c r="K46" s="4"/>
      <c r="L46" s="4"/>
    </row>
    <row r="47" customFormat="false" ht="15" hidden="false" customHeight="true" outlineLevel="0" collapsed="false">
      <c r="A47" s="4"/>
      <c r="B47" s="4"/>
      <c r="C47" s="12" t="str">
        <f aca="false">IF(B47="","",IFERROR(INDEX('Reference Data'!$C$3:$C$9,MATCH(B47,'Reference Data'!$A$3:$A$9,0)),""))</f>
        <v/>
      </c>
      <c r="D47" s="4"/>
      <c r="E47" s="4"/>
      <c r="F47" s="15" t="str">
        <f aca="false">IF(OR(D47="",D47=0,E47=""),"",E47/D47)</f>
        <v/>
      </c>
      <c r="G47" s="16"/>
      <c r="H47" s="12" t="str">
        <f aca="false">IF(OR(F47="",G47=""),"",IF(F47&gt;=G47,"Yes","No"))</f>
        <v/>
      </c>
      <c r="I47" s="4"/>
      <c r="J47" s="4"/>
      <c r="K47" s="4"/>
      <c r="L47" s="4"/>
    </row>
    <row r="48" customFormat="false" ht="15" hidden="false" customHeight="true" outlineLevel="0" collapsed="false">
      <c r="A48" s="4"/>
      <c r="B48" s="4"/>
      <c r="C48" s="12" t="str">
        <f aca="false">IF(B48="","",IFERROR(INDEX('Reference Data'!$C$3:$C$9,MATCH(B48,'Reference Data'!$A$3:$A$9,0)),""))</f>
        <v/>
      </c>
      <c r="D48" s="4"/>
      <c r="E48" s="4"/>
      <c r="F48" s="15" t="str">
        <f aca="false">IF(OR(D48="",D48=0,E48=""),"",E48/D48)</f>
        <v/>
      </c>
      <c r="G48" s="16"/>
      <c r="H48" s="12" t="str">
        <f aca="false">IF(OR(F48="",G48=""),"",IF(F48&gt;=G48,"Yes","No"))</f>
        <v/>
      </c>
      <c r="I48" s="4"/>
      <c r="J48" s="4"/>
      <c r="K48" s="4"/>
      <c r="L48" s="4"/>
    </row>
    <row r="49" customFormat="false" ht="15" hidden="false" customHeight="true" outlineLevel="0" collapsed="false">
      <c r="A49" s="4"/>
      <c r="B49" s="4"/>
      <c r="C49" s="12" t="str">
        <f aca="false">IF(B49="","",IFERROR(INDEX('Reference Data'!$C$3:$C$9,MATCH(B49,'Reference Data'!$A$3:$A$9,0)),""))</f>
        <v/>
      </c>
      <c r="D49" s="4"/>
      <c r="E49" s="4"/>
      <c r="F49" s="15" t="str">
        <f aca="false">IF(OR(D49="",D49=0,E49=""),"",E49/D49)</f>
        <v/>
      </c>
      <c r="G49" s="16"/>
      <c r="H49" s="12" t="str">
        <f aca="false">IF(OR(F49="",G49=""),"",IF(F49&gt;=G49,"Yes","No"))</f>
        <v/>
      </c>
      <c r="I49" s="4"/>
      <c r="J49" s="4"/>
      <c r="K49" s="4"/>
      <c r="L49" s="4"/>
    </row>
    <row r="50" customFormat="false" ht="15" hidden="false" customHeight="true" outlineLevel="0" collapsed="false">
      <c r="A50" s="4"/>
      <c r="B50" s="4"/>
      <c r="C50" s="12" t="str">
        <f aca="false">IF(B50="","",IFERROR(INDEX('Reference Data'!$C$3:$C$9,MATCH(B50,'Reference Data'!$A$3:$A$9,0)),""))</f>
        <v/>
      </c>
      <c r="D50" s="4"/>
      <c r="E50" s="4"/>
      <c r="F50" s="15" t="str">
        <f aca="false">IF(OR(D50="",D50=0,E50=""),"",E50/D50)</f>
        <v/>
      </c>
      <c r="G50" s="16"/>
      <c r="H50" s="12" t="str">
        <f aca="false">IF(OR(F50="",G50=""),"",IF(F50&gt;=G50,"Yes","No"))</f>
        <v/>
      </c>
      <c r="I50" s="4"/>
      <c r="J50" s="4"/>
      <c r="K50" s="4"/>
      <c r="L50" s="4"/>
    </row>
    <row r="51" customFormat="false" ht="15" hidden="false" customHeight="true" outlineLevel="0" collapsed="false">
      <c r="A51" s="4"/>
      <c r="B51" s="4"/>
      <c r="C51" s="12" t="str">
        <f aca="false">IF(B51="","",IFERROR(INDEX('Reference Data'!$C$3:$C$9,MATCH(B51,'Reference Data'!$A$3:$A$9,0)),""))</f>
        <v/>
      </c>
      <c r="D51" s="4"/>
      <c r="E51" s="4"/>
      <c r="F51" s="15" t="str">
        <f aca="false">IF(OR(D51="",D51=0,E51=""),"",E51/D51)</f>
        <v/>
      </c>
      <c r="G51" s="16"/>
      <c r="H51" s="12" t="str">
        <f aca="false">IF(OR(F51="",G51=""),"",IF(F51&gt;=G51,"Yes","No"))</f>
        <v/>
      </c>
      <c r="I51" s="4"/>
      <c r="J51" s="4"/>
      <c r="K51" s="4"/>
      <c r="L51" s="4"/>
    </row>
    <row r="52" customFormat="false" ht="15" hidden="false" customHeight="true" outlineLevel="0" collapsed="false">
      <c r="A52" s="4"/>
      <c r="B52" s="4"/>
      <c r="C52" s="12" t="str">
        <f aca="false">IF(B52="","",IFERROR(INDEX('Reference Data'!$C$3:$C$9,MATCH(B52,'Reference Data'!$A$3:$A$9,0)),""))</f>
        <v/>
      </c>
      <c r="D52" s="4"/>
      <c r="E52" s="4"/>
      <c r="F52" s="15" t="str">
        <f aca="false">IF(OR(D52="",D52=0,E52=""),"",E52/D52)</f>
        <v/>
      </c>
      <c r="G52" s="16"/>
      <c r="H52" s="12" t="str">
        <f aca="false">IF(OR(F52="",G52=""),"",IF(F52&gt;=G52,"Yes","No"))</f>
        <v/>
      </c>
      <c r="I52" s="4"/>
      <c r="J52" s="4"/>
      <c r="K52" s="4"/>
      <c r="L52" s="4"/>
    </row>
    <row r="53" customFormat="false" ht="15" hidden="false" customHeight="true" outlineLevel="0" collapsed="false">
      <c r="A53" s="4"/>
      <c r="B53" s="4"/>
      <c r="C53" s="12" t="str">
        <f aca="false">IF(B53="","",IFERROR(INDEX('Reference Data'!$C$3:$C$9,MATCH(B53,'Reference Data'!$A$3:$A$9,0)),""))</f>
        <v/>
      </c>
      <c r="D53" s="4"/>
      <c r="E53" s="4"/>
      <c r="F53" s="15" t="str">
        <f aca="false">IF(OR(D53="",D53=0,E53=""),"",E53/D53)</f>
        <v/>
      </c>
      <c r="G53" s="16"/>
      <c r="H53" s="12" t="str">
        <f aca="false">IF(OR(F53="",G53=""),"",IF(F53&gt;=G53,"Yes","No"))</f>
        <v/>
      </c>
      <c r="I53" s="4"/>
      <c r="J53" s="4"/>
      <c r="K53" s="4"/>
      <c r="L53" s="4"/>
    </row>
    <row r="54" customFormat="false" ht="15" hidden="false" customHeight="true" outlineLevel="0" collapsed="false">
      <c r="A54" s="4"/>
      <c r="B54" s="4"/>
      <c r="C54" s="12" t="str">
        <f aca="false">IF(B54="","",IFERROR(INDEX('Reference Data'!$C$3:$C$9,MATCH(B54,'Reference Data'!$A$3:$A$9,0)),""))</f>
        <v/>
      </c>
      <c r="D54" s="4"/>
      <c r="E54" s="4"/>
      <c r="F54" s="15" t="str">
        <f aca="false">IF(OR(D54="",D54=0,E54=""),"",E54/D54)</f>
        <v/>
      </c>
      <c r="G54" s="16"/>
      <c r="H54" s="12" t="str">
        <f aca="false">IF(OR(F54="",G54=""),"",IF(F54&gt;=G54,"Yes","No"))</f>
        <v/>
      </c>
      <c r="I54" s="4"/>
      <c r="J54" s="4"/>
      <c r="K54" s="4"/>
      <c r="L54" s="4"/>
    </row>
    <row r="55" customFormat="false" ht="15" hidden="false" customHeight="true" outlineLevel="0" collapsed="false">
      <c r="A55" s="4"/>
      <c r="B55" s="4"/>
      <c r="C55" s="12" t="str">
        <f aca="false">IF(B55="","",IFERROR(INDEX('Reference Data'!$C$3:$C$9,MATCH(B55,'Reference Data'!$A$3:$A$9,0)),""))</f>
        <v/>
      </c>
      <c r="D55" s="4"/>
      <c r="E55" s="4"/>
      <c r="F55" s="15" t="str">
        <f aca="false">IF(OR(D55="",D55=0,E55=""),"",E55/D55)</f>
        <v/>
      </c>
      <c r="G55" s="16"/>
      <c r="H55" s="12" t="str">
        <f aca="false">IF(OR(F55="",G55=""),"",IF(F55&gt;=G55,"Yes","No"))</f>
        <v/>
      </c>
      <c r="I55" s="4"/>
      <c r="J55" s="4"/>
      <c r="K55" s="4"/>
      <c r="L55" s="4"/>
    </row>
    <row r="56" customFormat="false" ht="15" hidden="false" customHeight="true" outlineLevel="0" collapsed="false">
      <c r="A56" s="4"/>
      <c r="B56" s="4"/>
      <c r="C56" s="12" t="str">
        <f aca="false">IF(B56="","",IFERROR(INDEX('Reference Data'!$C$3:$C$9,MATCH(B56,'Reference Data'!$A$3:$A$9,0)),""))</f>
        <v/>
      </c>
      <c r="D56" s="4"/>
      <c r="E56" s="4"/>
      <c r="F56" s="15" t="str">
        <f aca="false">IF(OR(D56="",D56=0,E56=""),"",E56/D56)</f>
        <v/>
      </c>
      <c r="G56" s="16"/>
      <c r="H56" s="12" t="str">
        <f aca="false">IF(OR(F56="",G56=""),"",IF(F56&gt;=G56,"Yes","No"))</f>
        <v/>
      </c>
      <c r="I56" s="4"/>
      <c r="J56" s="4"/>
      <c r="K56" s="4"/>
      <c r="L56" s="4"/>
    </row>
    <row r="57" customFormat="false" ht="15" hidden="false" customHeight="true" outlineLevel="0" collapsed="false">
      <c r="A57" s="4"/>
      <c r="B57" s="4"/>
      <c r="C57" s="12" t="str">
        <f aca="false">IF(B57="","",IFERROR(INDEX('Reference Data'!$C$3:$C$9,MATCH(B57,'Reference Data'!$A$3:$A$9,0)),""))</f>
        <v/>
      </c>
      <c r="D57" s="4"/>
      <c r="E57" s="4"/>
      <c r="F57" s="15" t="str">
        <f aca="false">IF(OR(D57="",D57=0,E57=""),"",E57/D57)</f>
        <v/>
      </c>
      <c r="G57" s="16"/>
      <c r="H57" s="12" t="str">
        <f aca="false">IF(OR(F57="",G57=""),"",IF(F57&gt;=G57,"Yes","No"))</f>
        <v/>
      </c>
      <c r="I57" s="4"/>
      <c r="J57" s="4"/>
      <c r="K57" s="4"/>
      <c r="L57" s="4"/>
    </row>
    <row r="58" customFormat="false" ht="15" hidden="false" customHeight="true" outlineLevel="0" collapsed="false">
      <c r="A58" s="4"/>
      <c r="B58" s="4"/>
      <c r="C58" s="12" t="str">
        <f aca="false">IF(B58="","",IFERROR(INDEX('Reference Data'!$C$3:$C$9,MATCH(B58,'Reference Data'!$A$3:$A$9,0)),""))</f>
        <v/>
      </c>
      <c r="D58" s="4"/>
      <c r="E58" s="4"/>
      <c r="F58" s="15" t="str">
        <f aca="false">IF(OR(D58="",D58=0,E58=""),"",E58/D58)</f>
        <v/>
      </c>
      <c r="G58" s="16"/>
      <c r="H58" s="12" t="str">
        <f aca="false">IF(OR(F58="",G58=""),"",IF(F58&gt;=G58,"Yes","No"))</f>
        <v/>
      </c>
      <c r="I58" s="4"/>
      <c r="J58" s="4"/>
      <c r="K58" s="4"/>
      <c r="L58" s="4"/>
    </row>
    <row r="59" customFormat="false" ht="15" hidden="false" customHeight="true" outlineLevel="0" collapsed="false">
      <c r="A59" s="4"/>
      <c r="B59" s="4"/>
      <c r="C59" s="12" t="str">
        <f aca="false">IF(B59="","",IFERROR(INDEX('Reference Data'!$C$3:$C$9,MATCH(B59,'Reference Data'!$A$3:$A$9,0)),""))</f>
        <v/>
      </c>
      <c r="D59" s="4"/>
      <c r="E59" s="4"/>
      <c r="F59" s="15" t="str">
        <f aca="false">IF(OR(D59="",D59=0,E59=""),"",E59/D59)</f>
        <v/>
      </c>
      <c r="G59" s="16"/>
      <c r="H59" s="12" t="str">
        <f aca="false">IF(OR(F59="",G59=""),"",IF(F59&gt;=G59,"Yes","No"))</f>
        <v/>
      </c>
      <c r="I59" s="4"/>
      <c r="J59" s="4"/>
      <c r="K59" s="4"/>
      <c r="L59" s="4"/>
    </row>
    <row r="60" customFormat="false" ht="15" hidden="false" customHeight="true" outlineLevel="0" collapsed="false">
      <c r="A60" s="4"/>
      <c r="B60" s="4"/>
      <c r="C60" s="12" t="str">
        <f aca="false">IF(B60="","",IFERROR(INDEX('Reference Data'!$C$3:$C$9,MATCH(B60,'Reference Data'!$A$3:$A$9,0)),""))</f>
        <v/>
      </c>
      <c r="D60" s="4"/>
      <c r="E60" s="4"/>
      <c r="F60" s="15" t="str">
        <f aca="false">IF(OR(D60="",D60=0,E60=""),"",E60/D60)</f>
        <v/>
      </c>
      <c r="G60" s="16"/>
      <c r="H60" s="12" t="str">
        <f aca="false">IF(OR(F60="",G60=""),"",IF(F60&gt;=G60,"Yes","No"))</f>
        <v/>
      </c>
      <c r="I60" s="4"/>
      <c r="J60" s="4"/>
      <c r="K60" s="4"/>
      <c r="L60" s="4"/>
    </row>
    <row r="61" customFormat="false" ht="15" hidden="false" customHeight="true" outlineLevel="0" collapsed="false">
      <c r="A61" s="4"/>
      <c r="B61" s="4"/>
      <c r="C61" s="12" t="str">
        <f aca="false">IF(B61="","",IFERROR(INDEX('Reference Data'!$C$3:$C$9,MATCH(B61,'Reference Data'!$A$3:$A$9,0)),""))</f>
        <v/>
      </c>
      <c r="D61" s="4"/>
      <c r="E61" s="4"/>
      <c r="F61" s="15" t="str">
        <f aca="false">IF(OR(D61="",D61=0,E61=""),"",E61/D61)</f>
        <v/>
      </c>
      <c r="G61" s="16"/>
      <c r="H61" s="12" t="str">
        <f aca="false">IF(OR(F61="",G61=""),"",IF(F61&gt;=G61,"Yes","No"))</f>
        <v/>
      </c>
      <c r="I61" s="4"/>
      <c r="J61" s="4"/>
      <c r="K61" s="4"/>
      <c r="L61" s="4"/>
    </row>
    <row r="62" customFormat="false" ht="15" hidden="false" customHeight="true" outlineLevel="0" collapsed="false">
      <c r="A62" s="4"/>
      <c r="B62" s="4"/>
      <c r="C62" s="12" t="str">
        <f aca="false">IF(B62="","",IFERROR(INDEX('Reference Data'!$C$3:$C$9,MATCH(B62,'Reference Data'!$A$3:$A$9,0)),""))</f>
        <v/>
      </c>
      <c r="D62" s="4"/>
      <c r="E62" s="4"/>
      <c r="F62" s="15" t="str">
        <f aca="false">IF(OR(D62="",D62=0,E62=""),"",E62/D62)</f>
        <v/>
      </c>
      <c r="G62" s="16"/>
      <c r="H62" s="12" t="str">
        <f aca="false">IF(OR(F62="",G62=""),"",IF(F62&gt;=G62,"Yes","No"))</f>
        <v/>
      </c>
      <c r="I62" s="4"/>
      <c r="J62" s="4"/>
      <c r="K62" s="4"/>
      <c r="L62" s="4"/>
    </row>
    <row r="63" customFormat="false" ht="15" hidden="false" customHeight="true" outlineLevel="0" collapsed="false">
      <c r="A63" s="4"/>
      <c r="B63" s="4"/>
      <c r="C63" s="12" t="str">
        <f aca="false">IF(B63="","",IFERROR(INDEX('Reference Data'!$C$3:$C$9,MATCH(B63,'Reference Data'!$A$3:$A$9,0)),""))</f>
        <v/>
      </c>
      <c r="D63" s="4"/>
      <c r="E63" s="4"/>
      <c r="F63" s="15" t="str">
        <f aca="false">IF(OR(D63="",D63=0,E63=""),"",E63/D63)</f>
        <v/>
      </c>
      <c r="G63" s="16"/>
      <c r="H63" s="12" t="str">
        <f aca="false">IF(OR(F63="",G63=""),"",IF(F63&gt;=G63,"Yes","No"))</f>
        <v/>
      </c>
      <c r="I63" s="4"/>
      <c r="J63" s="4"/>
      <c r="K63" s="4"/>
      <c r="L63" s="4"/>
    </row>
    <row r="64" customFormat="false" ht="15" hidden="false" customHeight="true" outlineLevel="0" collapsed="false">
      <c r="A64" s="4"/>
      <c r="B64" s="4"/>
      <c r="C64" s="12" t="str">
        <f aca="false">IF(B64="","",IFERROR(INDEX('Reference Data'!$C$3:$C$9,MATCH(B64,'Reference Data'!$A$3:$A$9,0)),""))</f>
        <v/>
      </c>
      <c r="D64" s="4"/>
      <c r="E64" s="4"/>
      <c r="F64" s="15" t="str">
        <f aca="false">IF(OR(D64="",D64=0,E64=""),"",E64/D64)</f>
        <v/>
      </c>
      <c r="G64" s="16"/>
      <c r="H64" s="12" t="str">
        <f aca="false">IF(OR(F64="",G64=""),"",IF(F64&gt;=G64,"Yes","No"))</f>
        <v/>
      </c>
      <c r="I64" s="4"/>
      <c r="J64" s="4"/>
      <c r="K64" s="4"/>
      <c r="L64" s="4"/>
    </row>
    <row r="65" customFormat="false" ht="15" hidden="false" customHeight="true" outlineLevel="0" collapsed="false">
      <c r="A65" s="4"/>
      <c r="B65" s="4"/>
      <c r="C65" s="12" t="str">
        <f aca="false">IF(B65="","",IFERROR(INDEX('Reference Data'!$C$3:$C$9,MATCH(B65,'Reference Data'!$A$3:$A$9,0)),""))</f>
        <v/>
      </c>
      <c r="D65" s="4"/>
      <c r="E65" s="4"/>
      <c r="F65" s="15" t="str">
        <f aca="false">IF(OR(D65="",D65=0,E65=""),"",E65/D65)</f>
        <v/>
      </c>
      <c r="G65" s="16"/>
      <c r="H65" s="12" t="str">
        <f aca="false">IF(OR(F65="",G65=""),"",IF(F65&gt;=G65,"Yes","No"))</f>
        <v/>
      </c>
      <c r="I65" s="4"/>
      <c r="J65" s="4"/>
      <c r="K65" s="4"/>
      <c r="L65" s="4"/>
    </row>
    <row r="66" customFormat="false" ht="15" hidden="false" customHeight="true" outlineLevel="0" collapsed="false">
      <c r="A66" s="4"/>
      <c r="B66" s="4"/>
      <c r="C66" s="12" t="str">
        <f aca="false">IF(B66="","",IFERROR(INDEX('Reference Data'!$C$3:$C$9,MATCH(B66,'Reference Data'!$A$3:$A$9,0)),""))</f>
        <v/>
      </c>
      <c r="D66" s="4"/>
      <c r="E66" s="4"/>
      <c r="F66" s="15" t="str">
        <f aca="false">IF(OR(D66="",D66=0,E66=""),"",E66/D66)</f>
        <v/>
      </c>
      <c r="G66" s="16"/>
      <c r="H66" s="12" t="str">
        <f aca="false">IF(OR(F66="",G66=""),"",IF(F66&gt;=G66,"Yes","No"))</f>
        <v/>
      </c>
      <c r="I66" s="4"/>
      <c r="J66" s="4"/>
      <c r="K66" s="4"/>
      <c r="L66" s="4"/>
    </row>
    <row r="67" customFormat="false" ht="15" hidden="false" customHeight="true" outlineLevel="0" collapsed="false">
      <c r="A67" s="4"/>
      <c r="B67" s="4"/>
      <c r="C67" s="12" t="str">
        <f aca="false">IF(B67="","",IFERROR(INDEX('Reference Data'!$C$3:$C$9,MATCH(B67,'Reference Data'!$A$3:$A$9,0)),""))</f>
        <v/>
      </c>
      <c r="D67" s="4"/>
      <c r="E67" s="4"/>
      <c r="F67" s="15" t="str">
        <f aca="false">IF(OR(D67="",D67=0,E67=""),"",E67/D67)</f>
        <v/>
      </c>
      <c r="G67" s="16"/>
      <c r="H67" s="12" t="str">
        <f aca="false">IF(OR(F67="",G67=""),"",IF(F67&gt;=G67,"Yes","No"))</f>
        <v/>
      </c>
      <c r="I67" s="4"/>
      <c r="J67" s="4"/>
      <c r="K67" s="4"/>
      <c r="L67" s="4"/>
    </row>
    <row r="68" customFormat="false" ht="15" hidden="false" customHeight="true" outlineLevel="0" collapsed="false">
      <c r="A68" s="4"/>
      <c r="B68" s="4"/>
      <c r="C68" s="12" t="str">
        <f aca="false">IF(B68="","",IFERROR(INDEX('Reference Data'!$C$3:$C$9,MATCH(B68,'Reference Data'!$A$3:$A$9,0)),""))</f>
        <v/>
      </c>
      <c r="D68" s="4"/>
      <c r="E68" s="4"/>
      <c r="F68" s="15" t="str">
        <f aca="false">IF(OR(D68="",D68=0,E68=""),"",E68/D68)</f>
        <v/>
      </c>
      <c r="G68" s="16"/>
      <c r="H68" s="12" t="str">
        <f aca="false">IF(OR(F68="",G68=""),"",IF(F68&gt;=G68,"Yes","No"))</f>
        <v/>
      </c>
      <c r="I68" s="4"/>
      <c r="J68" s="4"/>
      <c r="K68" s="4"/>
      <c r="L68" s="4"/>
    </row>
    <row r="69" customFormat="false" ht="15" hidden="false" customHeight="true" outlineLevel="0" collapsed="false">
      <c r="A69" s="4"/>
      <c r="B69" s="4"/>
      <c r="C69" s="12" t="str">
        <f aca="false">IF(B69="","",IFERROR(INDEX('Reference Data'!$C$3:$C$9,MATCH(B69,'Reference Data'!$A$3:$A$9,0)),""))</f>
        <v/>
      </c>
      <c r="D69" s="4"/>
      <c r="E69" s="4"/>
      <c r="F69" s="15" t="str">
        <f aca="false">IF(OR(D69="",D69=0,E69=""),"",E69/D69)</f>
        <v/>
      </c>
      <c r="G69" s="16"/>
      <c r="H69" s="12" t="str">
        <f aca="false">IF(OR(F69="",G69=""),"",IF(F69&gt;=G69,"Yes","No"))</f>
        <v/>
      </c>
      <c r="I69" s="4"/>
      <c r="J69" s="4"/>
      <c r="K69" s="4"/>
      <c r="L69" s="4"/>
    </row>
    <row r="70" customFormat="false" ht="15" hidden="false" customHeight="true" outlineLevel="0" collapsed="false">
      <c r="A70" s="4"/>
      <c r="B70" s="4"/>
      <c r="C70" s="12" t="str">
        <f aca="false">IF(B70="","",IFERROR(INDEX('Reference Data'!$C$3:$C$9,MATCH(B70,'Reference Data'!$A$3:$A$9,0)),""))</f>
        <v/>
      </c>
      <c r="D70" s="4"/>
      <c r="E70" s="4"/>
      <c r="F70" s="15" t="str">
        <f aca="false">IF(OR(D70="",D70=0,E70=""),"",E70/D70)</f>
        <v/>
      </c>
      <c r="G70" s="16"/>
      <c r="H70" s="12" t="str">
        <f aca="false">IF(OR(F70="",G70=""),"",IF(F70&gt;=G70,"Yes","No"))</f>
        <v/>
      </c>
      <c r="I70" s="4"/>
      <c r="J70" s="4"/>
      <c r="K70" s="4"/>
      <c r="L70" s="4"/>
    </row>
    <row r="71" customFormat="false" ht="15" hidden="false" customHeight="true" outlineLevel="0" collapsed="false">
      <c r="A71" s="4"/>
      <c r="B71" s="4"/>
      <c r="C71" s="12" t="str">
        <f aca="false">IF(B71="","",IFERROR(INDEX('Reference Data'!$C$3:$C$9,MATCH(B71,'Reference Data'!$A$3:$A$9,0)),""))</f>
        <v/>
      </c>
      <c r="D71" s="4"/>
      <c r="E71" s="4"/>
      <c r="F71" s="15" t="str">
        <f aca="false">IF(OR(D71="",D71=0,E71=""),"",E71/D71)</f>
        <v/>
      </c>
      <c r="G71" s="16"/>
      <c r="H71" s="12" t="str">
        <f aca="false">IF(OR(F71="",G71=""),"",IF(F71&gt;=G71,"Yes","No"))</f>
        <v/>
      </c>
      <c r="I71" s="4"/>
      <c r="J71" s="4"/>
      <c r="K71" s="4"/>
      <c r="L71" s="4"/>
    </row>
    <row r="72" customFormat="false" ht="15" hidden="false" customHeight="true" outlineLevel="0" collapsed="false">
      <c r="A72" s="4"/>
      <c r="B72" s="4"/>
      <c r="C72" s="12" t="str">
        <f aca="false">IF(B72="","",IFERROR(INDEX('Reference Data'!$C$3:$C$9,MATCH(B72,'Reference Data'!$A$3:$A$9,0)),""))</f>
        <v/>
      </c>
      <c r="D72" s="4"/>
      <c r="E72" s="4"/>
      <c r="F72" s="15" t="str">
        <f aca="false">IF(OR(D72="",D72=0,E72=""),"",E72/D72)</f>
        <v/>
      </c>
      <c r="G72" s="16"/>
      <c r="H72" s="12" t="str">
        <f aca="false">IF(OR(F72="",G72=""),"",IF(F72&gt;=G72,"Yes","No"))</f>
        <v/>
      </c>
      <c r="I72" s="4"/>
      <c r="J72" s="4"/>
      <c r="K72" s="4"/>
      <c r="L72" s="4"/>
    </row>
    <row r="73" customFormat="false" ht="15" hidden="false" customHeight="true" outlineLevel="0" collapsed="false">
      <c r="A73" s="4"/>
      <c r="B73" s="4"/>
      <c r="C73" s="12" t="str">
        <f aca="false">IF(B73="","",IFERROR(INDEX('Reference Data'!$C$3:$C$9,MATCH(B73,'Reference Data'!$A$3:$A$9,0)),""))</f>
        <v/>
      </c>
      <c r="D73" s="4"/>
      <c r="E73" s="4"/>
      <c r="F73" s="15" t="str">
        <f aca="false">IF(OR(D73="",D73=0,E73=""),"",E73/D73)</f>
        <v/>
      </c>
      <c r="G73" s="16"/>
      <c r="H73" s="12" t="str">
        <f aca="false">IF(OR(F73="",G73=""),"",IF(F73&gt;=G73,"Yes","No"))</f>
        <v/>
      </c>
      <c r="I73" s="4"/>
      <c r="J73" s="4"/>
      <c r="K73" s="4"/>
      <c r="L73" s="4"/>
    </row>
    <row r="74" customFormat="false" ht="15" hidden="false" customHeight="true" outlineLevel="0" collapsed="false">
      <c r="A74" s="4"/>
      <c r="B74" s="4"/>
      <c r="C74" s="12" t="str">
        <f aca="false">IF(B74="","",IFERROR(INDEX('Reference Data'!$C$3:$C$9,MATCH(B74,'Reference Data'!$A$3:$A$9,0)),""))</f>
        <v/>
      </c>
      <c r="D74" s="4"/>
      <c r="E74" s="4"/>
      <c r="F74" s="15" t="str">
        <f aca="false">IF(OR(D74="",D74=0,E74=""),"",E74/D74)</f>
        <v/>
      </c>
      <c r="G74" s="16"/>
      <c r="H74" s="12" t="str">
        <f aca="false">IF(OR(F74="",G74=""),"",IF(F74&gt;=G74,"Yes","No"))</f>
        <v/>
      </c>
      <c r="I74" s="4"/>
      <c r="J74" s="4"/>
      <c r="K74" s="4"/>
      <c r="L74" s="4"/>
    </row>
    <row r="75" customFormat="false" ht="15" hidden="false" customHeight="true" outlineLevel="0" collapsed="false">
      <c r="A75" s="4"/>
      <c r="B75" s="4"/>
      <c r="C75" s="12" t="str">
        <f aca="false">IF(B75="","",IFERROR(INDEX('Reference Data'!$C$3:$C$9,MATCH(B75,'Reference Data'!$A$3:$A$9,0)),""))</f>
        <v/>
      </c>
      <c r="D75" s="4"/>
      <c r="E75" s="4"/>
      <c r="F75" s="15" t="str">
        <f aca="false">IF(OR(D75="",D75=0,E75=""),"",E75/D75)</f>
        <v/>
      </c>
      <c r="G75" s="16"/>
      <c r="H75" s="12" t="str">
        <f aca="false">IF(OR(F75="",G75=""),"",IF(F75&gt;=G75,"Yes","No"))</f>
        <v/>
      </c>
      <c r="I75" s="4"/>
      <c r="J75" s="4"/>
      <c r="K75" s="4"/>
      <c r="L75" s="4"/>
    </row>
    <row r="76" customFormat="false" ht="15" hidden="false" customHeight="true" outlineLevel="0" collapsed="false">
      <c r="A76" s="4"/>
      <c r="B76" s="4"/>
      <c r="C76" s="12" t="str">
        <f aca="false">IF(B76="","",IFERROR(INDEX('Reference Data'!$C$3:$C$9,MATCH(B76,'Reference Data'!$A$3:$A$9,0)),""))</f>
        <v/>
      </c>
      <c r="D76" s="4"/>
      <c r="E76" s="4"/>
      <c r="F76" s="15" t="str">
        <f aca="false">IF(OR(D76="",D76=0,E76=""),"",E76/D76)</f>
        <v/>
      </c>
      <c r="G76" s="16"/>
      <c r="H76" s="12" t="str">
        <f aca="false">IF(OR(F76="",G76=""),"",IF(F76&gt;=G76,"Yes","No"))</f>
        <v/>
      </c>
      <c r="I76" s="4"/>
      <c r="J76" s="4"/>
      <c r="K76" s="4"/>
      <c r="L76" s="4"/>
    </row>
    <row r="77" customFormat="false" ht="15" hidden="false" customHeight="true" outlineLevel="0" collapsed="false">
      <c r="A77" s="4"/>
      <c r="B77" s="4"/>
      <c r="C77" s="12" t="str">
        <f aca="false">IF(B77="","",IFERROR(INDEX('Reference Data'!$C$3:$C$9,MATCH(B77,'Reference Data'!$A$3:$A$9,0)),""))</f>
        <v/>
      </c>
      <c r="D77" s="4"/>
      <c r="E77" s="4"/>
      <c r="F77" s="15" t="str">
        <f aca="false">IF(OR(D77="",D77=0,E77=""),"",E77/D77)</f>
        <v/>
      </c>
      <c r="G77" s="16"/>
      <c r="H77" s="12" t="str">
        <f aca="false">IF(OR(F77="",G77=""),"",IF(F77&gt;=G77,"Yes","No"))</f>
        <v/>
      </c>
      <c r="I77" s="4"/>
      <c r="J77" s="4"/>
      <c r="K77" s="4"/>
      <c r="L77" s="4"/>
    </row>
    <row r="78" customFormat="false" ht="15" hidden="false" customHeight="true" outlineLevel="0" collapsed="false">
      <c r="A78" s="4"/>
      <c r="B78" s="4"/>
      <c r="C78" s="12" t="str">
        <f aca="false">IF(B78="","",IFERROR(INDEX('Reference Data'!$C$3:$C$9,MATCH(B78,'Reference Data'!$A$3:$A$9,0)),""))</f>
        <v/>
      </c>
      <c r="D78" s="4"/>
      <c r="E78" s="4"/>
      <c r="F78" s="15" t="str">
        <f aca="false">IF(OR(D78="",D78=0,E78=""),"",E78/D78)</f>
        <v/>
      </c>
      <c r="G78" s="16"/>
      <c r="H78" s="12" t="str">
        <f aca="false">IF(OR(F78="",G78=""),"",IF(F78&gt;=G78,"Yes","No"))</f>
        <v/>
      </c>
      <c r="I78" s="4"/>
      <c r="J78" s="4"/>
      <c r="K78" s="4"/>
      <c r="L78" s="4"/>
    </row>
    <row r="79" customFormat="false" ht="15" hidden="false" customHeight="true" outlineLevel="0" collapsed="false">
      <c r="A79" s="4"/>
      <c r="B79" s="4"/>
      <c r="C79" s="12" t="str">
        <f aca="false">IF(B79="","",IFERROR(INDEX('Reference Data'!$C$3:$C$9,MATCH(B79,'Reference Data'!$A$3:$A$9,0)),""))</f>
        <v/>
      </c>
      <c r="D79" s="4"/>
      <c r="E79" s="4"/>
      <c r="F79" s="15" t="str">
        <f aca="false">IF(OR(D79="",D79=0,E79=""),"",E79/D79)</f>
        <v/>
      </c>
      <c r="G79" s="16"/>
      <c r="H79" s="12" t="str">
        <f aca="false">IF(OR(F79="",G79=""),"",IF(F79&gt;=G79,"Yes","No"))</f>
        <v/>
      </c>
      <c r="I79" s="4"/>
      <c r="J79" s="4"/>
      <c r="K79" s="4"/>
      <c r="L79" s="4"/>
    </row>
    <row r="80" customFormat="false" ht="15" hidden="false" customHeight="true" outlineLevel="0" collapsed="false">
      <c r="A80" s="4"/>
      <c r="B80" s="4"/>
      <c r="C80" s="12" t="str">
        <f aca="false">IF(B80="","",IFERROR(INDEX('Reference Data'!$C$3:$C$9,MATCH(B80,'Reference Data'!$A$3:$A$9,0)),""))</f>
        <v/>
      </c>
      <c r="D80" s="4"/>
      <c r="E80" s="4"/>
      <c r="F80" s="15" t="str">
        <f aca="false">IF(OR(D80="",D80=0,E80=""),"",E80/D80)</f>
        <v/>
      </c>
      <c r="G80" s="16"/>
      <c r="H80" s="12" t="str">
        <f aca="false">IF(OR(F80="",G80=""),"",IF(F80&gt;=G80,"Yes","No"))</f>
        <v/>
      </c>
      <c r="I80" s="4"/>
      <c r="J80" s="4"/>
      <c r="K80" s="4"/>
      <c r="L80" s="4"/>
    </row>
    <row r="81" customFormat="false" ht="15" hidden="false" customHeight="true" outlineLevel="0" collapsed="false">
      <c r="A81" s="4"/>
      <c r="B81" s="4"/>
      <c r="C81" s="12" t="str">
        <f aca="false">IF(B81="","",IFERROR(INDEX('Reference Data'!$C$3:$C$9,MATCH(B81,'Reference Data'!$A$3:$A$9,0)),""))</f>
        <v/>
      </c>
      <c r="D81" s="4"/>
      <c r="E81" s="4"/>
      <c r="F81" s="15" t="str">
        <f aca="false">IF(OR(D81="",D81=0,E81=""),"",E81/D81)</f>
        <v/>
      </c>
      <c r="G81" s="16"/>
      <c r="H81" s="12" t="str">
        <f aca="false">IF(OR(F81="",G81=""),"",IF(F81&gt;=G81,"Yes","No"))</f>
        <v/>
      </c>
      <c r="I81" s="4"/>
      <c r="J81" s="4"/>
      <c r="K81" s="4"/>
      <c r="L81" s="4"/>
    </row>
    <row r="82" customFormat="false" ht="15" hidden="false" customHeight="true" outlineLevel="0" collapsed="false">
      <c r="A82" s="4"/>
      <c r="B82" s="4"/>
      <c r="C82" s="12" t="str">
        <f aca="false">IF(B82="","",IFERROR(INDEX('Reference Data'!$C$3:$C$9,MATCH(B82,'Reference Data'!$A$3:$A$9,0)),""))</f>
        <v/>
      </c>
      <c r="D82" s="4"/>
      <c r="E82" s="4"/>
      <c r="F82" s="15" t="str">
        <f aca="false">IF(OR(D82="",D82=0,E82=""),"",E82/D82)</f>
        <v/>
      </c>
      <c r="G82" s="16"/>
      <c r="H82" s="12" t="str">
        <f aca="false">IF(OR(F82="",G82=""),"",IF(F82&gt;=G82,"Yes","No"))</f>
        <v/>
      </c>
      <c r="I82" s="4"/>
      <c r="J82" s="4"/>
      <c r="K82" s="4"/>
      <c r="L82" s="4"/>
    </row>
    <row r="83" customFormat="false" ht="15" hidden="false" customHeight="true" outlineLevel="0" collapsed="false">
      <c r="A83" s="4"/>
      <c r="B83" s="4"/>
      <c r="C83" s="12" t="str">
        <f aca="false">IF(B83="","",IFERROR(INDEX('Reference Data'!$C$3:$C$9,MATCH(B83,'Reference Data'!$A$3:$A$9,0)),""))</f>
        <v/>
      </c>
      <c r="D83" s="4"/>
      <c r="E83" s="4"/>
      <c r="F83" s="15" t="str">
        <f aca="false">IF(OR(D83="",D83=0,E83=""),"",E83/D83)</f>
        <v/>
      </c>
      <c r="G83" s="16"/>
      <c r="H83" s="12" t="str">
        <f aca="false">IF(OR(F83="",G83=""),"",IF(F83&gt;=G83,"Yes","No"))</f>
        <v/>
      </c>
      <c r="I83" s="4"/>
      <c r="J83" s="4"/>
      <c r="K83" s="4"/>
      <c r="L83" s="4"/>
    </row>
    <row r="84" customFormat="false" ht="15" hidden="false" customHeight="true" outlineLevel="0" collapsed="false">
      <c r="A84" s="4"/>
      <c r="B84" s="4"/>
      <c r="C84" s="12" t="str">
        <f aca="false">IF(B84="","",IFERROR(INDEX('Reference Data'!$C$3:$C$9,MATCH(B84,'Reference Data'!$A$3:$A$9,0)),""))</f>
        <v/>
      </c>
      <c r="D84" s="4"/>
      <c r="E84" s="4"/>
      <c r="F84" s="15" t="str">
        <f aca="false">IF(OR(D84="",D84=0,E84=""),"",E84/D84)</f>
        <v/>
      </c>
      <c r="G84" s="16"/>
      <c r="H84" s="12" t="str">
        <f aca="false">IF(OR(F84="",G84=""),"",IF(F84&gt;=G84,"Yes","No"))</f>
        <v/>
      </c>
      <c r="I84" s="4"/>
      <c r="J84" s="4"/>
      <c r="K84" s="4"/>
      <c r="L84" s="4"/>
    </row>
    <row r="85" customFormat="false" ht="15" hidden="false" customHeight="true" outlineLevel="0" collapsed="false">
      <c r="A85" s="4"/>
      <c r="B85" s="4"/>
      <c r="C85" s="12" t="str">
        <f aca="false">IF(B85="","",IFERROR(INDEX('Reference Data'!$C$3:$C$9,MATCH(B85,'Reference Data'!$A$3:$A$9,0)),""))</f>
        <v/>
      </c>
      <c r="D85" s="4"/>
      <c r="E85" s="4"/>
      <c r="F85" s="15" t="str">
        <f aca="false">IF(OR(D85="",D85=0,E85=""),"",E85/D85)</f>
        <v/>
      </c>
      <c r="G85" s="16"/>
      <c r="H85" s="12" t="str">
        <f aca="false">IF(OR(F85="",G85=""),"",IF(F85&gt;=G85,"Yes","No"))</f>
        <v/>
      </c>
      <c r="I85" s="4"/>
      <c r="J85" s="4"/>
      <c r="K85" s="4"/>
      <c r="L85" s="4"/>
    </row>
    <row r="86" customFormat="false" ht="15" hidden="false" customHeight="true" outlineLevel="0" collapsed="false">
      <c r="A86" s="4"/>
      <c r="B86" s="4"/>
      <c r="C86" s="12" t="str">
        <f aca="false">IF(B86="","",IFERROR(INDEX('Reference Data'!$C$3:$C$9,MATCH(B86,'Reference Data'!$A$3:$A$9,0)),""))</f>
        <v/>
      </c>
      <c r="D86" s="4"/>
      <c r="E86" s="4"/>
      <c r="F86" s="15" t="str">
        <f aca="false">IF(OR(D86="",D86=0,E86=""),"",E86/D86)</f>
        <v/>
      </c>
      <c r="G86" s="16"/>
      <c r="H86" s="12" t="str">
        <f aca="false">IF(OR(F86="",G86=""),"",IF(F86&gt;=G86,"Yes","No"))</f>
        <v/>
      </c>
      <c r="I86" s="4"/>
      <c r="J86" s="4"/>
      <c r="K86" s="4"/>
      <c r="L86" s="4"/>
    </row>
    <row r="87" customFormat="false" ht="15" hidden="false" customHeight="true" outlineLevel="0" collapsed="false">
      <c r="A87" s="4"/>
      <c r="B87" s="4"/>
      <c r="C87" s="12" t="str">
        <f aca="false">IF(B87="","",IFERROR(INDEX('Reference Data'!$C$3:$C$9,MATCH(B87,'Reference Data'!$A$3:$A$9,0)),""))</f>
        <v/>
      </c>
      <c r="D87" s="4"/>
      <c r="E87" s="4"/>
      <c r="F87" s="15" t="str">
        <f aca="false">IF(OR(D87="",D87=0,E87=""),"",E87/D87)</f>
        <v/>
      </c>
      <c r="G87" s="16"/>
      <c r="H87" s="12" t="str">
        <f aca="false">IF(OR(F87="",G87=""),"",IF(F87&gt;=G87,"Yes","No"))</f>
        <v/>
      </c>
      <c r="I87" s="4"/>
      <c r="J87" s="4"/>
      <c r="K87" s="4"/>
      <c r="L87" s="4"/>
    </row>
    <row r="88" customFormat="false" ht="15" hidden="false" customHeight="true" outlineLevel="0" collapsed="false">
      <c r="A88" s="4"/>
      <c r="B88" s="4"/>
      <c r="C88" s="12" t="str">
        <f aca="false">IF(B88="","",IFERROR(INDEX('Reference Data'!$C$3:$C$9,MATCH(B88,'Reference Data'!$A$3:$A$9,0)),""))</f>
        <v/>
      </c>
      <c r="D88" s="4"/>
      <c r="E88" s="4"/>
      <c r="F88" s="15" t="str">
        <f aca="false">IF(OR(D88="",D88=0,E88=""),"",E88/D88)</f>
        <v/>
      </c>
      <c r="G88" s="16"/>
      <c r="H88" s="12" t="str">
        <f aca="false">IF(OR(F88="",G88=""),"",IF(F88&gt;=G88,"Yes","No"))</f>
        <v/>
      </c>
      <c r="I88" s="4"/>
      <c r="J88" s="4"/>
      <c r="K88" s="4"/>
      <c r="L88" s="4"/>
    </row>
    <row r="89" customFormat="false" ht="15" hidden="false" customHeight="true" outlineLevel="0" collapsed="false">
      <c r="A89" s="4"/>
      <c r="B89" s="4"/>
      <c r="C89" s="12" t="str">
        <f aca="false">IF(B89="","",IFERROR(INDEX('Reference Data'!$C$3:$C$9,MATCH(B89,'Reference Data'!$A$3:$A$9,0)),""))</f>
        <v/>
      </c>
      <c r="D89" s="4"/>
      <c r="E89" s="4"/>
      <c r="F89" s="15" t="str">
        <f aca="false">IF(OR(D89="",D89=0,E89=""),"",E89/D89)</f>
        <v/>
      </c>
      <c r="G89" s="16"/>
      <c r="H89" s="12" t="str">
        <f aca="false">IF(OR(F89="",G89=""),"",IF(F89&gt;=G89,"Yes","No"))</f>
        <v/>
      </c>
      <c r="I89" s="4"/>
      <c r="J89" s="4"/>
      <c r="K89" s="4"/>
      <c r="L89" s="4"/>
    </row>
    <row r="90" customFormat="false" ht="15" hidden="false" customHeight="true" outlineLevel="0" collapsed="false">
      <c r="A90" s="4"/>
      <c r="B90" s="4"/>
      <c r="C90" s="12" t="str">
        <f aca="false">IF(B90="","",IFERROR(INDEX('Reference Data'!$C$3:$C$9,MATCH(B90,'Reference Data'!$A$3:$A$9,0)),""))</f>
        <v/>
      </c>
      <c r="D90" s="4"/>
      <c r="E90" s="4"/>
      <c r="F90" s="15" t="str">
        <f aca="false">IF(OR(D90="",D90=0,E90=""),"",E90/D90)</f>
        <v/>
      </c>
      <c r="G90" s="16"/>
      <c r="H90" s="12" t="str">
        <f aca="false">IF(OR(F90="",G90=""),"",IF(F90&gt;=G90,"Yes","No"))</f>
        <v/>
      </c>
      <c r="I90" s="4"/>
      <c r="J90" s="4"/>
      <c r="K90" s="4"/>
      <c r="L90" s="4"/>
    </row>
    <row r="91" customFormat="false" ht="15" hidden="false" customHeight="true" outlineLevel="0" collapsed="false">
      <c r="A91" s="4"/>
      <c r="B91" s="4"/>
      <c r="C91" s="12" t="str">
        <f aca="false">IF(B91="","",IFERROR(INDEX('Reference Data'!$C$3:$C$9,MATCH(B91,'Reference Data'!$A$3:$A$9,0)),""))</f>
        <v/>
      </c>
      <c r="D91" s="4"/>
      <c r="E91" s="4"/>
      <c r="F91" s="15" t="str">
        <f aca="false">IF(OR(D91="",D91=0,E91=""),"",E91/D91)</f>
        <v/>
      </c>
      <c r="G91" s="16"/>
      <c r="H91" s="12" t="str">
        <f aca="false">IF(OR(F91="",G91=""),"",IF(F91&gt;=G91,"Yes","No"))</f>
        <v/>
      </c>
      <c r="I91" s="4"/>
      <c r="J91" s="4"/>
      <c r="K91" s="4"/>
      <c r="L91" s="4"/>
    </row>
    <row r="92" customFormat="false" ht="15" hidden="false" customHeight="true" outlineLevel="0" collapsed="false">
      <c r="A92" s="4"/>
      <c r="B92" s="4"/>
      <c r="C92" s="12" t="str">
        <f aca="false">IF(B92="","",IFERROR(INDEX('Reference Data'!$C$3:$C$9,MATCH(B92,'Reference Data'!$A$3:$A$9,0)),""))</f>
        <v/>
      </c>
      <c r="D92" s="4"/>
      <c r="E92" s="4"/>
      <c r="F92" s="15" t="str">
        <f aca="false">IF(OR(D92="",D92=0,E92=""),"",E92/D92)</f>
        <v/>
      </c>
      <c r="G92" s="16"/>
      <c r="H92" s="12" t="str">
        <f aca="false">IF(OR(F92="",G92=""),"",IF(F92&gt;=G92,"Yes","No"))</f>
        <v/>
      </c>
      <c r="I92" s="4"/>
      <c r="J92" s="4"/>
      <c r="K92" s="4"/>
      <c r="L92" s="4"/>
    </row>
    <row r="93" customFormat="false" ht="15" hidden="false" customHeight="true" outlineLevel="0" collapsed="false">
      <c r="A93" s="4"/>
      <c r="B93" s="4"/>
      <c r="C93" s="12" t="str">
        <f aca="false">IF(B93="","",IFERROR(INDEX('Reference Data'!$C$3:$C$9,MATCH(B93,'Reference Data'!$A$3:$A$9,0)),""))</f>
        <v/>
      </c>
      <c r="D93" s="4"/>
      <c r="E93" s="4"/>
      <c r="F93" s="15" t="str">
        <f aca="false">IF(OR(D93="",D93=0,E93=""),"",E93/D93)</f>
        <v/>
      </c>
      <c r="G93" s="16"/>
      <c r="H93" s="12" t="str">
        <f aca="false">IF(OR(F93="",G93=""),"",IF(F93&gt;=G93,"Yes","No"))</f>
        <v/>
      </c>
      <c r="I93" s="4"/>
      <c r="J93" s="4"/>
      <c r="K93" s="4"/>
      <c r="L93" s="4"/>
    </row>
    <row r="94" customFormat="false" ht="15" hidden="false" customHeight="true" outlineLevel="0" collapsed="false">
      <c r="A94" s="4"/>
      <c r="B94" s="4"/>
      <c r="C94" s="12" t="str">
        <f aca="false">IF(B94="","",IFERROR(INDEX('Reference Data'!$C$3:$C$9,MATCH(B94,'Reference Data'!$A$3:$A$9,0)),""))</f>
        <v/>
      </c>
      <c r="D94" s="4"/>
      <c r="E94" s="4"/>
      <c r="F94" s="15" t="str">
        <f aca="false">IF(OR(D94="",D94=0,E94=""),"",E94/D94)</f>
        <v/>
      </c>
      <c r="G94" s="16"/>
      <c r="H94" s="12" t="str">
        <f aca="false">IF(OR(F94="",G94=""),"",IF(F94&gt;=G94,"Yes","No"))</f>
        <v/>
      </c>
      <c r="I94" s="4"/>
      <c r="J94" s="4"/>
      <c r="K94" s="4"/>
      <c r="L94" s="4"/>
    </row>
    <row r="95" customFormat="false" ht="15" hidden="false" customHeight="true" outlineLevel="0" collapsed="false">
      <c r="A95" s="4"/>
      <c r="B95" s="4"/>
      <c r="C95" s="12" t="str">
        <f aca="false">IF(B95="","",IFERROR(INDEX('Reference Data'!$C$3:$C$9,MATCH(B95,'Reference Data'!$A$3:$A$9,0)),""))</f>
        <v/>
      </c>
      <c r="D95" s="4"/>
      <c r="E95" s="4"/>
      <c r="F95" s="15" t="str">
        <f aca="false">IF(OR(D95="",D95=0,E95=""),"",E95/D95)</f>
        <v/>
      </c>
      <c r="G95" s="16"/>
      <c r="H95" s="12" t="str">
        <f aca="false">IF(OR(F95="",G95=""),"",IF(F95&gt;=G95,"Yes","No"))</f>
        <v/>
      </c>
      <c r="I95" s="4"/>
      <c r="J95" s="4"/>
      <c r="K95" s="4"/>
      <c r="L95" s="4"/>
    </row>
    <row r="96" customFormat="false" ht="15" hidden="false" customHeight="true" outlineLevel="0" collapsed="false">
      <c r="A96" s="4"/>
      <c r="B96" s="4"/>
      <c r="C96" s="12" t="str">
        <f aca="false">IF(B96="","",IFERROR(INDEX('Reference Data'!$C$3:$C$9,MATCH(B96,'Reference Data'!$A$3:$A$9,0)),""))</f>
        <v/>
      </c>
      <c r="D96" s="4"/>
      <c r="E96" s="4"/>
      <c r="F96" s="15" t="str">
        <f aca="false">IF(OR(D96="",D96=0,E96=""),"",E96/D96)</f>
        <v/>
      </c>
      <c r="G96" s="16"/>
      <c r="H96" s="12" t="str">
        <f aca="false">IF(OR(F96="",G96=""),"",IF(F96&gt;=G96,"Yes","No"))</f>
        <v/>
      </c>
      <c r="I96" s="4"/>
      <c r="J96" s="4"/>
      <c r="K96" s="4"/>
      <c r="L96" s="4"/>
    </row>
    <row r="97" customFormat="false" ht="15" hidden="false" customHeight="true" outlineLevel="0" collapsed="false">
      <c r="A97" s="4"/>
      <c r="B97" s="4"/>
      <c r="C97" s="12" t="str">
        <f aca="false">IF(B97="","",IFERROR(INDEX('Reference Data'!$C$3:$C$9,MATCH(B97,'Reference Data'!$A$3:$A$9,0)),""))</f>
        <v/>
      </c>
      <c r="D97" s="4"/>
      <c r="E97" s="4"/>
      <c r="F97" s="15" t="str">
        <f aca="false">IF(OR(D97="",D97=0,E97=""),"",E97/D97)</f>
        <v/>
      </c>
      <c r="G97" s="16"/>
      <c r="H97" s="12" t="str">
        <f aca="false">IF(OR(F97="",G97=""),"",IF(F97&gt;=G97,"Yes","No"))</f>
        <v/>
      </c>
      <c r="I97" s="4"/>
      <c r="J97" s="4"/>
      <c r="K97" s="4"/>
      <c r="L97" s="4"/>
    </row>
    <row r="98" customFormat="false" ht="15" hidden="false" customHeight="true" outlineLevel="0" collapsed="false">
      <c r="A98" s="4"/>
      <c r="B98" s="4"/>
      <c r="C98" s="12" t="str">
        <f aca="false">IF(B98="","",IFERROR(INDEX('Reference Data'!$C$3:$C$9,MATCH(B98,'Reference Data'!$A$3:$A$9,0)),""))</f>
        <v/>
      </c>
      <c r="D98" s="4"/>
      <c r="E98" s="4"/>
      <c r="F98" s="15" t="str">
        <f aca="false">IF(OR(D98="",D98=0,E98=""),"",E98/D98)</f>
        <v/>
      </c>
      <c r="G98" s="16"/>
      <c r="H98" s="12" t="str">
        <f aca="false">IF(OR(F98="",G98=""),"",IF(F98&gt;=G98,"Yes","No"))</f>
        <v/>
      </c>
      <c r="I98" s="4"/>
      <c r="J98" s="4"/>
      <c r="K98" s="4"/>
      <c r="L98" s="4"/>
    </row>
    <row r="99" customFormat="false" ht="15" hidden="false" customHeight="true" outlineLevel="0" collapsed="false">
      <c r="A99" s="4"/>
      <c r="B99" s="4"/>
      <c r="C99" s="12" t="str">
        <f aca="false">IF(B99="","",IFERROR(INDEX('Reference Data'!$C$3:$C$9,MATCH(B99,'Reference Data'!$A$3:$A$9,0)),""))</f>
        <v/>
      </c>
      <c r="D99" s="4"/>
      <c r="E99" s="4"/>
      <c r="F99" s="15" t="str">
        <f aca="false">IF(OR(D99="",D99=0,E99=""),"",E99/D99)</f>
        <v/>
      </c>
      <c r="G99" s="16"/>
      <c r="H99" s="12" t="str">
        <f aca="false">IF(OR(F99="",G99=""),"",IF(F99&gt;=G99,"Yes","No"))</f>
        <v/>
      </c>
      <c r="I99" s="4"/>
      <c r="J99" s="4"/>
      <c r="K99" s="4"/>
      <c r="L99" s="4"/>
    </row>
    <row r="100" customFormat="false" ht="15" hidden="false" customHeight="true" outlineLevel="0" collapsed="false">
      <c r="A100" s="4"/>
      <c r="B100" s="4"/>
      <c r="C100" s="12" t="str">
        <f aca="false">IF(B100="","",IFERROR(INDEX('Reference Data'!$C$3:$C$9,MATCH(B100,'Reference Data'!$A$3:$A$9,0)),""))</f>
        <v/>
      </c>
      <c r="D100" s="4"/>
      <c r="E100" s="4"/>
      <c r="F100" s="15" t="str">
        <f aca="false">IF(OR(D100="",D100=0,E100=""),"",E100/D100)</f>
        <v/>
      </c>
      <c r="G100" s="16"/>
      <c r="H100" s="12" t="str">
        <f aca="false">IF(OR(F100="",G100=""),"",IF(F100&gt;=G100,"Yes","No"))</f>
        <v/>
      </c>
      <c r="I100" s="4"/>
      <c r="J100" s="4"/>
      <c r="K100" s="4"/>
      <c r="L100" s="4"/>
    </row>
    <row r="101" customFormat="false" ht="15" hidden="false" customHeight="true" outlineLevel="0" collapsed="false">
      <c r="A101" s="4"/>
      <c r="B101" s="4"/>
      <c r="C101" s="12" t="str">
        <f aca="false">IF(B101="","",IFERROR(INDEX('Reference Data'!$C$3:$C$9,MATCH(B101,'Reference Data'!$A$3:$A$9,0)),""))</f>
        <v/>
      </c>
      <c r="D101" s="4"/>
      <c r="E101" s="4"/>
      <c r="F101" s="15" t="str">
        <f aca="false">IF(OR(D101="",D101=0,E101=""),"",E101/D101)</f>
        <v/>
      </c>
      <c r="G101" s="16"/>
      <c r="H101" s="12" t="str">
        <f aca="false">IF(OR(F101="",G101=""),"",IF(F101&gt;=G101,"Yes","No"))</f>
        <v/>
      </c>
      <c r="I101" s="4"/>
      <c r="J101" s="4"/>
      <c r="K101" s="4"/>
      <c r="L101" s="4"/>
    </row>
    <row r="102" customFormat="false" ht="15" hidden="false" customHeight="true" outlineLevel="0" collapsed="false">
      <c r="A102" s="4"/>
      <c r="B102" s="4"/>
      <c r="C102" s="12" t="str">
        <f aca="false">IF(B102="","",IFERROR(INDEX('Reference Data'!$C$3:$C$9,MATCH(B102,'Reference Data'!$A$3:$A$9,0)),""))</f>
        <v/>
      </c>
      <c r="D102" s="4"/>
      <c r="E102" s="4"/>
      <c r="F102" s="15" t="str">
        <f aca="false">IF(OR(D102="",D102=0,E102=""),"",E102/D102)</f>
        <v/>
      </c>
      <c r="G102" s="16"/>
      <c r="H102" s="12" t="str">
        <f aca="false">IF(OR(F102="",G102=""),"",IF(F102&gt;=G102,"Yes","No"))</f>
        <v/>
      </c>
      <c r="I102" s="4"/>
      <c r="J102" s="4"/>
      <c r="K102" s="4"/>
      <c r="L102" s="4"/>
    </row>
    <row r="103" customFormat="false" ht="15" hidden="false" customHeight="true" outlineLevel="0" collapsed="false">
      <c r="A103" s="4"/>
      <c r="B103" s="4"/>
      <c r="C103" s="12" t="str">
        <f aca="false">IF(B103="","",IFERROR(INDEX('Reference Data'!$C$3:$C$9,MATCH(B103,'Reference Data'!$A$3:$A$9,0)),""))</f>
        <v/>
      </c>
      <c r="D103" s="4"/>
      <c r="E103" s="4"/>
      <c r="F103" s="15" t="str">
        <f aca="false">IF(OR(D103="",D103=0,E103=""),"",E103/D103)</f>
        <v/>
      </c>
      <c r="G103" s="16"/>
      <c r="H103" s="12" t="str">
        <f aca="false">IF(OR(F103="",G103=""),"",IF(F103&gt;=G103,"Yes","No"))</f>
        <v/>
      </c>
      <c r="I103" s="4"/>
      <c r="J103" s="4"/>
      <c r="K103" s="4"/>
      <c r="L103" s="4"/>
    </row>
    <row r="104" customFormat="false" ht="15" hidden="false" customHeight="true" outlineLevel="0" collapsed="false">
      <c r="A104" s="4"/>
      <c r="B104" s="4"/>
      <c r="C104" s="12" t="str">
        <f aca="false">IF(B104="","",IFERROR(INDEX('Reference Data'!$C$3:$C$9,MATCH(B104,'Reference Data'!$A$3:$A$9,0)),""))</f>
        <v/>
      </c>
      <c r="D104" s="4"/>
      <c r="E104" s="4"/>
      <c r="F104" s="15" t="str">
        <f aca="false">IF(OR(D104="",D104=0,E104=""),"",E104/D104)</f>
        <v/>
      </c>
      <c r="G104" s="16"/>
      <c r="H104" s="12" t="str">
        <f aca="false">IF(OR(F104="",G104=""),"",IF(F104&gt;=G104,"Yes","No"))</f>
        <v/>
      </c>
      <c r="I104" s="4"/>
      <c r="J104" s="4"/>
      <c r="K104" s="4"/>
      <c r="L104" s="4"/>
    </row>
    <row r="105" customFormat="false" ht="15" hidden="false" customHeight="true" outlineLevel="0" collapsed="false">
      <c r="A105" s="4"/>
      <c r="B105" s="4"/>
      <c r="C105" s="12" t="str">
        <f aca="false">IF(B105="","",IFERROR(INDEX('Reference Data'!$C$3:$C$9,MATCH(B105,'Reference Data'!$A$3:$A$9,0)),""))</f>
        <v/>
      </c>
      <c r="D105" s="4"/>
      <c r="E105" s="4"/>
      <c r="F105" s="15" t="str">
        <f aca="false">IF(OR(D105="",D105=0,E105=""),"",E105/D105)</f>
        <v/>
      </c>
      <c r="G105" s="16"/>
      <c r="H105" s="12" t="str">
        <f aca="false">IF(OR(F105="",G105=""),"",IF(F105&gt;=G105,"Yes","No"))</f>
        <v/>
      </c>
      <c r="I105" s="4"/>
      <c r="J105" s="4"/>
      <c r="K105" s="4"/>
      <c r="L105" s="4"/>
    </row>
    <row r="106" customFormat="false" ht="15" hidden="false" customHeight="true" outlineLevel="0" collapsed="false">
      <c r="A106" s="4"/>
      <c r="B106" s="4"/>
      <c r="C106" s="12" t="str">
        <f aca="false">IF(B106="","",IFERROR(INDEX('Reference Data'!$C$3:$C$9,MATCH(B106,'Reference Data'!$A$3:$A$9,0)),""))</f>
        <v/>
      </c>
      <c r="D106" s="4"/>
      <c r="E106" s="4"/>
      <c r="F106" s="15" t="str">
        <f aca="false">IF(OR(D106="",D106=0,E106=""),"",E106/D106)</f>
        <v/>
      </c>
      <c r="G106" s="16"/>
      <c r="H106" s="12" t="str">
        <f aca="false">IF(OR(F106="",G106=""),"",IF(F106&gt;=G106,"Yes","No"))</f>
        <v/>
      </c>
      <c r="I106" s="4"/>
      <c r="J106" s="4"/>
      <c r="K106" s="4"/>
      <c r="L106" s="4"/>
    </row>
    <row r="107" customFormat="false" ht="15" hidden="false" customHeight="true" outlineLevel="0" collapsed="false">
      <c r="A107" s="4"/>
      <c r="B107" s="4"/>
      <c r="C107" s="12" t="str">
        <f aca="false">IF(B107="","",IFERROR(INDEX('Reference Data'!$C$3:$C$9,MATCH(B107,'Reference Data'!$A$3:$A$9,0)),""))</f>
        <v/>
      </c>
      <c r="D107" s="4"/>
      <c r="E107" s="4"/>
      <c r="F107" s="15" t="str">
        <f aca="false">IF(OR(D107="",D107=0,E107=""),"",E107/D107)</f>
        <v/>
      </c>
      <c r="G107" s="16"/>
      <c r="H107" s="12" t="str">
        <f aca="false">IF(OR(F107="",G107=""),"",IF(F107&gt;=G107,"Yes","No"))</f>
        <v/>
      </c>
      <c r="I107" s="4"/>
      <c r="J107" s="4"/>
      <c r="K107" s="4"/>
      <c r="L107" s="4"/>
    </row>
    <row r="108" customFormat="false" ht="15" hidden="false" customHeight="true" outlineLevel="0" collapsed="false">
      <c r="A108" s="4"/>
      <c r="B108" s="4"/>
      <c r="C108" s="12" t="str">
        <f aca="false">IF(B108="","",IFERROR(INDEX('Reference Data'!$C$3:$C$9,MATCH(B108,'Reference Data'!$A$3:$A$9,0)),""))</f>
        <v/>
      </c>
      <c r="D108" s="4"/>
      <c r="E108" s="4"/>
      <c r="F108" s="15" t="str">
        <f aca="false">IF(OR(D108="",D108=0,E108=""),"",E108/D108)</f>
        <v/>
      </c>
      <c r="G108" s="16"/>
      <c r="H108" s="12" t="str">
        <f aca="false">IF(OR(F108="",G108=""),"",IF(F108&gt;=G108,"Yes","No"))</f>
        <v/>
      </c>
      <c r="I108" s="4"/>
      <c r="J108" s="4"/>
      <c r="K108" s="4"/>
      <c r="L108" s="4"/>
    </row>
    <row r="109" customFormat="false" ht="15" hidden="false" customHeight="true" outlineLevel="0" collapsed="false">
      <c r="A109" s="4"/>
      <c r="B109" s="4"/>
      <c r="C109" s="12" t="str">
        <f aca="false">IF(B109="","",IFERROR(INDEX('Reference Data'!$C$3:$C$9,MATCH(B109,'Reference Data'!$A$3:$A$9,0)),""))</f>
        <v/>
      </c>
      <c r="D109" s="4"/>
      <c r="E109" s="4"/>
      <c r="F109" s="15" t="str">
        <f aca="false">IF(OR(D109="",D109=0,E109=""),"",E109/D109)</f>
        <v/>
      </c>
      <c r="G109" s="16"/>
      <c r="H109" s="12" t="str">
        <f aca="false">IF(OR(F109="",G109=""),"",IF(F109&gt;=G109,"Yes","No"))</f>
        <v/>
      </c>
      <c r="I109" s="4"/>
      <c r="J109" s="4"/>
      <c r="K109" s="4"/>
      <c r="L109" s="4"/>
    </row>
    <row r="110" customFormat="false" ht="15" hidden="false" customHeight="true" outlineLevel="0" collapsed="false">
      <c r="A110" s="4"/>
      <c r="B110" s="4"/>
      <c r="C110" s="12" t="str">
        <f aca="false">IF(B110="","",IFERROR(INDEX('Reference Data'!$C$3:$C$9,MATCH(B110,'Reference Data'!$A$3:$A$9,0)),""))</f>
        <v/>
      </c>
      <c r="D110" s="4"/>
      <c r="E110" s="4"/>
      <c r="F110" s="15" t="str">
        <f aca="false">IF(OR(D110="",D110=0,E110=""),"",E110/D110)</f>
        <v/>
      </c>
      <c r="G110" s="16"/>
      <c r="H110" s="12" t="str">
        <f aca="false">IF(OR(F110="",G110=""),"",IF(F110&gt;=G110,"Yes","No"))</f>
        <v/>
      </c>
      <c r="I110" s="4"/>
      <c r="J110" s="4"/>
      <c r="K110" s="4"/>
      <c r="L110" s="4"/>
    </row>
    <row r="111" customFormat="false" ht="15" hidden="false" customHeight="true" outlineLevel="0" collapsed="false">
      <c r="A111" s="4"/>
      <c r="B111" s="4"/>
      <c r="C111" s="12" t="str">
        <f aca="false">IF(B111="","",IFERROR(INDEX('Reference Data'!$C$3:$C$9,MATCH(B111,'Reference Data'!$A$3:$A$9,0)),""))</f>
        <v/>
      </c>
      <c r="D111" s="4"/>
      <c r="E111" s="4"/>
      <c r="F111" s="15" t="str">
        <f aca="false">IF(OR(D111="",D111=0,E111=""),"",E111/D111)</f>
        <v/>
      </c>
      <c r="G111" s="16"/>
      <c r="H111" s="12" t="str">
        <f aca="false">IF(OR(F111="",G111=""),"",IF(F111&gt;=G111,"Yes","No"))</f>
        <v/>
      </c>
      <c r="I111" s="4"/>
      <c r="J111" s="4"/>
      <c r="K111" s="4"/>
      <c r="L111" s="4"/>
    </row>
    <row r="112" customFormat="false" ht="15" hidden="false" customHeight="true" outlineLevel="0" collapsed="false">
      <c r="A112" s="4"/>
      <c r="B112" s="4"/>
      <c r="C112" s="12" t="str">
        <f aca="false">IF(B112="","",IFERROR(INDEX('Reference Data'!$C$3:$C$9,MATCH(B112,'Reference Data'!$A$3:$A$9,0)),""))</f>
        <v/>
      </c>
      <c r="D112" s="4"/>
      <c r="E112" s="4"/>
      <c r="F112" s="15" t="str">
        <f aca="false">IF(OR(D112="",D112=0,E112=""),"",E112/D112)</f>
        <v/>
      </c>
      <c r="G112" s="16"/>
      <c r="H112" s="12" t="str">
        <f aca="false">IF(OR(F112="",G112=""),"",IF(F112&gt;=G112,"Yes","No"))</f>
        <v/>
      </c>
      <c r="I112" s="4"/>
      <c r="J112" s="4"/>
      <c r="K112" s="4"/>
      <c r="L112" s="4"/>
    </row>
    <row r="113" customFormat="false" ht="15" hidden="false" customHeight="true" outlineLevel="0" collapsed="false">
      <c r="A113" s="4"/>
      <c r="B113" s="4"/>
      <c r="C113" s="12" t="str">
        <f aca="false">IF(B113="","",IFERROR(INDEX('Reference Data'!$C$3:$C$9,MATCH(B113,'Reference Data'!$A$3:$A$9,0)),""))</f>
        <v/>
      </c>
      <c r="D113" s="4"/>
      <c r="E113" s="4"/>
      <c r="F113" s="15" t="str">
        <f aca="false">IF(OR(D113="",D113=0,E113=""),"",E113/D113)</f>
        <v/>
      </c>
      <c r="G113" s="16"/>
      <c r="H113" s="12" t="str">
        <f aca="false">IF(OR(F113="",G113=""),"",IF(F113&gt;=G113,"Yes","No"))</f>
        <v/>
      </c>
      <c r="I113" s="4"/>
      <c r="J113" s="4"/>
      <c r="K113" s="4"/>
      <c r="L113" s="4"/>
    </row>
    <row r="114" customFormat="false" ht="15" hidden="false" customHeight="true" outlineLevel="0" collapsed="false">
      <c r="A114" s="4"/>
      <c r="B114" s="4"/>
      <c r="C114" s="12" t="str">
        <f aca="false">IF(B114="","",IFERROR(INDEX('Reference Data'!$C$3:$C$9,MATCH(B114,'Reference Data'!$A$3:$A$9,0)),""))</f>
        <v/>
      </c>
      <c r="D114" s="4"/>
      <c r="E114" s="4"/>
      <c r="F114" s="15" t="str">
        <f aca="false">IF(OR(D114="",D114=0,E114=""),"",E114/D114)</f>
        <v/>
      </c>
      <c r="G114" s="16"/>
      <c r="H114" s="12" t="str">
        <f aca="false">IF(OR(F114="",G114=""),"",IF(F114&gt;=G114,"Yes","No"))</f>
        <v/>
      </c>
      <c r="I114" s="4"/>
      <c r="J114" s="4"/>
      <c r="K114" s="4"/>
      <c r="L114" s="4"/>
    </row>
    <row r="115" customFormat="false" ht="15" hidden="false" customHeight="true" outlineLevel="0" collapsed="false">
      <c r="A115" s="4"/>
      <c r="B115" s="4"/>
      <c r="C115" s="12" t="str">
        <f aca="false">IF(B115="","",IFERROR(INDEX('Reference Data'!$C$3:$C$9,MATCH(B115,'Reference Data'!$A$3:$A$9,0)),""))</f>
        <v/>
      </c>
      <c r="D115" s="4"/>
      <c r="E115" s="4"/>
      <c r="F115" s="15" t="str">
        <f aca="false">IF(OR(D115="",D115=0,E115=""),"",E115/D115)</f>
        <v/>
      </c>
      <c r="G115" s="16"/>
      <c r="H115" s="12" t="str">
        <f aca="false">IF(OR(F115="",G115=""),"",IF(F115&gt;=G115,"Yes","No"))</f>
        <v/>
      </c>
      <c r="I115" s="4"/>
      <c r="J115" s="4"/>
      <c r="K115" s="4"/>
      <c r="L115" s="4"/>
    </row>
    <row r="116" customFormat="false" ht="15" hidden="false" customHeight="true" outlineLevel="0" collapsed="false">
      <c r="A116" s="4"/>
      <c r="B116" s="4"/>
      <c r="C116" s="12" t="str">
        <f aca="false">IF(B116="","",IFERROR(INDEX('Reference Data'!$C$3:$C$9,MATCH(B116,'Reference Data'!$A$3:$A$9,0)),""))</f>
        <v/>
      </c>
      <c r="D116" s="4"/>
      <c r="E116" s="4"/>
      <c r="F116" s="15" t="str">
        <f aca="false">IF(OR(D116="",D116=0,E116=""),"",E116/D116)</f>
        <v/>
      </c>
      <c r="G116" s="16"/>
      <c r="H116" s="12" t="str">
        <f aca="false">IF(OR(F116="",G116=""),"",IF(F116&gt;=G116,"Yes","No"))</f>
        <v/>
      </c>
      <c r="I116" s="4"/>
      <c r="J116" s="4"/>
      <c r="K116" s="4"/>
      <c r="L116" s="4"/>
    </row>
    <row r="117" customFormat="false" ht="15" hidden="false" customHeight="true" outlineLevel="0" collapsed="false">
      <c r="A117" s="4"/>
      <c r="B117" s="4"/>
      <c r="C117" s="12" t="str">
        <f aca="false">IF(B117="","",IFERROR(INDEX('Reference Data'!$C$3:$C$9,MATCH(B117,'Reference Data'!$A$3:$A$9,0)),""))</f>
        <v/>
      </c>
      <c r="D117" s="4"/>
      <c r="E117" s="4"/>
      <c r="F117" s="15" t="str">
        <f aca="false">IF(OR(D117="",D117=0,E117=""),"",E117/D117)</f>
        <v/>
      </c>
      <c r="G117" s="16"/>
      <c r="H117" s="12" t="str">
        <f aca="false">IF(OR(F117="",G117=""),"",IF(F117&gt;=G117,"Yes","No"))</f>
        <v/>
      </c>
      <c r="I117" s="4"/>
      <c r="J117" s="4"/>
      <c r="K117" s="4"/>
      <c r="L117" s="4"/>
    </row>
    <row r="118" customFormat="false" ht="15" hidden="false" customHeight="true" outlineLevel="0" collapsed="false">
      <c r="A118" s="4"/>
      <c r="B118" s="4"/>
      <c r="C118" s="12" t="str">
        <f aca="false">IF(B118="","",IFERROR(INDEX('Reference Data'!$C$3:$C$9,MATCH(B118,'Reference Data'!$A$3:$A$9,0)),""))</f>
        <v/>
      </c>
      <c r="D118" s="4"/>
      <c r="E118" s="4"/>
      <c r="F118" s="15" t="str">
        <f aca="false">IF(OR(D118="",D118=0,E118=""),"",E118/D118)</f>
        <v/>
      </c>
      <c r="G118" s="16"/>
      <c r="H118" s="12" t="str">
        <f aca="false">IF(OR(F118="",G118=""),"",IF(F118&gt;=G118,"Yes","No"))</f>
        <v/>
      </c>
      <c r="I118" s="4"/>
      <c r="J118" s="4"/>
      <c r="K118" s="4"/>
      <c r="L118" s="4"/>
    </row>
    <row r="119" customFormat="false" ht="15" hidden="false" customHeight="true" outlineLevel="0" collapsed="false">
      <c r="A119" s="4"/>
      <c r="B119" s="4"/>
      <c r="C119" s="12" t="str">
        <f aca="false">IF(B119="","",IFERROR(INDEX('Reference Data'!$C$3:$C$9,MATCH(B119,'Reference Data'!$A$3:$A$9,0)),""))</f>
        <v/>
      </c>
      <c r="D119" s="4"/>
      <c r="E119" s="4"/>
      <c r="F119" s="15" t="str">
        <f aca="false">IF(OR(D119="",D119=0,E119=""),"",E119/D119)</f>
        <v/>
      </c>
      <c r="G119" s="16"/>
      <c r="H119" s="12" t="str">
        <f aca="false">IF(OR(F119="",G119=""),"",IF(F119&gt;=G119,"Yes","No"))</f>
        <v/>
      </c>
      <c r="I119" s="4"/>
      <c r="J119" s="4"/>
      <c r="K119" s="4"/>
      <c r="L119" s="4"/>
    </row>
    <row r="120" customFormat="false" ht="15" hidden="false" customHeight="true" outlineLevel="0" collapsed="false">
      <c r="A120" s="4"/>
      <c r="B120" s="4"/>
      <c r="C120" s="12" t="str">
        <f aca="false">IF(B120="","",IFERROR(INDEX('Reference Data'!$C$3:$C$9,MATCH(B120,'Reference Data'!$A$3:$A$9,0)),""))</f>
        <v/>
      </c>
      <c r="D120" s="4"/>
      <c r="E120" s="4"/>
      <c r="F120" s="15" t="str">
        <f aca="false">IF(OR(D120="",D120=0,E120=""),"",E120/D120)</f>
        <v/>
      </c>
      <c r="G120" s="16"/>
      <c r="H120" s="12" t="str">
        <f aca="false">IF(OR(F120="",G120=""),"",IF(F120&gt;=G120,"Yes","No"))</f>
        <v/>
      </c>
      <c r="I120" s="4"/>
      <c r="J120" s="4"/>
      <c r="K120" s="4"/>
      <c r="L120" s="4"/>
    </row>
    <row r="121" customFormat="false" ht="15" hidden="false" customHeight="true" outlineLevel="0" collapsed="false">
      <c r="A121" s="4"/>
      <c r="B121" s="4"/>
      <c r="C121" s="12" t="str">
        <f aca="false">IF(B121="","",IFERROR(INDEX('Reference Data'!$C$3:$C$9,MATCH(B121,'Reference Data'!$A$3:$A$9,0)),""))</f>
        <v/>
      </c>
      <c r="D121" s="4"/>
      <c r="E121" s="4"/>
      <c r="F121" s="15" t="str">
        <f aca="false">IF(OR(D121="",D121=0,E121=""),"",E121/D121)</f>
        <v/>
      </c>
      <c r="G121" s="16"/>
      <c r="H121" s="12" t="str">
        <f aca="false">IF(OR(F121="",G121=""),"",IF(F121&gt;=G121,"Yes","No"))</f>
        <v/>
      </c>
      <c r="I121" s="4"/>
      <c r="J121" s="4"/>
      <c r="K121" s="4"/>
      <c r="L121" s="4"/>
    </row>
    <row r="122" customFormat="false" ht="15" hidden="false" customHeight="true" outlineLevel="0" collapsed="false">
      <c r="A122" s="4"/>
      <c r="B122" s="4"/>
      <c r="C122" s="12" t="str">
        <f aca="false">IF(B122="","",IFERROR(INDEX('Reference Data'!$C$3:$C$9,MATCH(B122,'Reference Data'!$A$3:$A$9,0)),""))</f>
        <v/>
      </c>
      <c r="D122" s="4"/>
      <c r="E122" s="4"/>
      <c r="F122" s="15" t="str">
        <f aca="false">IF(OR(D122="",D122=0,E122=""),"",E122/D122)</f>
        <v/>
      </c>
      <c r="G122" s="16"/>
      <c r="H122" s="12" t="str">
        <f aca="false">IF(OR(F122="",G122=""),"",IF(F122&gt;=G122,"Yes","No"))</f>
        <v/>
      </c>
      <c r="I122" s="4"/>
      <c r="J122" s="4"/>
      <c r="K122" s="4"/>
      <c r="L122" s="4"/>
    </row>
  </sheetData>
  <mergeCells count="1">
    <mergeCell ref="A1:L1"/>
  </mergeCells>
  <conditionalFormatting sqref="H3:H122">
    <cfRule type="cellIs" priority="2" operator="equal" aboveAverage="0" equalAverage="0" bottom="0" percent="0" rank="0" text="" dxfId="0">
      <formula>"No"</formula>
    </cfRule>
    <cfRule type="cellIs" priority="3" operator="equal" aboveAverage="0" equalAverage="0" bottom="0" percent="0" rank="0" text="" dxfId="2">
      <formula>"Yes"</formula>
    </cfRule>
  </conditionalFormatting>
  <dataValidations count="3">
    <dataValidation allowBlank="true" errorStyle="stop" operator="between" showDropDown="false" showErrorMessage="false" showInputMessage="false" sqref="B3:B122" type="list">
      <formula1>"AUD-01,AUD-02,AUD-03,AUD-04,AUD-05,AUD-06,AUD-07"</formula1>
      <formula2>0</formula2>
    </dataValidation>
    <dataValidation allowBlank="true" errorStyle="stop" operator="between" showDropDown="false" showErrorMessage="false" showInputMessage="false" sqref="K3:K122" type="list">
      <formula1>"Initiation,Charter / Baseline,Design,Build / Test / Validation,Operational Readiness / Go-Live,Stabilization / Handoff,Closure"</formula1>
      <formula2>0</formula2>
    </dataValidation>
    <dataValidation allowBlank="true" errorStyle="stop" operator="between" showDropDown="false" showErrorMessage="false" showInputMessage="false" sqref="L3:L122" type="list">
      <formula1>"Not Started,In Delivery,Complete,At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34"/>
    <col collapsed="false" customWidth="true" hidden="false" outlineLevel="0" max="9" min="8" style="1" width="13"/>
  </cols>
  <sheetData>
    <row r="1" customFormat="false" ht="25.5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9" t="s">
        <v>137</v>
      </c>
      <c r="B2" s="9" t="s">
        <v>47</v>
      </c>
      <c r="C2" s="9" t="s">
        <v>74</v>
      </c>
      <c r="D2" s="9" t="s">
        <v>138</v>
      </c>
      <c r="E2" s="9" t="s">
        <v>139</v>
      </c>
      <c r="F2" s="9" t="s">
        <v>7</v>
      </c>
      <c r="G2" s="9" t="s">
        <v>140</v>
      </c>
      <c r="H2" s="9" t="s">
        <v>141</v>
      </c>
      <c r="I2" s="9" t="s">
        <v>117</v>
      </c>
    </row>
    <row r="3" customFormat="false" ht="34.5" hidden="false" customHeight="true" outlineLevel="0" collapsed="false">
      <c r="A3" s="10" t="s">
        <v>142</v>
      </c>
      <c r="B3" s="10" t="s">
        <v>57</v>
      </c>
      <c r="C3" s="11" t="str">
        <f aca="false">IF(B3="","",IFERROR(INDEX('Reference Data'!$C$3:$C$9,MATCH(B3,'Reference Data'!$A$3:$A$9,0)),""))</f>
        <v>IT &amp; Application Owners</v>
      </c>
      <c r="D3" s="10" t="s">
        <v>143</v>
      </c>
      <c r="E3" s="10" t="s">
        <v>144</v>
      </c>
      <c r="F3" s="10" t="s">
        <v>104</v>
      </c>
      <c r="G3" s="10" t="s">
        <v>145</v>
      </c>
      <c r="H3" s="10" t="s">
        <v>119</v>
      </c>
      <c r="I3" s="10" t="s">
        <v>146</v>
      </c>
    </row>
    <row r="4" customFormat="false" ht="15" hidden="false" customHeight="true" outlineLevel="0" collapsed="false">
      <c r="A4" s="4"/>
      <c r="B4" s="4"/>
      <c r="C4" s="12" t="str">
        <f aca="false">IF(B4="","",IFERROR(INDEX('Reference Data'!$C$3:$C$9,MATCH(B4,'Reference Data'!$A$3:$A$9,0)),""))</f>
        <v/>
      </c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A5" s="4"/>
      <c r="B5" s="4"/>
      <c r="C5" s="12" t="str">
        <f aca="false">IF(B5="","",IFERROR(INDEX('Reference Data'!$C$3:$C$9,MATCH(B5,'Reference Data'!$A$3:$A$9,0)),""))</f>
        <v/>
      </c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A6" s="4"/>
      <c r="B6" s="4"/>
      <c r="C6" s="12" t="str">
        <f aca="false">IF(B6="","",IFERROR(INDEX('Reference Data'!$C$3:$C$9,MATCH(B6,'Reference Data'!$A$3:$A$9,0)),""))</f>
        <v/>
      </c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A7" s="4"/>
      <c r="B7" s="4"/>
      <c r="C7" s="12" t="str">
        <f aca="false">IF(B7="","",IFERROR(INDEX('Reference Data'!$C$3:$C$9,MATCH(B7,'Reference Data'!$A$3:$A$9,0)),""))</f>
        <v/>
      </c>
      <c r="D7" s="4"/>
      <c r="E7" s="4"/>
      <c r="F7" s="4"/>
      <c r="G7" s="4"/>
      <c r="H7" s="4"/>
      <c r="I7" s="4"/>
    </row>
    <row r="8" customFormat="false" ht="15" hidden="false" customHeight="true" outlineLevel="0" collapsed="false">
      <c r="A8" s="4"/>
      <c r="B8" s="4"/>
      <c r="C8" s="12" t="str">
        <f aca="false">IF(B8="","",IFERROR(INDEX('Reference Data'!$C$3:$C$9,MATCH(B8,'Reference Data'!$A$3:$A$9,0)),""))</f>
        <v/>
      </c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A9" s="4"/>
      <c r="B9" s="4"/>
      <c r="C9" s="12" t="str">
        <f aca="false">IF(B9="","",IFERROR(INDEX('Reference Data'!$C$3:$C$9,MATCH(B9,'Reference Data'!$A$3:$A$9,0)),""))</f>
        <v/>
      </c>
      <c r="D9" s="4"/>
      <c r="E9" s="4"/>
      <c r="F9" s="4"/>
      <c r="G9" s="4"/>
      <c r="H9" s="4"/>
      <c r="I9" s="4"/>
    </row>
    <row r="10" customFormat="false" ht="15" hidden="false" customHeight="true" outlineLevel="0" collapsed="false">
      <c r="A10" s="4"/>
      <c r="B10" s="4"/>
      <c r="C10" s="12" t="str">
        <f aca="false">IF(B10="","",IFERROR(INDEX('Reference Data'!$C$3:$C$9,MATCH(B10,'Reference Data'!$A$3:$A$9,0)),""))</f>
        <v/>
      </c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A11" s="4"/>
      <c r="B11" s="4"/>
      <c r="C11" s="12" t="str">
        <f aca="false">IF(B11="","",IFERROR(INDEX('Reference Data'!$C$3:$C$9,MATCH(B11,'Reference Data'!$A$3:$A$9,0)),""))</f>
        <v/>
      </c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A12" s="4"/>
      <c r="B12" s="4"/>
      <c r="C12" s="12" t="str">
        <f aca="false">IF(B12="","",IFERROR(INDEX('Reference Data'!$C$3:$C$9,MATCH(B12,'Reference Data'!$A$3:$A$9,0)),""))</f>
        <v/>
      </c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A13" s="4"/>
      <c r="B13" s="4"/>
      <c r="C13" s="12" t="str">
        <f aca="false">IF(B13="","",IFERROR(INDEX('Reference Data'!$C$3:$C$9,MATCH(B13,'Reference Data'!$A$3:$A$9,0)),""))</f>
        <v/>
      </c>
      <c r="D13" s="4"/>
      <c r="E13" s="4"/>
      <c r="F13" s="4"/>
      <c r="G13" s="4"/>
      <c r="H13" s="4"/>
      <c r="I13" s="4"/>
    </row>
    <row r="14" customFormat="false" ht="15" hidden="false" customHeight="true" outlineLevel="0" collapsed="false">
      <c r="A14" s="4"/>
      <c r="B14" s="4"/>
      <c r="C14" s="12" t="str">
        <f aca="false">IF(B14="","",IFERROR(INDEX('Reference Data'!$C$3:$C$9,MATCH(B14,'Reference Data'!$A$3:$A$9,0)),""))</f>
        <v/>
      </c>
      <c r="D14" s="4"/>
      <c r="E14" s="4"/>
      <c r="F14" s="4"/>
      <c r="G14" s="4"/>
      <c r="H14" s="4"/>
      <c r="I14" s="4"/>
    </row>
    <row r="15" customFormat="false" ht="15" hidden="false" customHeight="true" outlineLevel="0" collapsed="false">
      <c r="A15" s="4"/>
      <c r="B15" s="4"/>
      <c r="C15" s="12" t="str">
        <f aca="false">IF(B15="","",IFERROR(INDEX('Reference Data'!$C$3:$C$9,MATCH(B15,'Reference Data'!$A$3:$A$9,0)),""))</f>
        <v/>
      </c>
      <c r="D15" s="4"/>
      <c r="E15" s="4"/>
      <c r="F15" s="4"/>
      <c r="G15" s="4"/>
      <c r="H15" s="4"/>
      <c r="I15" s="4"/>
    </row>
    <row r="16" customFormat="false" ht="15" hidden="false" customHeight="true" outlineLevel="0" collapsed="false">
      <c r="A16" s="4"/>
      <c r="B16" s="4"/>
      <c r="C16" s="12" t="str">
        <f aca="false">IF(B16="","",IFERROR(INDEX('Reference Data'!$C$3:$C$9,MATCH(B16,'Reference Data'!$A$3:$A$9,0)),""))</f>
        <v/>
      </c>
      <c r="D16" s="4"/>
      <c r="E16" s="4"/>
      <c r="F16" s="4"/>
      <c r="G16" s="4"/>
      <c r="H16" s="4"/>
      <c r="I16" s="4"/>
    </row>
    <row r="17" customFormat="false" ht="15" hidden="false" customHeight="true" outlineLevel="0" collapsed="false">
      <c r="A17" s="4"/>
      <c r="B17" s="4"/>
      <c r="C17" s="12" t="str">
        <f aca="false">IF(B17="","",IFERROR(INDEX('Reference Data'!$C$3:$C$9,MATCH(B17,'Reference Data'!$A$3:$A$9,0)),""))</f>
        <v/>
      </c>
      <c r="D17" s="4"/>
      <c r="E17" s="4"/>
      <c r="F17" s="4"/>
      <c r="G17" s="4"/>
      <c r="H17" s="4"/>
      <c r="I17" s="4"/>
    </row>
    <row r="18" customFormat="false" ht="15" hidden="false" customHeight="true" outlineLevel="0" collapsed="false">
      <c r="A18" s="4"/>
      <c r="B18" s="4"/>
      <c r="C18" s="12" t="str">
        <f aca="false">IF(B18="","",IFERROR(INDEX('Reference Data'!$C$3:$C$9,MATCH(B18,'Reference Data'!$A$3:$A$9,0)),""))</f>
        <v/>
      </c>
      <c r="D18" s="4"/>
      <c r="E18" s="4"/>
      <c r="F18" s="4"/>
      <c r="G18" s="4"/>
      <c r="H18" s="4"/>
      <c r="I18" s="4"/>
    </row>
    <row r="19" customFormat="false" ht="15" hidden="false" customHeight="true" outlineLevel="0" collapsed="false">
      <c r="A19" s="4"/>
      <c r="B19" s="4"/>
      <c r="C19" s="12" t="str">
        <f aca="false">IF(B19="","",IFERROR(INDEX('Reference Data'!$C$3:$C$9,MATCH(B19,'Reference Data'!$A$3:$A$9,0)),""))</f>
        <v/>
      </c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A20" s="4"/>
      <c r="B20" s="4"/>
      <c r="C20" s="12" t="str">
        <f aca="false">IF(B20="","",IFERROR(INDEX('Reference Data'!$C$3:$C$9,MATCH(B20,'Reference Data'!$A$3:$A$9,0)),""))</f>
        <v/>
      </c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4"/>
      <c r="B21" s="4"/>
      <c r="C21" s="12" t="str">
        <f aca="false">IF(B21="","",IFERROR(INDEX('Reference Data'!$C$3:$C$9,MATCH(B21,'Reference Data'!$A$3:$A$9,0)),""))</f>
        <v/>
      </c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4"/>
      <c r="B22" s="4"/>
      <c r="C22" s="12" t="str">
        <f aca="false">IF(B22="","",IFERROR(INDEX('Reference Data'!$C$3:$C$9,MATCH(B22,'Reference Data'!$A$3:$A$9,0)),""))</f>
        <v/>
      </c>
      <c r="D22" s="4"/>
      <c r="E22" s="4"/>
      <c r="F22" s="4"/>
      <c r="G22" s="4"/>
      <c r="H22" s="4"/>
      <c r="I22" s="4"/>
    </row>
    <row r="23" customFormat="false" ht="15" hidden="false" customHeight="true" outlineLevel="0" collapsed="false">
      <c r="A23" s="4"/>
      <c r="B23" s="4"/>
      <c r="C23" s="12" t="str">
        <f aca="false">IF(B23="","",IFERROR(INDEX('Reference Data'!$C$3:$C$9,MATCH(B23,'Reference Data'!$A$3:$A$9,0)),""))</f>
        <v/>
      </c>
      <c r="D23" s="4"/>
      <c r="E23" s="4"/>
      <c r="F23" s="4"/>
      <c r="G23" s="4"/>
      <c r="H23" s="4"/>
      <c r="I23" s="4"/>
    </row>
    <row r="24" customFormat="false" ht="15" hidden="false" customHeight="true" outlineLevel="0" collapsed="false">
      <c r="A24" s="4"/>
      <c r="B24" s="4"/>
      <c r="C24" s="12" t="str">
        <f aca="false">IF(B24="","",IFERROR(INDEX('Reference Data'!$C$3:$C$9,MATCH(B24,'Reference Data'!$A$3:$A$9,0)),""))</f>
        <v/>
      </c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A25" s="4"/>
      <c r="B25" s="4"/>
      <c r="C25" s="12" t="str">
        <f aca="false">IF(B25="","",IFERROR(INDEX('Reference Data'!$C$3:$C$9,MATCH(B25,'Reference Data'!$A$3:$A$9,0)),""))</f>
        <v/>
      </c>
      <c r="D25" s="4"/>
      <c r="E25" s="4"/>
      <c r="F25" s="4"/>
      <c r="G25" s="4"/>
      <c r="H25" s="4"/>
      <c r="I25" s="4"/>
    </row>
    <row r="26" customFormat="false" ht="15" hidden="false" customHeight="true" outlineLevel="0" collapsed="false">
      <c r="A26" s="4"/>
      <c r="B26" s="4"/>
      <c r="C26" s="12" t="str">
        <f aca="false">IF(B26="","",IFERROR(INDEX('Reference Data'!$C$3:$C$9,MATCH(B26,'Reference Data'!$A$3:$A$9,0)),""))</f>
        <v/>
      </c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A27" s="4"/>
      <c r="B27" s="4"/>
      <c r="C27" s="12" t="str">
        <f aca="false">IF(B27="","",IFERROR(INDEX('Reference Data'!$C$3:$C$9,MATCH(B27,'Reference Data'!$A$3:$A$9,0)),""))</f>
        <v/>
      </c>
      <c r="D27" s="4"/>
      <c r="E27" s="4"/>
      <c r="F27" s="4"/>
      <c r="G27" s="4"/>
      <c r="H27" s="4"/>
      <c r="I27" s="4"/>
    </row>
    <row r="28" customFormat="false" ht="15" hidden="false" customHeight="true" outlineLevel="0" collapsed="false">
      <c r="A28" s="4"/>
      <c r="B28" s="4"/>
      <c r="C28" s="12" t="str">
        <f aca="false">IF(B28="","",IFERROR(INDEX('Reference Data'!$C$3:$C$9,MATCH(B28,'Reference Data'!$A$3:$A$9,0)),""))</f>
        <v/>
      </c>
      <c r="D28" s="4"/>
      <c r="E28" s="4"/>
      <c r="F28" s="4"/>
      <c r="G28" s="4"/>
      <c r="H28" s="4"/>
      <c r="I28" s="4"/>
    </row>
    <row r="29" customFormat="false" ht="15" hidden="false" customHeight="true" outlineLevel="0" collapsed="false">
      <c r="A29" s="4"/>
      <c r="B29" s="4"/>
      <c r="C29" s="12" t="str">
        <f aca="false">IF(B29="","",IFERROR(INDEX('Reference Data'!$C$3:$C$9,MATCH(B29,'Reference Data'!$A$3:$A$9,0)),""))</f>
        <v/>
      </c>
      <c r="D29" s="4"/>
      <c r="E29" s="4"/>
      <c r="F29" s="4"/>
      <c r="G29" s="4"/>
      <c r="H29" s="4"/>
      <c r="I29" s="4"/>
    </row>
    <row r="30" customFormat="false" ht="15" hidden="false" customHeight="true" outlineLevel="0" collapsed="false">
      <c r="A30" s="4"/>
      <c r="B30" s="4"/>
      <c r="C30" s="12" t="str">
        <f aca="false">IF(B30="","",IFERROR(INDEX('Reference Data'!$C$3:$C$9,MATCH(B30,'Reference Data'!$A$3:$A$9,0)),""))</f>
        <v/>
      </c>
      <c r="D30" s="4"/>
      <c r="E30" s="4"/>
      <c r="F30" s="4"/>
      <c r="G30" s="4"/>
      <c r="H30" s="4"/>
      <c r="I30" s="4"/>
    </row>
    <row r="31" customFormat="false" ht="15" hidden="false" customHeight="true" outlineLevel="0" collapsed="false">
      <c r="A31" s="4"/>
      <c r="B31" s="4"/>
      <c r="C31" s="12" t="str">
        <f aca="false">IF(B31="","",IFERROR(INDEX('Reference Data'!$C$3:$C$9,MATCH(B31,'Reference Data'!$A$3:$A$9,0)),""))</f>
        <v/>
      </c>
      <c r="D31" s="4"/>
      <c r="E31" s="4"/>
      <c r="F31" s="4"/>
      <c r="G31" s="4"/>
      <c r="H31" s="4"/>
      <c r="I31" s="4"/>
    </row>
    <row r="32" customFormat="false" ht="15" hidden="false" customHeight="true" outlineLevel="0" collapsed="false">
      <c r="A32" s="4"/>
      <c r="B32" s="4"/>
      <c r="C32" s="12" t="str">
        <f aca="false">IF(B32="","",IFERROR(INDEX('Reference Data'!$C$3:$C$9,MATCH(B32,'Reference Data'!$A$3:$A$9,0)),""))</f>
        <v/>
      </c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A33" s="4"/>
      <c r="B33" s="4"/>
      <c r="C33" s="12" t="str">
        <f aca="false">IF(B33="","",IFERROR(INDEX('Reference Data'!$C$3:$C$9,MATCH(B33,'Reference Data'!$A$3:$A$9,0)),""))</f>
        <v/>
      </c>
      <c r="D33" s="4"/>
      <c r="E33" s="4"/>
      <c r="F33" s="4"/>
      <c r="G33" s="4"/>
      <c r="H33" s="4"/>
      <c r="I33" s="4"/>
    </row>
    <row r="34" customFormat="false" ht="15" hidden="false" customHeight="true" outlineLevel="0" collapsed="false">
      <c r="A34" s="4"/>
      <c r="B34" s="4"/>
      <c r="C34" s="12" t="str">
        <f aca="false">IF(B34="","",IFERROR(INDEX('Reference Data'!$C$3:$C$9,MATCH(B34,'Reference Data'!$A$3:$A$9,0)),""))</f>
        <v/>
      </c>
      <c r="D34" s="4"/>
      <c r="E34" s="4"/>
      <c r="F34" s="4"/>
      <c r="G34" s="4"/>
      <c r="H34" s="4"/>
      <c r="I34" s="4"/>
    </row>
    <row r="35" customFormat="false" ht="15" hidden="false" customHeight="true" outlineLevel="0" collapsed="false">
      <c r="A35" s="4"/>
      <c r="B35" s="4"/>
      <c r="C35" s="12" t="str">
        <f aca="false">IF(B35="","",IFERROR(INDEX('Reference Data'!$C$3:$C$9,MATCH(B35,'Reference Data'!$A$3:$A$9,0)),""))</f>
        <v/>
      </c>
      <c r="D35" s="4"/>
      <c r="E35" s="4"/>
      <c r="F35" s="4"/>
      <c r="G35" s="4"/>
      <c r="H35" s="4"/>
      <c r="I35" s="4"/>
    </row>
    <row r="36" customFormat="false" ht="15" hidden="false" customHeight="true" outlineLevel="0" collapsed="false">
      <c r="A36" s="4"/>
      <c r="B36" s="4"/>
      <c r="C36" s="12" t="str">
        <f aca="false">IF(B36="","",IFERROR(INDEX('Reference Data'!$C$3:$C$9,MATCH(B36,'Reference Data'!$A$3:$A$9,0)),""))</f>
        <v/>
      </c>
      <c r="D36" s="4"/>
      <c r="E36" s="4"/>
      <c r="F36" s="4"/>
      <c r="G36" s="4"/>
      <c r="H36" s="4"/>
      <c r="I36" s="4"/>
    </row>
    <row r="37" customFormat="false" ht="15" hidden="false" customHeight="true" outlineLevel="0" collapsed="false">
      <c r="A37" s="4"/>
      <c r="B37" s="4"/>
      <c r="C37" s="12" t="str">
        <f aca="false">IF(B37="","",IFERROR(INDEX('Reference Data'!$C$3:$C$9,MATCH(B37,'Reference Data'!$A$3:$A$9,0)),""))</f>
        <v/>
      </c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4"/>
      <c r="B38" s="4"/>
      <c r="C38" s="12" t="str">
        <f aca="false">IF(B38="","",IFERROR(INDEX('Reference Data'!$C$3:$C$9,MATCH(B38,'Reference Data'!$A$3:$A$9,0)),""))</f>
        <v/>
      </c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4"/>
      <c r="B39" s="4"/>
      <c r="C39" s="12" t="str">
        <f aca="false">IF(B39="","",IFERROR(INDEX('Reference Data'!$C$3:$C$9,MATCH(B39,'Reference Data'!$A$3:$A$9,0)),""))</f>
        <v/>
      </c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4"/>
      <c r="B40" s="4"/>
      <c r="C40" s="12" t="str">
        <f aca="false">IF(B40="","",IFERROR(INDEX('Reference Data'!$C$3:$C$9,MATCH(B40,'Reference Data'!$A$3:$A$9,0)),""))</f>
        <v/>
      </c>
      <c r="D40" s="4"/>
      <c r="E40" s="4"/>
      <c r="F40" s="4"/>
      <c r="G40" s="4"/>
      <c r="H40" s="4"/>
      <c r="I40" s="4"/>
    </row>
    <row r="41" customFormat="false" ht="15" hidden="false" customHeight="true" outlineLevel="0" collapsed="false">
      <c r="A41" s="4"/>
      <c r="B41" s="4"/>
      <c r="C41" s="12" t="str">
        <f aca="false">IF(B41="","",IFERROR(INDEX('Reference Data'!$C$3:$C$9,MATCH(B41,'Reference Data'!$A$3:$A$9,0)),""))</f>
        <v/>
      </c>
      <c r="D41" s="4"/>
      <c r="E41" s="4"/>
      <c r="F41" s="4"/>
      <c r="G41" s="4"/>
      <c r="H41" s="4"/>
      <c r="I41" s="4"/>
    </row>
    <row r="42" customFormat="false" ht="15" hidden="false" customHeight="true" outlineLevel="0" collapsed="false">
      <c r="A42" s="4"/>
      <c r="B42" s="4"/>
      <c r="C42" s="12" t="str">
        <f aca="false">IF(B42="","",IFERROR(INDEX('Reference Data'!$C$3:$C$9,MATCH(B42,'Reference Data'!$A$3:$A$9,0)),""))</f>
        <v/>
      </c>
      <c r="D42" s="4"/>
      <c r="E42" s="4"/>
      <c r="F42" s="4"/>
      <c r="G42" s="4"/>
      <c r="H42" s="4"/>
      <c r="I42" s="4"/>
    </row>
    <row r="43" customFormat="false" ht="15" hidden="false" customHeight="true" outlineLevel="0" collapsed="false">
      <c r="A43" s="4"/>
      <c r="B43" s="4"/>
      <c r="C43" s="12" t="str">
        <f aca="false">IF(B43="","",IFERROR(INDEX('Reference Data'!$C$3:$C$9,MATCH(B43,'Reference Data'!$A$3:$A$9,0)),""))</f>
        <v/>
      </c>
      <c r="D43" s="4"/>
      <c r="E43" s="4"/>
      <c r="F43" s="4"/>
      <c r="G43" s="4"/>
      <c r="H43" s="4"/>
      <c r="I43" s="4"/>
    </row>
    <row r="44" customFormat="false" ht="15" hidden="false" customHeight="true" outlineLevel="0" collapsed="false">
      <c r="A44" s="4"/>
      <c r="B44" s="4"/>
      <c r="C44" s="12" t="str">
        <f aca="false">IF(B44="","",IFERROR(INDEX('Reference Data'!$C$3:$C$9,MATCH(B44,'Reference Data'!$A$3:$A$9,0)),""))</f>
        <v/>
      </c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A45" s="4"/>
      <c r="B45" s="4"/>
      <c r="C45" s="12" t="str">
        <f aca="false">IF(B45="","",IFERROR(INDEX('Reference Data'!$C$3:$C$9,MATCH(B45,'Reference Data'!$A$3:$A$9,0)),""))</f>
        <v/>
      </c>
      <c r="D45" s="4"/>
      <c r="E45" s="4"/>
      <c r="F45" s="4"/>
      <c r="G45" s="4"/>
      <c r="H45" s="4"/>
      <c r="I45" s="4"/>
    </row>
    <row r="46" customFormat="false" ht="15" hidden="false" customHeight="true" outlineLevel="0" collapsed="false">
      <c r="A46" s="4"/>
      <c r="B46" s="4"/>
      <c r="C46" s="12" t="str">
        <f aca="false">IF(B46="","",IFERROR(INDEX('Reference Data'!$C$3:$C$9,MATCH(B46,'Reference Data'!$A$3:$A$9,0)),""))</f>
        <v/>
      </c>
      <c r="D46" s="4"/>
      <c r="E46" s="4"/>
      <c r="F46" s="4"/>
      <c r="G46" s="4"/>
      <c r="H46" s="4"/>
      <c r="I46" s="4"/>
    </row>
    <row r="47" customFormat="false" ht="15" hidden="false" customHeight="true" outlineLevel="0" collapsed="false">
      <c r="A47" s="4"/>
      <c r="B47" s="4"/>
      <c r="C47" s="12" t="str">
        <f aca="false">IF(B47="","",IFERROR(INDEX('Reference Data'!$C$3:$C$9,MATCH(B47,'Reference Data'!$A$3:$A$9,0)),""))</f>
        <v/>
      </c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"/>
      <c r="B48" s="4"/>
      <c r="C48" s="12" t="str">
        <f aca="false">IF(B48="","",IFERROR(INDEX('Reference Data'!$C$3:$C$9,MATCH(B48,'Reference Data'!$A$3:$A$9,0)),""))</f>
        <v/>
      </c>
      <c r="D48" s="4"/>
      <c r="E48" s="4"/>
      <c r="F48" s="4"/>
      <c r="G48" s="4"/>
      <c r="H48" s="4"/>
      <c r="I48" s="4"/>
    </row>
    <row r="49" customFormat="false" ht="15" hidden="false" customHeight="true" outlineLevel="0" collapsed="false">
      <c r="A49" s="4"/>
      <c r="B49" s="4"/>
      <c r="C49" s="12" t="str">
        <f aca="false">IF(B49="","",IFERROR(INDEX('Reference Data'!$C$3:$C$9,MATCH(B49,'Reference Data'!$A$3:$A$9,0)),""))</f>
        <v/>
      </c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4"/>
      <c r="B50" s="4"/>
      <c r="C50" s="12" t="str">
        <f aca="false">IF(B50="","",IFERROR(INDEX('Reference Data'!$C$3:$C$9,MATCH(B50,'Reference Data'!$A$3:$A$9,0)),""))</f>
        <v/>
      </c>
      <c r="D50" s="4"/>
      <c r="E50" s="4"/>
      <c r="F50" s="4"/>
      <c r="G50" s="4"/>
      <c r="H50" s="4"/>
      <c r="I50" s="4"/>
    </row>
    <row r="51" customFormat="false" ht="15" hidden="false" customHeight="true" outlineLevel="0" collapsed="false">
      <c r="A51" s="4"/>
      <c r="B51" s="4"/>
      <c r="C51" s="12" t="str">
        <f aca="false">IF(B51="","",IFERROR(INDEX('Reference Data'!$C$3:$C$9,MATCH(B51,'Reference Data'!$A$3:$A$9,0)),""))</f>
        <v/>
      </c>
      <c r="D51" s="4"/>
      <c r="E51" s="4"/>
      <c r="F51" s="4"/>
      <c r="G51" s="4"/>
      <c r="H51" s="4"/>
      <c r="I51" s="4"/>
    </row>
    <row r="52" customFormat="false" ht="15" hidden="false" customHeight="true" outlineLevel="0" collapsed="false">
      <c r="A52" s="4"/>
      <c r="B52" s="4"/>
      <c r="C52" s="12" t="str">
        <f aca="false">IF(B52="","",IFERROR(INDEX('Reference Data'!$C$3:$C$9,MATCH(B52,'Reference Data'!$A$3:$A$9,0)),""))</f>
        <v/>
      </c>
      <c r="D52" s="4"/>
      <c r="E52" s="4"/>
      <c r="F52" s="4"/>
      <c r="G52" s="4"/>
      <c r="H52" s="4"/>
      <c r="I52" s="4"/>
    </row>
    <row r="53" customFormat="false" ht="15" hidden="false" customHeight="true" outlineLevel="0" collapsed="false">
      <c r="A53" s="4"/>
      <c r="B53" s="4"/>
      <c r="C53" s="12" t="str">
        <f aca="false">IF(B53="","",IFERROR(INDEX('Reference Data'!$C$3:$C$9,MATCH(B53,'Reference Data'!$A$3:$A$9,0)),""))</f>
        <v/>
      </c>
      <c r="D53" s="4"/>
      <c r="E53" s="4"/>
      <c r="F53" s="4"/>
      <c r="G53" s="4"/>
      <c r="H53" s="4"/>
      <c r="I53" s="4"/>
    </row>
    <row r="54" customFormat="false" ht="15" hidden="false" customHeight="true" outlineLevel="0" collapsed="false">
      <c r="A54" s="4"/>
      <c r="B54" s="4"/>
      <c r="C54" s="12" t="str">
        <f aca="false">IF(B54="","",IFERROR(INDEX('Reference Data'!$C$3:$C$9,MATCH(B54,'Reference Data'!$A$3:$A$9,0)),""))</f>
        <v/>
      </c>
      <c r="D54" s="4"/>
      <c r="E54" s="4"/>
      <c r="F54" s="4"/>
      <c r="G54" s="4"/>
      <c r="H54" s="4"/>
      <c r="I54" s="4"/>
    </row>
    <row r="55" customFormat="false" ht="15" hidden="false" customHeight="true" outlineLevel="0" collapsed="false">
      <c r="A55" s="4"/>
      <c r="B55" s="4"/>
      <c r="C55" s="12" t="str">
        <f aca="false">IF(B55="","",IFERROR(INDEX('Reference Data'!$C$3:$C$9,MATCH(B55,'Reference Data'!$A$3:$A$9,0)),""))</f>
        <v/>
      </c>
      <c r="D55" s="4"/>
      <c r="E55" s="4"/>
      <c r="F55" s="4"/>
      <c r="G55" s="4"/>
      <c r="H55" s="4"/>
      <c r="I55" s="4"/>
    </row>
    <row r="56" customFormat="false" ht="15" hidden="false" customHeight="true" outlineLevel="0" collapsed="false">
      <c r="A56" s="4"/>
      <c r="B56" s="4"/>
      <c r="C56" s="12" t="str">
        <f aca="false">IF(B56="","",IFERROR(INDEX('Reference Data'!$C$3:$C$9,MATCH(B56,'Reference Data'!$A$3:$A$9,0)),""))</f>
        <v/>
      </c>
      <c r="D56" s="4"/>
      <c r="E56" s="4"/>
      <c r="F56" s="4"/>
      <c r="G56" s="4"/>
      <c r="H56" s="4"/>
      <c r="I56" s="4"/>
    </row>
    <row r="57" customFormat="false" ht="15" hidden="false" customHeight="true" outlineLevel="0" collapsed="false">
      <c r="A57" s="4"/>
      <c r="B57" s="4"/>
      <c r="C57" s="12" t="str">
        <f aca="false">IF(B57="","",IFERROR(INDEX('Reference Data'!$C$3:$C$9,MATCH(B57,'Reference Data'!$A$3:$A$9,0)),""))</f>
        <v/>
      </c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A58" s="4"/>
      <c r="B58" s="4"/>
      <c r="C58" s="12" t="str">
        <f aca="false">IF(B58="","",IFERROR(INDEX('Reference Data'!$C$3:$C$9,MATCH(B58,'Reference Data'!$A$3:$A$9,0)),""))</f>
        <v/>
      </c>
      <c r="D58" s="4"/>
      <c r="E58" s="4"/>
      <c r="F58" s="4"/>
      <c r="G58" s="4"/>
      <c r="H58" s="4"/>
      <c r="I58" s="4"/>
    </row>
    <row r="59" customFormat="false" ht="15" hidden="false" customHeight="true" outlineLevel="0" collapsed="false">
      <c r="A59" s="4"/>
      <c r="B59" s="4"/>
      <c r="C59" s="12" t="str">
        <f aca="false">IF(B59="","",IFERROR(INDEX('Reference Data'!$C$3:$C$9,MATCH(B59,'Reference Data'!$A$3:$A$9,0)),""))</f>
        <v/>
      </c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A60" s="4"/>
      <c r="B60" s="4"/>
      <c r="C60" s="12" t="str">
        <f aca="false">IF(B60="","",IFERROR(INDEX('Reference Data'!$C$3:$C$9,MATCH(B60,'Reference Data'!$A$3:$A$9,0)),""))</f>
        <v/>
      </c>
      <c r="D60" s="4"/>
      <c r="E60" s="4"/>
      <c r="F60" s="4"/>
      <c r="G60" s="4"/>
      <c r="H60" s="4"/>
      <c r="I60" s="4"/>
    </row>
    <row r="61" customFormat="false" ht="15" hidden="false" customHeight="true" outlineLevel="0" collapsed="false">
      <c r="A61" s="4"/>
      <c r="B61" s="4"/>
      <c r="C61" s="12" t="str">
        <f aca="false">IF(B61="","",IFERROR(INDEX('Reference Data'!$C$3:$C$9,MATCH(B61,'Reference Data'!$A$3:$A$9,0)),""))</f>
        <v/>
      </c>
      <c r="D61" s="4"/>
      <c r="E61" s="4"/>
      <c r="F61" s="4"/>
      <c r="G61" s="4"/>
      <c r="H61" s="4"/>
      <c r="I61" s="4"/>
    </row>
    <row r="62" customFormat="false" ht="15" hidden="false" customHeight="true" outlineLevel="0" collapsed="false">
      <c r="A62" s="4"/>
      <c r="B62" s="4"/>
      <c r="C62" s="12" t="str">
        <f aca="false">IF(B62="","",IFERROR(INDEX('Reference Data'!$C$3:$C$9,MATCH(B62,'Reference Data'!$A$3:$A$9,0)),""))</f>
        <v/>
      </c>
      <c r="D62" s="4"/>
      <c r="E62" s="4"/>
      <c r="F62" s="4"/>
      <c r="G62" s="4"/>
      <c r="H62" s="4"/>
      <c r="I62" s="4"/>
    </row>
    <row r="63" customFormat="false" ht="15" hidden="false" customHeight="true" outlineLevel="0" collapsed="false">
      <c r="A63" s="4"/>
      <c r="B63" s="4"/>
      <c r="C63" s="12" t="str">
        <f aca="false">IF(B63="","",IFERROR(INDEX('Reference Data'!$C$3:$C$9,MATCH(B63,'Reference Data'!$A$3:$A$9,0)),""))</f>
        <v/>
      </c>
      <c r="D63" s="4"/>
      <c r="E63" s="4"/>
      <c r="F63" s="4"/>
      <c r="G63" s="4"/>
      <c r="H63" s="4"/>
      <c r="I63" s="4"/>
    </row>
    <row r="64" customFormat="false" ht="15" hidden="false" customHeight="true" outlineLevel="0" collapsed="false">
      <c r="A64" s="4"/>
      <c r="B64" s="4"/>
      <c r="C64" s="12" t="str">
        <f aca="false">IF(B64="","",IFERROR(INDEX('Reference Data'!$C$3:$C$9,MATCH(B64,'Reference Data'!$A$3:$A$9,0)),""))</f>
        <v/>
      </c>
      <c r="D64" s="4"/>
      <c r="E64" s="4"/>
      <c r="F64" s="4"/>
      <c r="G64" s="4"/>
      <c r="H64" s="4"/>
      <c r="I64" s="4"/>
    </row>
    <row r="65" customFormat="false" ht="15" hidden="false" customHeight="true" outlineLevel="0" collapsed="false">
      <c r="A65" s="4"/>
      <c r="B65" s="4"/>
      <c r="C65" s="12" t="str">
        <f aca="false">IF(B65="","",IFERROR(INDEX('Reference Data'!$C$3:$C$9,MATCH(B65,'Reference Data'!$A$3:$A$9,0)),""))</f>
        <v/>
      </c>
      <c r="D65" s="4"/>
      <c r="E65" s="4"/>
      <c r="F65" s="4"/>
      <c r="G65" s="4"/>
      <c r="H65" s="4"/>
      <c r="I65" s="4"/>
    </row>
    <row r="66" customFormat="false" ht="15" hidden="false" customHeight="true" outlineLevel="0" collapsed="false">
      <c r="A66" s="4"/>
      <c r="B66" s="4"/>
      <c r="C66" s="12" t="str">
        <f aca="false">IF(B66="","",IFERROR(INDEX('Reference Data'!$C$3:$C$9,MATCH(B66,'Reference Data'!$A$3:$A$9,0)),""))</f>
        <v/>
      </c>
      <c r="D66" s="4"/>
      <c r="E66" s="4"/>
      <c r="F66" s="4"/>
      <c r="G66" s="4"/>
      <c r="H66" s="4"/>
      <c r="I66" s="4"/>
    </row>
    <row r="67" customFormat="false" ht="15" hidden="false" customHeight="true" outlineLevel="0" collapsed="false">
      <c r="A67" s="4"/>
      <c r="B67" s="4"/>
      <c r="C67" s="12" t="str">
        <f aca="false">IF(B67="","",IFERROR(INDEX('Reference Data'!$C$3:$C$9,MATCH(B67,'Reference Data'!$A$3:$A$9,0)),""))</f>
        <v/>
      </c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A68" s="4"/>
      <c r="B68" s="4"/>
      <c r="C68" s="12" t="str">
        <f aca="false">IF(B68="","",IFERROR(INDEX('Reference Data'!$C$3:$C$9,MATCH(B68,'Reference Data'!$A$3:$A$9,0)),""))</f>
        <v/>
      </c>
      <c r="D68" s="4"/>
      <c r="E68" s="4"/>
      <c r="F68" s="4"/>
      <c r="G68" s="4"/>
      <c r="H68" s="4"/>
      <c r="I68" s="4"/>
    </row>
    <row r="69" customFormat="false" ht="15" hidden="false" customHeight="true" outlineLevel="0" collapsed="false">
      <c r="A69" s="4"/>
      <c r="B69" s="4"/>
      <c r="C69" s="12" t="str">
        <f aca="false">IF(B69="","",IFERROR(INDEX('Reference Data'!$C$3:$C$9,MATCH(B69,'Reference Data'!$A$3:$A$9,0)),""))</f>
        <v/>
      </c>
      <c r="D69" s="4"/>
      <c r="E69" s="4"/>
      <c r="F69" s="4"/>
      <c r="G69" s="4"/>
      <c r="H69" s="4"/>
      <c r="I69" s="4"/>
    </row>
    <row r="70" customFormat="false" ht="15" hidden="false" customHeight="true" outlineLevel="0" collapsed="false">
      <c r="A70" s="4"/>
      <c r="B70" s="4"/>
      <c r="C70" s="12" t="str">
        <f aca="false">IF(B70="","",IFERROR(INDEX('Reference Data'!$C$3:$C$9,MATCH(B70,'Reference Data'!$A$3:$A$9,0)),""))</f>
        <v/>
      </c>
      <c r="D70" s="4"/>
      <c r="E70" s="4"/>
      <c r="F70" s="4"/>
      <c r="G70" s="4"/>
      <c r="H70" s="4"/>
      <c r="I70" s="4"/>
    </row>
    <row r="71" customFormat="false" ht="15" hidden="false" customHeight="true" outlineLevel="0" collapsed="false">
      <c r="A71" s="4"/>
      <c r="B71" s="4"/>
      <c r="C71" s="12" t="str">
        <f aca="false">IF(B71="","",IFERROR(INDEX('Reference Data'!$C$3:$C$9,MATCH(B71,'Reference Data'!$A$3:$A$9,0)),""))</f>
        <v/>
      </c>
      <c r="D71" s="4"/>
      <c r="E71" s="4"/>
      <c r="F71" s="4"/>
      <c r="G71" s="4"/>
      <c r="H71" s="4"/>
      <c r="I71" s="4"/>
    </row>
    <row r="72" customFormat="false" ht="15" hidden="false" customHeight="true" outlineLevel="0" collapsed="false">
      <c r="A72" s="4"/>
      <c r="B72" s="4"/>
      <c r="C72" s="12" t="str">
        <f aca="false">IF(B72="","",IFERROR(INDEX('Reference Data'!$C$3:$C$9,MATCH(B72,'Reference Data'!$A$3:$A$9,0)),""))</f>
        <v/>
      </c>
      <c r="D72" s="4"/>
      <c r="E72" s="4"/>
      <c r="F72" s="4"/>
      <c r="G72" s="4"/>
      <c r="H72" s="4"/>
      <c r="I72" s="4"/>
    </row>
    <row r="73" customFormat="false" ht="15" hidden="false" customHeight="true" outlineLevel="0" collapsed="false">
      <c r="A73" s="4"/>
      <c r="B73" s="4"/>
      <c r="C73" s="12" t="str">
        <f aca="false">IF(B73="","",IFERROR(INDEX('Reference Data'!$C$3:$C$9,MATCH(B73,'Reference Data'!$A$3:$A$9,0)),""))</f>
        <v/>
      </c>
      <c r="D73" s="4"/>
      <c r="E73" s="4"/>
      <c r="F73" s="4"/>
      <c r="G73" s="4"/>
      <c r="H73" s="4"/>
      <c r="I73" s="4"/>
    </row>
    <row r="74" customFormat="false" ht="15" hidden="false" customHeight="true" outlineLevel="0" collapsed="false">
      <c r="A74" s="4"/>
      <c r="B74" s="4"/>
      <c r="C74" s="12" t="str">
        <f aca="false">IF(B74="","",IFERROR(INDEX('Reference Data'!$C$3:$C$9,MATCH(B74,'Reference Data'!$A$3:$A$9,0)),""))</f>
        <v/>
      </c>
      <c r="D74" s="4"/>
      <c r="E74" s="4"/>
      <c r="F74" s="4"/>
      <c r="G74" s="4"/>
      <c r="H74" s="4"/>
      <c r="I74" s="4"/>
    </row>
    <row r="75" customFormat="false" ht="15" hidden="false" customHeight="true" outlineLevel="0" collapsed="false">
      <c r="A75" s="4"/>
      <c r="B75" s="4"/>
      <c r="C75" s="12" t="str">
        <f aca="false">IF(B75="","",IFERROR(INDEX('Reference Data'!$C$3:$C$9,MATCH(B75,'Reference Data'!$A$3:$A$9,0)),""))</f>
        <v/>
      </c>
      <c r="D75" s="4"/>
      <c r="E75" s="4"/>
      <c r="F75" s="4"/>
      <c r="G75" s="4"/>
      <c r="H75" s="4"/>
      <c r="I75" s="4"/>
    </row>
    <row r="76" customFormat="false" ht="15" hidden="false" customHeight="true" outlineLevel="0" collapsed="false">
      <c r="A76" s="4"/>
      <c r="B76" s="4"/>
      <c r="C76" s="12" t="str">
        <f aca="false">IF(B76="","",IFERROR(INDEX('Reference Data'!$C$3:$C$9,MATCH(B76,'Reference Data'!$A$3:$A$9,0)),""))</f>
        <v/>
      </c>
      <c r="D76" s="4"/>
      <c r="E76" s="4"/>
      <c r="F76" s="4"/>
      <c r="G76" s="4"/>
      <c r="H76" s="4"/>
      <c r="I76" s="4"/>
    </row>
    <row r="77" customFormat="false" ht="15" hidden="false" customHeight="true" outlineLevel="0" collapsed="false">
      <c r="A77" s="4"/>
      <c r="B77" s="4"/>
      <c r="C77" s="12" t="str">
        <f aca="false">IF(B77="","",IFERROR(INDEX('Reference Data'!$C$3:$C$9,MATCH(B77,'Reference Data'!$A$3:$A$9,0)),""))</f>
        <v/>
      </c>
      <c r="D77" s="4"/>
      <c r="E77" s="4"/>
      <c r="F77" s="4"/>
      <c r="G77" s="4"/>
      <c r="H77" s="4"/>
      <c r="I77" s="4"/>
    </row>
    <row r="78" customFormat="false" ht="15" hidden="false" customHeight="true" outlineLevel="0" collapsed="false">
      <c r="A78" s="4"/>
      <c r="B78" s="4"/>
      <c r="C78" s="12" t="str">
        <f aca="false">IF(B78="","",IFERROR(INDEX('Reference Data'!$C$3:$C$9,MATCH(B78,'Reference Data'!$A$3:$A$9,0)),""))</f>
        <v/>
      </c>
      <c r="D78" s="4"/>
      <c r="E78" s="4"/>
      <c r="F78" s="4"/>
      <c r="G78" s="4"/>
      <c r="H78" s="4"/>
      <c r="I78" s="4"/>
    </row>
    <row r="79" customFormat="false" ht="15" hidden="false" customHeight="true" outlineLevel="0" collapsed="false">
      <c r="A79" s="4"/>
      <c r="B79" s="4"/>
      <c r="C79" s="12" t="str">
        <f aca="false">IF(B79="","",IFERROR(INDEX('Reference Data'!$C$3:$C$9,MATCH(B79,'Reference Data'!$A$3:$A$9,0)),""))</f>
        <v/>
      </c>
      <c r="D79" s="4"/>
      <c r="E79" s="4"/>
      <c r="F79" s="4"/>
      <c r="G79" s="4"/>
      <c r="H79" s="4"/>
      <c r="I79" s="4"/>
    </row>
    <row r="80" customFormat="false" ht="15" hidden="false" customHeight="true" outlineLevel="0" collapsed="false">
      <c r="A80" s="4"/>
      <c r="B80" s="4"/>
      <c r="C80" s="12" t="str">
        <f aca="false">IF(B80="","",IFERROR(INDEX('Reference Data'!$C$3:$C$9,MATCH(B80,'Reference Data'!$A$3:$A$9,0)),""))</f>
        <v/>
      </c>
      <c r="D80" s="4"/>
      <c r="E80" s="4"/>
      <c r="F80" s="4"/>
      <c r="G80" s="4"/>
      <c r="H80" s="4"/>
      <c r="I80" s="4"/>
    </row>
    <row r="81" customFormat="false" ht="15" hidden="false" customHeight="true" outlineLevel="0" collapsed="false">
      <c r="A81" s="4"/>
      <c r="B81" s="4"/>
      <c r="C81" s="12" t="str">
        <f aca="false">IF(B81="","",IFERROR(INDEX('Reference Data'!$C$3:$C$9,MATCH(B81,'Reference Data'!$A$3:$A$9,0)),""))</f>
        <v/>
      </c>
      <c r="D81" s="4"/>
      <c r="E81" s="4"/>
      <c r="F81" s="4"/>
      <c r="G81" s="4"/>
      <c r="H81" s="4"/>
      <c r="I81" s="4"/>
    </row>
    <row r="82" customFormat="false" ht="15" hidden="false" customHeight="true" outlineLevel="0" collapsed="false">
      <c r="A82" s="4"/>
      <c r="B82" s="4"/>
      <c r="C82" s="12" t="str">
        <f aca="false">IF(B82="","",IFERROR(INDEX('Reference Data'!$C$3:$C$9,MATCH(B82,'Reference Data'!$A$3:$A$9,0)),""))</f>
        <v/>
      </c>
      <c r="D82" s="4"/>
      <c r="E82" s="4"/>
      <c r="F82" s="4"/>
      <c r="G82" s="4"/>
      <c r="H82" s="4"/>
      <c r="I82" s="4"/>
    </row>
    <row r="83" customFormat="false" ht="15" hidden="false" customHeight="true" outlineLevel="0" collapsed="false">
      <c r="A83" s="4"/>
      <c r="B83" s="4"/>
      <c r="C83" s="12" t="str">
        <f aca="false">IF(B83="","",IFERROR(INDEX('Reference Data'!$C$3:$C$9,MATCH(B83,'Reference Data'!$A$3:$A$9,0)),""))</f>
        <v/>
      </c>
      <c r="D83" s="4"/>
      <c r="E83" s="4"/>
      <c r="F83" s="4"/>
      <c r="G83" s="4"/>
      <c r="H83" s="4"/>
      <c r="I83" s="4"/>
    </row>
    <row r="84" customFormat="false" ht="15" hidden="false" customHeight="true" outlineLevel="0" collapsed="false">
      <c r="A84" s="4"/>
      <c r="B84" s="4"/>
      <c r="C84" s="12" t="str">
        <f aca="false">IF(B84="","",IFERROR(INDEX('Reference Data'!$C$3:$C$9,MATCH(B84,'Reference Data'!$A$3:$A$9,0)),""))</f>
        <v/>
      </c>
      <c r="D84" s="4"/>
      <c r="E84" s="4"/>
      <c r="F84" s="4"/>
      <c r="G84" s="4"/>
      <c r="H84" s="4"/>
      <c r="I84" s="4"/>
    </row>
    <row r="85" customFormat="false" ht="15" hidden="false" customHeight="true" outlineLevel="0" collapsed="false">
      <c r="A85" s="4"/>
      <c r="B85" s="4"/>
      <c r="C85" s="12" t="str">
        <f aca="false">IF(B85="","",IFERROR(INDEX('Reference Data'!$C$3:$C$9,MATCH(B85,'Reference Data'!$A$3:$A$9,0)),""))</f>
        <v/>
      </c>
      <c r="D85" s="4"/>
      <c r="E85" s="4"/>
      <c r="F85" s="4"/>
      <c r="G85" s="4"/>
      <c r="H85" s="4"/>
      <c r="I85" s="4"/>
    </row>
    <row r="86" customFormat="false" ht="15" hidden="false" customHeight="true" outlineLevel="0" collapsed="false">
      <c r="A86" s="4"/>
      <c r="B86" s="4"/>
      <c r="C86" s="12" t="str">
        <f aca="false">IF(B86="","",IFERROR(INDEX('Reference Data'!$C$3:$C$9,MATCH(B86,'Reference Data'!$A$3:$A$9,0)),""))</f>
        <v/>
      </c>
      <c r="D86" s="4"/>
      <c r="E86" s="4"/>
      <c r="F86" s="4"/>
      <c r="G86" s="4"/>
      <c r="H86" s="4"/>
      <c r="I86" s="4"/>
    </row>
    <row r="87" customFormat="false" ht="15" hidden="false" customHeight="true" outlineLevel="0" collapsed="false">
      <c r="A87" s="4"/>
      <c r="B87" s="4"/>
      <c r="C87" s="12" t="str">
        <f aca="false">IF(B87="","",IFERROR(INDEX('Reference Data'!$C$3:$C$9,MATCH(B87,'Reference Data'!$A$3:$A$9,0)),""))</f>
        <v/>
      </c>
      <c r="D87" s="4"/>
      <c r="E87" s="4"/>
      <c r="F87" s="4"/>
      <c r="G87" s="4"/>
      <c r="H87" s="4"/>
      <c r="I87" s="4"/>
    </row>
    <row r="88" customFormat="false" ht="15" hidden="false" customHeight="true" outlineLevel="0" collapsed="false">
      <c r="A88" s="4"/>
      <c r="B88" s="4"/>
      <c r="C88" s="12" t="str">
        <f aca="false">IF(B88="","",IFERROR(INDEX('Reference Data'!$C$3:$C$9,MATCH(B88,'Reference Data'!$A$3:$A$9,0)),""))</f>
        <v/>
      </c>
      <c r="D88" s="4"/>
      <c r="E88" s="4"/>
      <c r="F88" s="4"/>
      <c r="G88" s="4"/>
      <c r="H88" s="4"/>
      <c r="I88" s="4"/>
    </row>
    <row r="89" customFormat="false" ht="15" hidden="false" customHeight="true" outlineLevel="0" collapsed="false">
      <c r="A89" s="4"/>
      <c r="B89" s="4"/>
      <c r="C89" s="12" t="str">
        <f aca="false">IF(B89="","",IFERROR(INDEX('Reference Data'!$C$3:$C$9,MATCH(B89,'Reference Data'!$A$3:$A$9,0)),""))</f>
        <v/>
      </c>
      <c r="D89" s="4"/>
      <c r="E89" s="4"/>
      <c r="F89" s="4"/>
      <c r="G89" s="4"/>
      <c r="H89" s="4"/>
      <c r="I89" s="4"/>
    </row>
    <row r="90" customFormat="false" ht="15" hidden="false" customHeight="true" outlineLevel="0" collapsed="false">
      <c r="A90" s="4"/>
      <c r="B90" s="4"/>
      <c r="C90" s="12" t="str">
        <f aca="false">IF(B90="","",IFERROR(INDEX('Reference Data'!$C$3:$C$9,MATCH(B90,'Reference Data'!$A$3:$A$9,0)),""))</f>
        <v/>
      </c>
      <c r="D90" s="4"/>
      <c r="E90" s="4"/>
      <c r="F90" s="4"/>
      <c r="G90" s="4"/>
      <c r="H90" s="4"/>
      <c r="I90" s="4"/>
    </row>
    <row r="91" customFormat="false" ht="15" hidden="false" customHeight="true" outlineLevel="0" collapsed="false">
      <c r="A91" s="4"/>
      <c r="B91" s="4"/>
      <c r="C91" s="12" t="str">
        <f aca="false">IF(B91="","",IFERROR(INDEX('Reference Data'!$C$3:$C$9,MATCH(B91,'Reference Data'!$A$3:$A$9,0)),""))</f>
        <v/>
      </c>
      <c r="D91" s="4"/>
      <c r="E91" s="4"/>
      <c r="F91" s="4"/>
      <c r="G91" s="4"/>
      <c r="H91" s="4"/>
      <c r="I91" s="4"/>
    </row>
    <row r="92" customFormat="false" ht="15" hidden="false" customHeight="true" outlineLevel="0" collapsed="false">
      <c r="A92" s="4"/>
      <c r="B92" s="4"/>
      <c r="C92" s="12" t="str">
        <f aca="false">IF(B92="","",IFERROR(INDEX('Reference Data'!$C$3:$C$9,MATCH(B92,'Reference Data'!$A$3:$A$9,0)),""))</f>
        <v/>
      </c>
      <c r="D92" s="4"/>
      <c r="E92" s="4"/>
      <c r="F92" s="4"/>
      <c r="G92" s="4"/>
      <c r="H92" s="4"/>
      <c r="I92" s="4"/>
    </row>
    <row r="93" customFormat="false" ht="15" hidden="false" customHeight="true" outlineLevel="0" collapsed="false">
      <c r="A93" s="4"/>
      <c r="B93" s="4"/>
      <c r="C93" s="12" t="str">
        <f aca="false">IF(B93="","",IFERROR(INDEX('Reference Data'!$C$3:$C$9,MATCH(B93,'Reference Data'!$A$3:$A$9,0)),""))</f>
        <v/>
      </c>
      <c r="D93" s="4"/>
      <c r="E93" s="4"/>
      <c r="F93" s="4"/>
      <c r="G93" s="4"/>
      <c r="H93" s="4"/>
      <c r="I93" s="4"/>
    </row>
    <row r="94" customFormat="false" ht="15" hidden="false" customHeight="true" outlineLevel="0" collapsed="false">
      <c r="A94" s="4"/>
      <c r="B94" s="4"/>
      <c r="C94" s="12" t="str">
        <f aca="false">IF(B94="","",IFERROR(INDEX('Reference Data'!$C$3:$C$9,MATCH(B94,'Reference Data'!$A$3:$A$9,0)),""))</f>
        <v/>
      </c>
      <c r="D94" s="4"/>
      <c r="E94" s="4"/>
      <c r="F94" s="4"/>
      <c r="G94" s="4"/>
      <c r="H94" s="4"/>
      <c r="I94" s="4"/>
    </row>
    <row r="95" customFormat="false" ht="15" hidden="false" customHeight="true" outlineLevel="0" collapsed="false">
      <c r="A95" s="4"/>
      <c r="B95" s="4"/>
      <c r="C95" s="12" t="str">
        <f aca="false">IF(B95="","",IFERROR(INDEX('Reference Data'!$C$3:$C$9,MATCH(B95,'Reference Data'!$A$3:$A$9,0)),""))</f>
        <v/>
      </c>
      <c r="D95" s="4"/>
      <c r="E95" s="4"/>
      <c r="F95" s="4"/>
      <c r="G95" s="4"/>
      <c r="H95" s="4"/>
      <c r="I95" s="4"/>
    </row>
    <row r="96" customFormat="false" ht="15" hidden="false" customHeight="true" outlineLevel="0" collapsed="false">
      <c r="A96" s="4"/>
      <c r="B96" s="4"/>
      <c r="C96" s="12" t="str">
        <f aca="false">IF(B96="","",IFERROR(INDEX('Reference Data'!$C$3:$C$9,MATCH(B96,'Reference Data'!$A$3:$A$9,0)),""))</f>
        <v/>
      </c>
      <c r="D96" s="4"/>
      <c r="E96" s="4"/>
      <c r="F96" s="4"/>
      <c r="G96" s="4"/>
      <c r="H96" s="4"/>
      <c r="I96" s="4"/>
    </row>
    <row r="97" customFormat="false" ht="15" hidden="false" customHeight="true" outlineLevel="0" collapsed="false">
      <c r="A97" s="4"/>
      <c r="B97" s="4"/>
      <c r="C97" s="12" t="str">
        <f aca="false">IF(B97="","",IFERROR(INDEX('Reference Data'!$C$3:$C$9,MATCH(B97,'Reference Data'!$A$3:$A$9,0)),""))</f>
        <v/>
      </c>
      <c r="D97" s="4"/>
      <c r="E97" s="4"/>
      <c r="F97" s="4"/>
      <c r="G97" s="4"/>
      <c r="H97" s="4"/>
      <c r="I97" s="4"/>
    </row>
    <row r="98" customFormat="false" ht="15" hidden="false" customHeight="true" outlineLevel="0" collapsed="false">
      <c r="A98" s="4"/>
      <c r="B98" s="4"/>
      <c r="C98" s="12" t="str">
        <f aca="false">IF(B98="","",IFERROR(INDEX('Reference Data'!$C$3:$C$9,MATCH(B98,'Reference Data'!$A$3:$A$9,0)),""))</f>
        <v/>
      </c>
      <c r="D98" s="4"/>
      <c r="E98" s="4"/>
      <c r="F98" s="4"/>
      <c r="G98" s="4"/>
      <c r="H98" s="4"/>
      <c r="I98" s="4"/>
    </row>
    <row r="99" customFormat="false" ht="15" hidden="false" customHeight="true" outlineLevel="0" collapsed="false">
      <c r="A99" s="4"/>
      <c r="B99" s="4"/>
      <c r="C99" s="12" t="str">
        <f aca="false">IF(B99="","",IFERROR(INDEX('Reference Data'!$C$3:$C$9,MATCH(B99,'Reference Data'!$A$3:$A$9,0)),""))</f>
        <v/>
      </c>
      <c r="D99" s="4"/>
      <c r="E99" s="4"/>
      <c r="F99" s="4"/>
      <c r="G99" s="4"/>
      <c r="H99" s="4"/>
      <c r="I99" s="4"/>
    </row>
    <row r="100" customFormat="false" ht="15" hidden="false" customHeight="true" outlineLevel="0" collapsed="false">
      <c r="A100" s="4"/>
      <c r="B100" s="4"/>
      <c r="C100" s="12" t="str">
        <f aca="false">IF(B100="","",IFERROR(INDEX('Reference Data'!$C$3:$C$9,MATCH(B100,'Reference Data'!$A$3:$A$9,0)),""))</f>
        <v/>
      </c>
      <c r="D100" s="4"/>
      <c r="E100" s="4"/>
      <c r="F100" s="4"/>
      <c r="G100" s="4"/>
      <c r="H100" s="4"/>
      <c r="I100" s="4"/>
    </row>
    <row r="101" customFormat="false" ht="15" hidden="false" customHeight="true" outlineLevel="0" collapsed="false">
      <c r="A101" s="4"/>
      <c r="B101" s="4"/>
      <c r="C101" s="12" t="str">
        <f aca="false">IF(B101="","",IFERROR(INDEX('Reference Data'!$C$3:$C$9,MATCH(B101,'Reference Data'!$A$3:$A$9,0)),""))</f>
        <v/>
      </c>
      <c r="D101" s="4"/>
      <c r="E101" s="4"/>
      <c r="F101" s="4"/>
      <c r="G101" s="4"/>
      <c r="H101" s="4"/>
      <c r="I101" s="4"/>
    </row>
    <row r="102" customFormat="false" ht="15" hidden="false" customHeight="true" outlineLevel="0" collapsed="false">
      <c r="A102" s="4"/>
      <c r="B102" s="4"/>
      <c r="C102" s="12" t="str">
        <f aca="false">IF(B102="","",IFERROR(INDEX('Reference Data'!$C$3:$C$9,MATCH(B102,'Reference Data'!$A$3:$A$9,0)),""))</f>
        <v/>
      </c>
      <c r="D102" s="4"/>
      <c r="E102" s="4"/>
      <c r="F102" s="4"/>
      <c r="G102" s="4"/>
      <c r="H102" s="4"/>
      <c r="I102" s="4"/>
    </row>
    <row r="103" customFormat="false" ht="15" hidden="false" customHeight="true" outlineLevel="0" collapsed="false">
      <c r="A103" s="4"/>
      <c r="B103" s="4"/>
      <c r="C103" s="12" t="str">
        <f aca="false">IF(B103="","",IFERROR(INDEX('Reference Data'!$C$3:$C$9,MATCH(B103,'Reference Data'!$A$3:$A$9,0)),""))</f>
        <v/>
      </c>
      <c r="D103" s="4"/>
      <c r="E103" s="4"/>
      <c r="F103" s="4"/>
      <c r="G103" s="4"/>
      <c r="H103" s="4"/>
      <c r="I103" s="4"/>
    </row>
    <row r="104" customFormat="false" ht="15" hidden="false" customHeight="true" outlineLevel="0" collapsed="false">
      <c r="A104" s="4"/>
      <c r="B104" s="4"/>
      <c r="C104" s="12" t="str">
        <f aca="false">IF(B104="","",IFERROR(INDEX('Reference Data'!$C$3:$C$9,MATCH(B104,'Reference Data'!$A$3:$A$9,0)),""))</f>
        <v/>
      </c>
      <c r="D104" s="4"/>
      <c r="E104" s="4"/>
      <c r="F104" s="4"/>
      <c r="G104" s="4"/>
      <c r="H104" s="4"/>
      <c r="I104" s="4"/>
    </row>
    <row r="105" customFormat="false" ht="15" hidden="false" customHeight="true" outlineLevel="0" collapsed="false">
      <c r="A105" s="4"/>
      <c r="B105" s="4"/>
      <c r="C105" s="12" t="str">
        <f aca="false">IF(B105="","",IFERROR(INDEX('Reference Data'!$C$3:$C$9,MATCH(B105,'Reference Data'!$A$3:$A$9,0)),""))</f>
        <v/>
      </c>
      <c r="D105" s="4"/>
      <c r="E105" s="4"/>
      <c r="F105" s="4"/>
      <c r="G105" s="4"/>
      <c r="H105" s="4"/>
      <c r="I105" s="4"/>
    </row>
    <row r="106" customFormat="false" ht="15" hidden="false" customHeight="true" outlineLevel="0" collapsed="false">
      <c r="A106" s="4"/>
      <c r="B106" s="4"/>
      <c r="C106" s="12" t="str">
        <f aca="false">IF(B106="","",IFERROR(INDEX('Reference Data'!$C$3:$C$9,MATCH(B106,'Reference Data'!$A$3:$A$9,0)),""))</f>
        <v/>
      </c>
      <c r="D106" s="4"/>
      <c r="E106" s="4"/>
      <c r="F106" s="4"/>
      <c r="G106" s="4"/>
      <c r="H106" s="4"/>
      <c r="I106" s="4"/>
    </row>
    <row r="107" customFormat="false" ht="15" hidden="false" customHeight="true" outlineLevel="0" collapsed="false">
      <c r="A107" s="4"/>
      <c r="B107" s="4"/>
      <c r="C107" s="12" t="str">
        <f aca="false">IF(B107="","",IFERROR(INDEX('Reference Data'!$C$3:$C$9,MATCH(B107,'Reference Data'!$A$3:$A$9,0)),""))</f>
        <v/>
      </c>
      <c r="D107" s="4"/>
      <c r="E107" s="4"/>
      <c r="F107" s="4"/>
      <c r="G107" s="4"/>
      <c r="H107" s="4"/>
      <c r="I107" s="4"/>
    </row>
    <row r="108" customFormat="false" ht="15" hidden="false" customHeight="true" outlineLevel="0" collapsed="false">
      <c r="A108" s="4"/>
      <c r="B108" s="4"/>
      <c r="C108" s="12" t="str">
        <f aca="false">IF(B108="","",IFERROR(INDEX('Reference Data'!$C$3:$C$9,MATCH(B108,'Reference Data'!$A$3:$A$9,0)),""))</f>
        <v/>
      </c>
      <c r="D108" s="4"/>
      <c r="E108" s="4"/>
      <c r="F108" s="4"/>
      <c r="G108" s="4"/>
      <c r="H108" s="4"/>
      <c r="I108" s="4"/>
    </row>
    <row r="109" customFormat="false" ht="15" hidden="false" customHeight="true" outlineLevel="0" collapsed="false">
      <c r="A109" s="4"/>
      <c r="B109" s="4"/>
      <c r="C109" s="12" t="str">
        <f aca="false">IF(B109="","",IFERROR(INDEX('Reference Data'!$C$3:$C$9,MATCH(B109,'Reference Data'!$A$3:$A$9,0)),""))</f>
        <v/>
      </c>
      <c r="D109" s="4"/>
      <c r="E109" s="4"/>
      <c r="F109" s="4"/>
      <c r="G109" s="4"/>
      <c r="H109" s="4"/>
      <c r="I109" s="4"/>
    </row>
    <row r="110" customFormat="false" ht="15" hidden="false" customHeight="true" outlineLevel="0" collapsed="false">
      <c r="A110" s="4"/>
      <c r="B110" s="4"/>
      <c r="C110" s="12" t="str">
        <f aca="false">IF(B110="","",IFERROR(INDEX('Reference Data'!$C$3:$C$9,MATCH(B110,'Reference Data'!$A$3:$A$9,0)),""))</f>
        <v/>
      </c>
      <c r="D110" s="4"/>
      <c r="E110" s="4"/>
      <c r="F110" s="4"/>
      <c r="G110" s="4"/>
      <c r="H110" s="4"/>
      <c r="I110" s="4"/>
    </row>
    <row r="111" customFormat="false" ht="15" hidden="false" customHeight="true" outlineLevel="0" collapsed="false">
      <c r="A111" s="4"/>
      <c r="B111" s="4"/>
      <c r="C111" s="12" t="str">
        <f aca="false">IF(B111="","",IFERROR(INDEX('Reference Data'!$C$3:$C$9,MATCH(B111,'Reference Data'!$A$3:$A$9,0)),""))</f>
        <v/>
      </c>
      <c r="D111" s="4"/>
      <c r="E111" s="4"/>
      <c r="F111" s="4"/>
      <c r="G111" s="4"/>
      <c r="H111" s="4"/>
      <c r="I111" s="4"/>
    </row>
    <row r="112" customFormat="false" ht="15" hidden="false" customHeight="true" outlineLevel="0" collapsed="false">
      <c r="A112" s="4"/>
      <c r="B112" s="4"/>
      <c r="C112" s="12" t="str">
        <f aca="false">IF(B112="","",IFERROR(INDEX('Reference Data'!$C$3:$C$9,MATCH(B112,'Reference Data'!$A$3:$A$9,0)),""))</f>
        <v/>
      </c>
      <c r="D112" s="4"/>
      <c r="E112" s="4"/>
      <c r="F112" s="4"/>
      <c r="G112" s="4"/>
      <c r="H112" s="4"/>
      <c r="I112" s="4"/>
    </row>
    <row r="113" customFormat="false" ht="15" hidden="false" customHeight="true" outlineLevel="0" collapsed="false">
      <c r="A113" s="4"/>
      <c r="B113" s="4"/>
      <c r="C113" s="12" t="str">
        <f aca="false">IF(B113="","",IFERROR(INDEX('Reference Data'!$C$3:$C$9,MATCH(B113,'Reference Data'!$A$3:$A$9,0)),""))</f>
        <v/>
      </c>
      <c r="D113" s="4"/>
      <c r="E113" s="4"/>
      <c r="F113" s="4"/>
      <c r="G113" s="4"/>
      <c r="H113" s="4"/>
      <c r="I113" s="4"/>
    </row>
    <row r="114" customFormat="false" ht="15" hidden="false" customHeight="true" outlineLevel="0" collapsed="false">
      <c r="A114" s="4"/>
      <c r="B114" s="4"/>
      <c r="C114" s="12" t="str">
        <f aca="false">IF(B114="","",IFERROR(INDEX('Reference Data'!$C$3:$C$9,MATCH(B114,'Reference Data'!$A$3:$A$9,0)),""))</f>
        <v/>
      </c>
      <c r="D114" s="4"/>
      <c r="E114" s="4"/>
      <c r="F114" s="4"/>
      <c r="G114" s="4"/>
      <c r="H114" s="4"/>
      <c r="I114" s="4"/>
    </row>
    <row r="115" customFormat="false" ht="15" hidden="false" customHeight="true" outlineLevel="0" collapsed="false">
      <c r="A115" s="4"/>
      <c r="B115" s="4"/>
      <c r="C115" s="12" t="str">
        <f aca="false">IF(B115="","",IFERROR(INDEX('Reference Data'!$C$3:$C$9,MATCH(B115,'Reference Data'!$A$3:$A$9,0)),""))</f>
        <v/>
      </c>
      <c r="D115" s="4"/>
      <c r="E115" s="4"/>
      <c r="F115" s="4"/>
      <c r="G115" s="4"/>
      <c r="H115" s="4"/>
      <c r="I115" s="4"/>
    </row>
    <row r="116" customFormat="false" ht="15" hidden="false" customHeight="true" outlineLevel="0" collapsed="false">
      <c r="A116" s="4"/>
      <c r="B116" s="4"/>
      <c r="C116" s="12" t="str">
        <f aca="false">IF(B116="","",IFERROR(INDEX('Reference Data'!$C$3:$C$9,MATCH(B116,'Reference Data'!$A$3:$A$9,0)),""))</f>
        <v/>
      </c>
      <c r="D116" s="4"/>
      <c r="E116" s="4"/>
      <c r="F116" s="4"/>
      <c r="G116" s="4"/>
      <c r="H116" s="4"/>
      <c r="I116" s="4"/>
    </row>
    <row r="117" customFormat="false" ht="15" hidden="false" customHeight="true" outlineLevel="0" collapsed="false">
      <c r="A117" s="4"/>
      <c r="B117" s="4"/>
      <c r="C117" s="12" t="str">
        <f aca="false">IF(B117="","",IFERROR(INDEX('Reference Data'!$C$3:$C$9,MATCH(B117,'Reference Data'!$A$3:$A$9,0)),""))</f>
        <v/>
      </c>
      <c r="D117" s="4"/>
      <c r="E117" s="4"/>
      <c r="F117" s="4"/>
      <c r="G117" s="4"/>
      <c r="H117" s="4"/>
      <c r="I117" s="4"/>
    </row>
    <row r="118" customFormat="false" ht="15" hidden="false" customHeight="true" outlineLevel="0" collapsed="false">
      <c r="A118" s="4"/>
      <c r="B118" s="4"/>
      <c r="C118" s="12" t="str">
        <f aca="false">IF(B118="","",IFERROR(INDEX('Reference Data'!$C$3:$C$9,MATCH(B118,'Reference Data'!$A$3:$A$9,0)),""))</f>
        <v/>
      </c>
      <c r="D118" s="4"/>
      <c r="E118" s="4"/>
      <c r="F118" s="4"/>
      <c r="G118" s="4"/>
      <c r="H118" s="4"/>
      <c r="I118" s="4"/>
    </row>
    <row r="119" customFormat="false" ht="15" hidden="false" customHeight="true" outlineLevel="0" collapsed="false">
      <c r="A119" s="4"/>
      <c r="B119" s="4"/>
      <c r="C119" s="12" t="str">
        <f aca="false">IF(B119="","",IFERROR(INDEX('Reference Data'!$C$3:$C$9,MATCH(B119,'Reference Data'!$A$3:$A$9,0)),""))</f>
        <v/>
      </c>
      <c r="D119" s="4"/>
      <c r="E119" s="4"/>
      <c r="F119" s="4"/>
      <c r="G119" s="4"/>
      <c r="H119" s="4"/>
      <c r="I119" s="4"/>
    </row>
    <row r="120" customFormat="false" ht="15" hidden="false" customHeight="true" outlineLevel="0" collapsed="false">
      <c r="A120" s="4"/>
      <c r="B120" s="4"/>
      <c r="C120" s="12" t="str">
        <f aca="false">IF(B120="","",IFERROR(INDEX('Reference Data'!$C$3:$C$9,MATCH(B120,'Reference Data'!$A$3:$A$9,0)),""))</f>
        <v/>
      </c>
      <c r="D120" s="4"/>
      <c r="E120" s="4"/>
      <c r="F120" s="4"/>
      <c r="G120" s="4"/>
      <c r="H120" s="4"/>
      <c r="I120" s="4"/>
    </row>
    <row r="121" customFormat="false" ht="15" hidden="false" customHeight="true" outlineLevel="0" collapsed="false">
      <c r="A121" s="4"/>
      <c r="B121" s="4"/>
      <c r="C121" s="12" t="str">
        <f aca="false">IF(B121="","",IFERROR(INDEX('Reference Data'!$C$3:$C$9,MATCH(B121,'Reference Data'!$A$3:$A$9,0)),""))</f>
        <v/>
      </c>
      <c r="D121" s="4"/>
      <c r="E121" s="4"/>
      <c r="F121" s="4"/>
      <c r="G121" s="4"/>
      <c r="H121" s="4"/>
      <c r="I121" s="4"/>
    </row>
    <row r="122" customFormat="false" ht="15" hidden="false" customHeight="true" outlineLevel="0" collapsed="false">
      <c r="A122" s="4"/>
      <c r="B122" s="4"/>
      <c r="C122" s="12" t="str">
        <f aca="false">IF(B122="","",IFERROR(INDEX('Reference Data'!$C$3:$C$9,MATCH(B122,'Reference Data'!$A$3:$A$9,0)),""))</f>
        <v/>
      </c>
      <c r="D122" s="4"/>
      <c r="E122" s="4"/>
      <c r="F122" s="4"/>
      <c r="G122" s="4"/>
      <c r="H122" s="4"/>
      <c r="I122" s="4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B3:B122" type="list">
      <formula1>"AUD-01,AUD-02,AUD-03,AUD-04,AUD-05,AUD-06,AUD-07"</formula1>
      <formula2>0</formula2>
    </dataValidation>
    <dataValidation allowBlank="true" errorStyle="stop" operator="between" showDropDown="false" showErrorMessage="false" showInputMessage="false" sqref="I3:I122" type="list">
      <formula1>"Planned,Active,Retired"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40"/>
  </cols>
  <sheetData>
    <row r="1" customFormat="false" ht="25.5" hidden="false" customHeight="true" outlineLevel="0" collapsed="false">
      <c r="A1" s="2" t="s">
        <v>147</v>
      </c>
      <c r="B1" s="2"/>
      <c r="C1" s="2"/>
      <c r="D1" s="2"/>
      <c r="E1" s="2"/>
    </row>
    <row r="3" customFormat="false" ht="15" hidden="false" customHeight="true" outlineLevel="0" collapsed="false">
      <c r="B3" s="5" t="s">
        <v>148</v>
      </c>
    </row>
    <row r="4" customFormat="false" ht="15" hidden="false" customHeight="true" outlineLevel="0" collapsed="false">
      <c r="B4" s="8" t="s">
        <v>149</v>
      </c>
      <c r="C4" s="17" t="n">
        <f aca="false">COUNTIF(Curriculum!$H:$H,"Not Started")</f>
        <v>0</v>
      </c>
    </row>
    <row r="5" customFormat="false" ht="15" hidden="false" customHeight="true" outlineLevel="0" collapsed="false">
      <c r="B5" s="8" t="s">
        <v>105</v>
      </c>
      <c r="C5" s="17" t="n">
        <f aca="false">COUNTIF(Curriculum!$H:$H,"In Build")</f>
        <v>1</v>
      </c>
    </row>
    <row r="6" customFormat="false" ht="15" hidden="false" customHeight="true" outlineLevel="0" collapsed="false">
      <c r="B6" s="8" t="s">
        <v>150</v>
      </c>
      <c r="C6" s="17" t="n">
        <f aca="false">COUNTIF(Curriculum!$H:$H,"In Review")</f>
        <v>0</v>
      </c>
    </row>
    <row r="7" customFormat="false" ht="15" hidden="false" customHeight="true" outlineLevel="0" collapsed="false">
      <c r="B7" s="8" t="s">
        <v>151</v>
      </c>
      <c r="C7" s="17" t="n">
        <f aca="false">COUNTIF(Curriculum!$H:$H,"Ready")</f>
        <v>0</v>
      </c>
    </row>
    <row r="9" customFormat="false" ht="15" hidden="false" customHeight="true" outlineLevel="0" collapsed="false">
      <c r="B9" s="5" t="s">
        <v>152</v>
      </c>
    </row>
    <row r="10" customFormat="false" ht="15" hidden="false" customHeight="true" outlineLevel="0" collapsed="false">
      <c r="B10" s="8" t="s">
        <v>146</v>
      </c>
      <c r="C10" s="17" t="n">
        <f aca="false">COUNTIF('Delivery Schedule'!$L:$L,"Planned")</f>
        <v>0</v>
      </c>
    </row>
    <row r="11" customFormat="false" ht="15" hidden="false" customHeight="true" outlineLevel="0" collapsed="false">
      <c r="B11" s="8" t="s">
        <v>123</v>
      </c>
      <c r="C11" s="17" t="n">
        <f aca="false">COUNTIF('Delivery Schedule'!$L:$L,"Scheduled")</f>
        <v>1</v>
      </c>
    </row>
    <row r="12" customFormat="false" ht="15" hidden="false" customHeight="true" outlineLevel="0" collapsed="false">
      <c r="B12" s="8" t="s">
        <v>135</v>
      </c>
      <c r="C12" s="17" t="n">
        <f aca="false">COUNTIF('Delivery Schedule'!$L:$L,"In Delivery")</f>
        <v>0</v>
      </c>
    </row>
    <row r="13" customFormat="false" ht="15" hidden="false" customHeight="true" outlineLevel="0" collapsed="false">
      <c r="B13" s="8" t="s">
        <v>153</v>
      </c>
      <c r="C13" s="17" t="n">
        <f aca="false">COUNTIF('Delivery Schedule'!$L:$L,"Complete")</f>
        <v>0</v>
      </c>
    </row>
    <row r="14" customFormat="false" ht="15" hidden="false" customHeight="true" outlineLevel="0" collapsed="false">
      <c r="B14" s="8" t="s">
        <v>154</v>
      </c>
      <c r="C14" s="17" t="n">
        <f aca="false">COUNTIF('Delivery Schedule'!$L:$L,"At Risk")</f>
        <v>0</v>
      </c>
    </row>
    <row r="16" customFormat="false" ht="15" hidden="false" customHeight="true" outlineLevel="0" collapsed="false">
      <c r="B16" s="5" t="s">
        <v>155</v>
      </c>
    </row>
    <row r="17" customFormat="false" ht="15" hidden="false" customHeight="true" outlineLevel="0" collapsed="false">
      <c r="B17" s="8" t="s">
        <v>156</v>
      </c>
      <c r="C17" s="17" t="n">
        <f aca="false">COUNTIF('Completion &amp; Assessment'!$H:$H,"Yes")</f>
        <v>0</v>
      </c>
    </row>
    <row r="18" customFormat="false" ht="15" hidden="false" customHeight="true" outlineLevel="0" collapsed="false">
      <c r="B18" s="8" t="s">
        <v>157</v>
      </c>
      <c r="C18" s="17" t="n">
        <f aca="false">COUNTIF('Completion &amp; Assessment'!$H:$H,"No")</f>
        <v>1</v>
      </c>
    </row>
    <row r="20" customFormat="false" ht="15" hidden="false" customHeight="true" outlineLevel="0" collapsed="false">
      <c r="B20" s="5" t="s">
        <v>158</v>
      </c>
    </row>
    <row r="21" customFormat="false" ht="15" hidden="false" customHeight="true" outlineLevel="0" collapsed="false">
      <c r="B21" s="8" t="s">
        <v>87</v>
      </c>
      <c r="C21" s="17" t="n">
        <f aca="false">COUNTIF('Training Needs'!$J:$J,"High")</f>
        <v>1</v>
      </c>
    </row>
    <row r="22" customFormat="false" ht="15" hidden="false" customHeight="true" outlineLevel="0" collapsed="false">
      <c r="B22" s="8" t="s">
        <v>83</v>
      </c>
      <c r="C22" s="17" t="n">
        <f aca="false">COUNTIF('Training Needs'!$J:$J,"Medium")</f>
        <v>0</v>
      </c>
    </row>
    <row r="23" customFormat="false" ht="15" hidden="false" customHeight="true" outlineLevel="0" collapsed="false">
      <c r="B23" s="8" t="s">
        <v>159</v>
      </c>
      <c r="C23" s="17" t="n">
        <f aca="false">COUNTIF('Training Needs'!$J:$J,"Low")</f>
        <v>0</v>
      </c>
    </row>
    <row r="25" customFormat="false" ht="15" hidden="false" customHeight="true" outlineLevel="0" collapsed="false">
      <c r="B25" s="18" t="s">
        <v>160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2026-07-21T21:12:33Z</dcterms:created>
  <dc:creator/>
  <dc:description/>
  <dc:language>en-US</dc:language>
  <cp:lastModifiedBy/>
  <dcterms:modified xsi:type="dcterms:W3CDTF">2026-07-26T17:43:16Z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