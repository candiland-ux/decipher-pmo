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cument Control" sheetId="1" state="visible" r:id="rId3"/>
    <sheet name="Instructions" sheetId="2" state="visible" r:id="rId4"/>
    <sheet name="Rating Criteria" sheetId="3" state="visible" r:id="rId5"/>
    <sheet name="Change Summary" sheetId="4" state="visible" r:id="rId6"/>
    <sheet name="Audience Inventory" sheetId="5" state="visible" r:id="rId7"/>
    <sheet name="Impact Assessment" sheetId="6" state="visible" r:id="rId8"/>
    <sheet name="Readiness Requirements" sheetId="7" state="visible" r:id="rId9"/>
    <sheet name="Resistance &amp; Risk" sheetId="8" state="visible" r:id="rId10"/>
    <sheet name="Traceability" sheetId="9" state="visible" r:id="rId11"/>
    <sheet name="Impact Summary"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<sst xmlns="http://schemas.openxmlformats.org/spreadsheetml/2006/main" count="255" uniqueCount="197">
  <si>
    <t xml:space="preserve">Change Impact Assessment — Document Control</t>
  </si>
  <si>
    <t xml:space="preserve">Program</t>
  </si>
  <si>
    <t xml:space="preserve">[Program name]</t>
  </si>
  <si>
    <t xml:space="preserve">Artifact</t>
  </si>
  <si>
    <t xml:space="preserve">Change Impact Assessment</t>
  </si>
  <si>
    <t xml:space="preserve">Version</t>
  </si>
  <si>
    <t xml:space="preserve">v1.0 — Final template for OCM team use</t>
  </si>
  <si>
    <t xml:space="preserve">Owner</t>
  </si>
  <si>
    <t xml:space="preserve">OCM Lead</t>
  </si>
  <si>
    <t xml:space="preserve">Reviewers</t>
  </si>
  <si>
    <t xml:space="preserve">Program Manager; Communications Lead; Project Managers</t>
  </si>
  <si>
    <t xml:space="preserve">Approver</t>
  </si>
  <si>
    <t xml:space="preserve">Program Sponsor</t>
  </si>
  <si>
    <t xml:space="preserve">Last revised</t>
  </si>
  <si>
    <t xml:space="preserve">[date]</t>
  </si>
  <si>
    <t xml:space="preserve">Refresh cadence</t>
  </si>
  <si>
    <t xml:space="preserve">Reassess at the entry to each stage gate and before every readiness gate; update within five business days of any scope or wave change.</t>
  </si>
  <si>
    <t xml:space="preserve">System of record note</t>
  </si>
  <si>
    <t xml:space="preserve">RAID items, decisions, and tasks arising from this assessment are logged in ServiceNow. This workbook owns impact analysis only.</t>
  </si>
  <si>
    <t xml:space="preserve">Linked artifacts</t>
  </si>
  <si>
    <t xml:space="preserve">Communications Plan (audiences, phase arc, calendar) — audience segmentation in this workbook mirrors the plan's seven audiences</t>
  </si>
  <si>
    <t xml:space="preserve">Message House (Safer / Simpler / Ready) — behavior-change statements feed message content</t>
  </si>
  <si>
    <t xml:space="preserve">Sponsor Action Roadmap (Say / Attend / Sign) — sponsor actions in Readiness Requirements feed the roadmap</t>
  </si>
  <si>
    <t xml:space="preserve">Readiness Gates — Readiness Requirements and Traceability feed go / no-go criteria</t>
  </si>
  <si>
    <t xml:space="preserve">Stakeholder Assessment workbook — stakeholder register is keyed to the audience IDs in this workbook</t>
  </si>
  <si>
    <t xml:space="preserve">Change Impact Assessment — Instructions &amp; Method</t>
  </si>
  <si>
    <t xml:space="preserve">Purpose</t>
  </si>
  <si>
    <t xml:space="preserve">This workbook identifies every audience group touched by the program's changes, rates the impact across seven dimensions, and converts those findings into readiness requirements, resistance mitigations, and traceable inputs to the Communications Plan, training plan, and readiness gates.</t>
  </si>
  <si>
    <t xml:space="preserve">Alignment to the Communications Plan</t>
  </si>
  <si>
    <t xml:space="preserve">The Audience Inventory is pre-populated with the seven audiences defined in the Communications Plan. Do not rename audiences here without updating the Communications Plan — the two artifacts must segment identically or messages and impacts will not trace. The Behavior Change column on the Impact Assessment tab is the raw material for the Message House; the Communication Touches column on Readiness Requirements feeds the plan's calendar; the Traceability tab confirms the loop is closed.</t>
  </si>
  <si>
    <t xml:space="preserve">How the tabs connect</t>
  </si>
  <si>
    <t xml:space="preserve">1. Change Summary — pre-seeded with the program's four workstream changes. Refine descriptions and add wave-level rows as scope firms up.</t>
  </si>
  <si>
    <t xml:space="preserve">2. Audience Inventory — pre-seeded with the seven Communications Plan audiences. Add headcount, point of contact, and cascading sponsor; split an audience only if the split will receive different messages or training.</t>
  </si>
  <si>
    <t xml:space="preserve">3. Impact Assessment — rate each change-audience pair across the seven impact dimensions using the Rating Criteria definitions. Impact Score and Overall Impact calculate automatically.</t>
  </si>
  <si>
    <t xml:space="preserve">4. Rating Criteria — High / Medium / Low definitions per dimension so ratings are comparable across raters and projects.</t>
  </si>
  <si>
    <t xml:space="preserve">5. Readiness Requirements — the training, access, communication touches, and sponsor actions each audience needs before its mapped stage gate.</t>
  </si>
  <si>
    <t xml:space="preserve">6. Resistance &amp; Risk — audience-level adoption risks (change fatigue, competing initiatives, prior pushback) with mitigation owners.</t>
  </si>
  <si>
    <t xml:space="preserve">7. Traceability — confirms each audience traces to a Communications Plan entry, a training item, and a readiness gate criterion. The Trace Status column flags gaps automatically.</t>
  </si>
  <si>
    <t xml:space="preserve">8. Impact Summary — automatic counts for status reporting and gate reviews.</t>
  </si>
  <si>
    <t xml:space="preserve">Operating rhythm</t>
  </si>
  <si>
    <t xml:space="preserve">Run the full assessment during Design for each wave. Reassess at the entry to Build / Test / Validation and again before Operational Readiness / Go-Live. One rater drafts, a second reviews, and the OCM Lead calibrates ratings across audiences before publishing. Bring the Impact Summary and open trace gaps to every readiness gate review.</t>
  </si>
  <si>
    <t xml:space="preserve">Quality bar</t>
  </si>
  <si>
    <t xml:space="preserve">Every audience row generates at least one communications entry, training item, or readiness gate criterion — if it generates none, remove it. Every High overall impact has a named sponsor action and a stage gate mapping. Ratings cite the Rating Criteria definitions, not rater instinct.</t>
  </si>
  <si>
    <t xml:space="preserve">Legend</t>
  </si>
  <si>
    <t xml:space="preserve">White cell = enter data  |  Grey cell = formula, do not edit  |  Red / Amber / Green = High / Medium / Low  |  Italic row = worked example, replace with real data  |  Pre-seeded rows = starting data from the Communications Plan and program scope, refine as needed</t>
  </si>
  <si>
    <t xml:space="preserve">Rating Criteria — apply these definitions on the Impact Assessment tab</t>
  </si>
  <si>
    <t xml:space="preserve">Impact Dimension</t>
  </si>
  <si>
    <t xml:space="preserve">High (3)</t>
  </si>
  <si>
    <t xml:space="preserve">Medium (2)</t>
  </si>
  <si>
    <t xml:space="preserve">Low (1)</t>
  </si>
  <si>
    <t xml:space="preserve">Process &amp; Workflow</t>
  </si>
  <si>
    <t xml:space="preserve">Core daily workflow is redesigned or replaced; the group cannot perform the process the old way after go-live.</t>
  </si>
  <si>
    <t xml:space="preserve">Notable steps change within an existing workflow; workarounds exist for a transition period.</t>
  </si>
  <si>
    <t xml:space="preserve">Minor step or sequence changes; the group could self-discover the change with light guidance.</t>
  </si>
  <si>
    <t xml:space="preserve">Tools &amp; Systems</t>
  </si>
  <si>
    <t xml:space="preserve">Primary system is replaced or a new system becomes mandatory for daily work.</t>
  </si>
  <si>
    <t xml:space="preserve">Significant new features, screens, or integrations in an existing system.</t>
  </si>
  <si>
    <t xml:space="preserve">Cosmetic or infrequent system changes; no new login or interface to learn.</t>
  </si>
  <si>
    <t xml:space="preserve">Skills &amp; Knowledge</t>
  </si>
  <si>
    <t xml:space="preserve">New skills required that need formal training and practice before go-live.</t>
  </si>
  <si>
    <t xml:space="preserve">Existing skills extended; short instructor-led or guided sessions close the gap.</t>
  </si>
  <si>
    <t xml:space="preserve">Awareness-level knowledge only; a job aid or announcement is sufficient.</t>
  </si>
  <si>
    <t xml:space="preserve">Roles &amp; Responsibilities</t>
  </si>
  <si>
    <t xml:space="preserve">Roles are created, eliminated, or accountability moves between teams.</t>
  </si>
  <si>
    <t xml:space="preserve">Responsibilities shift within existing roles; approval paths or handoffs change.</t>
  </si>
  <si>
    <t xml:space="preserve">No accountability change; minor task ownership adjustments.</t>
  </si>
  <si>
    <t xml:space="preserve">Effort &amp; Time</t>
  </si>
  <si>
    <t xml:space="preserve">Sustained additional effort, or significant one-time effort during cutover that displaces normal duties.</t>
  </si>
  <si>
    <t xml:space="preserve">Moderate one-time effort (testing, validation, migration tasks) absorbed within normal capacity.</t>
  </si>
  <si>
    <t xml:space="preserve">Minimal effort; participation limited to reading communications or brief actions.</t>
  </si>
  <si>
    <t xml:space="preserve">Risk Exposure</t>
  </si>
  <si>
    <t xml:space="preserve">Failure by this group directly threatens go-live, compliance, customer or mission-critical service, or security posture.</t>
  </si>
  <si>
    <t xml:space="preserve">Failure creates rework, delay, or degraded service that is recoverable within the wave.</t>
  </si>
  <si>
    <t xml:space="preserve">Failure has limited, contained consequences with simple recovery.</t>
  </si>
  <si>
    <t xml:space="preserve">Downstream Impact</t>
  </si>
  <si>
    <t xml:space="preserve">Other groups or systems cannot proceed or operate if this group is not ready (widest reach).</t>
  </si>
  <si>
    <t xml:space="preserve">One or two dependent groups or systems are delayed if this group is not ready.</t>
  </si>
  <si>
    <t xml:space="preserve">No dependent groups or systems rely on this group's readiness.</t>
  </si>
  <si>
    <t xml:space="preserve">Change Summary — pre-seeded with program workstreams; add wave-level rows as scope firms up</t>
  </si>
  <si>
    <t xml:space="preserve">Change ID</t>
  </si>
  <si>
    <t xml:space="preserve">Change Name</t>
  </si>
  <si>
    <t xml:space="preserve">Description</t>
  </si>
  <si>
    <t xml:space="preserve">Current State</t>
  </si>
  <si>
    <t xml:space="preserve">Future State</t>
  </si>
  <si>
    <t xml:space="preserve">Go-Live / Wave</t>
  </si>
  <si>
    <t xml:space="preserve">Change Owner</t>
  </si>
  <si>
    <t xml:space="preserve">Status</t>
  </si>
  <si>
    <t xml:space="preserve">CH-01</t>
  </si>
  <si>
    <t xml:space="preserve">SSO Consolidation</t>
  </si>
  <si>
    <t xml:space="preserve">Consolidate application sign-in onto the enterprise single sign-on platform, retiring separate credentials wave by wave.</t>
  </si>
  <si>
    <t xml:space="preserve">[describe how this works today]</t>
  </si>
  <si>
    <t xml:space="preserve">[describe the target state]</t>
  </si>
  <si>
    <t xml:space="preserve">Planned</t>
  </si>
  <si>
    <t xml:space="preserve">CH-02</t>
  </si>
  <si>
    <t xml:space="preserve">MFA Enforcement</t>
  </si>
  <si>
    <t xml:space="preserve">Enforce multi-factor authentication across the workforce and partner access paths.</t>
  </si>
  <si>
    <t xml:space="preserve">CH-03</t>
  </si>
  <si>
    <t xml:space="preserve">IGA Rollout</t>
  </si>
  <si>
    <t xml:space="preserve">Introduce identity governance for access requests, approvals, and certifications.</t>
  </si>
  <si>
    <t xml:space="preserve">CH-04</t>
  </si>
  <si>
    <t xml:space="preserve">Privileged Access Onboarding</t>
  </si>
  <si>
    <t xml:space="preserve">Bring privileged accounts under vaulting, session management, and just-in-time access controls.</t>
  </si>
  <si>
    <t xml:space="preserve">Audience Inventory — the seven Communications Plan audiences; segment further only if the split gets different messages or training</t>
  </si>
  <si>
    <t xml:space="preserve">Audience ID</t>
  </si>
  <si>
    <t xml:space="preserve">Audience Group</t>
  </si>
  <si>
    <t xml:space="preserve">Headcount</t>
  </si>
  <si>
    <t xml:space="preserve">Location(s)</t>
  </si>
  <si>
    <t xml:space="preserve">Point of Contact</t>
  </si>
  <si>
    <t xml:space="preserve">Cascading Sponsor</t>
  </si>
  <si>
    <t xml:space="preserve">Concurrent Change Load</t>
  </si>
  <si>
    <t xml:space="preserve">AUD-01</t>
  </si>
  <si>
    <t xml:space="preserve">Executive Leadership</t>
  </si>
  <si>
    <t xml:space="preserve">Executives who sponsor the program, approve investment, and set the tone for adoption across the organization.</t>
  </si>
  <si>
    <t xml:space="preserve">[other initiatives hitting this audience in the same window]</t>
  </si>
  <si>
    <t xml:space="preserve">AUD-02</t>
  </si>
  <si>
    <t xml:space="preserve">People Leaders</t>
  </si>
  <si>
    <t xml:space="preserve">Managers and supervisors who cascade messages, prepare their teams, and absorb first-line questions and resistance.</t>
  </si>
  <si>
    <t xml:space="preserve">AUD-03</t>
  </si>
  <si>
    <t xml:space="preserve">Frontline Staff</t>
  </si>
  <si>
    <t xml:space="preserve">Frontline staff whose daily workflow depends on uninterrupted access to core operational applications; lowest tolerance for disruption. [Adjust for client: clinical staff, branch staff, plant operators.]</t>
  </si>
  <si>
    <t xml:space="preserve">AUD-04</t>
  </si>
  <si>
    <t xml:space="preserve">General Workforce</t>
  </si>
  <si>
    <t xml:space="preserve">All remaining staff whose sign-in, access request, and credential experience changes.</t>
  </si>
  <si>
    <t xml:space="preserve">AUD-05</t>
  </si>
  <si>
    <t xml:space="preserve">IT &amp; Application Owners</t>
  </si>
  <si>
    <t xml:space="preserve">Application owners and IT teams accountable for integration, testing, and validation of each wave.</t>
  </si>
  <si>
    <t xml:space="preserve">AUD-06</t>
  </si>
  <si>
    <t xml:space="preserve">Help Desk Teams</t>
  </si>
  <si>
    <t xml:space="preserve">Front-line support absorbing call volume at each wave; need scripts, knowledge articles, and escalation paths before go-live.</t>
  </si>
  <si>
    <t xml:space="preserve">AUD-07</t>
  </si>
  <si>
    <t xml:space="preserve">External Partners</t>
  </si>
  <si>
    <t xml:space="preserve">Vendors, affiliates, and partner organizations whose access paths or federation change.</t>
  </si>
  <si>
    <t xml:space="preserve">Impact Assessment — rate each change-audience pair using the Rating Criteria; Behavior Change feeds the Message House</t>
  </si>
  <si>
    <t xml:space="preserve">Impact Score</t>
  </si>
  <si>
    <t xml:space="preserve">Overall Impact</t>
  </si>
  <si>
    <t xml:space="preserve">Timing of Impact</t>
  </si>
  <si>
    <t xml:space="preserve">Duration</t>
  </si>
  <si>
    <t xml:space="preserve">Behavior Change (From → To)</t>
  </si>
  <si>
    <t xml:space="preserve">High</t>
  </si>
  <si>
    <t xml:space="preserve">Medium</t>
  </si>
  <si>
    <t xml:space="preserve">Before Go-Live</t>
  </si>
  <si>
    <t xml:space="preserve">One-Time</t>
  </si>
  <si>
    <t xml:space="preserve">From validating logins app-by-app with local credentials → to validating role-based access through SSO test plans before each wave.</t>
  </si>
  <si>
    <t xml:space="preserve">Readiness Requirements — what each audience needs before its stage gate; sponsor actions feed the Sponsor Action Roadmap</t>
  </si>
  <si>
    <t xml:space="preserve">Training Required</t>
  </si>
  <si>
    <t xml:space="preserve">Access / Provisioning</t>
  </si>
  <si>
    <t xml:space="preserve">Communication Touches</t>
  </si>
  <si>
    <t xml:space="preserve">Sponsor Actions (feed Sponsor Action Roadmap)</t>
  </si>
  <si>
    <t xml:space="preserve">Stage Gate</t>
  </si>
  <si>
    <t xml:space="preserve">Readiness Criterion</t>
  </si>
  <si>
    <t xml:space="preserve">Due Date</t>
  </si>
  <si>
    <t xml:space="preserve">SSO validation test-plan workshop (90 min) with hands-on practice check, plus validation job aid.</t>
  </si>
  <si>
    <t xml:space="preserve">Test-tenant access provisioned for all app owners two weeks before wave testing opens.</t>
  </si>
  <si>
    <t xml:space="preserve">Workshop invitation three weeks out, reminder one week out, testing-window kickoff note — all scheduled in the Communications Plan calendar.</t>
  </si>
  <si>
    <t xml:space="preserve">Cascading sponsor opens the workshop invitation (Say), attends the testing kickoff (Attend), and confirms training completion at the leaders meeting (Sign).</t>
  </si>
  <si>
    <t xml:space="preserve">Build / Test / Validation</t>
  </si>
  <si>
    <t xml:space="preserve">100% of app owners pass the hands-on check and are provisioned before wave testing opens.</t>
  </si>
  <si>
    <t xml:space="preserve">[YYYY-MM-DD]</t>
  </si>
  <si>
    <t xml:space="preserve">In Progress</t>
  </si>
  <si>
    <t xml:space="preserve">Resistance &amp; Risk — audience-level adoption risks; escalate program-level items to ServiceNow RAID</t>
  </si>
  <si>
    <t xml:space="preserve">Flag ID</t>
  </si>
  <si>
    <t xml:space="preserve">Flag Type</t>
  </si>
  <si>
    <t xml:space="preserve">Likelihood</t>
  </si>
  <si>
    <t xml:space="preserve">Impact if Unmanaged</t>
  </si>
  <si>
    <t xml:space="preserve">Mitigation</t>
  </si>
  <si>
    <t xml:space="preserve">Mitigation Owner</t>
  </si>
  <si>
    <t xml:space="preserve">ServiceNow RAID Ref</t>
  </si>
  <si>
    <t xml:space="preserve">FL-01</t>
  </si>
  <si>
    <t xml:space="preserve">Competing Initiative</t>
  </si>
  <si>
    <t xml:space="preserve">Major application upgrade testing overlaps the Wave 1 validation window, splitting owner capacity.</t>
  </si>
  <si>
    <t xml:space="preserve">Sequence Wave 1 validation to close one week before the upgrade testing opens; escalate conflicts through the cascading sponsor.</t>
  </si>
  <si>
    <t xml:space="preserve">Program Manager</t>
  </si>
  <si>
    <t xml:space="preserve">RISK-[ID]</t>
  </si>
  <si>
    <t xml:space="preserve">Open</t>
  </si>
  <si>
    <t xml:space="preserve">Traceability — every audience maps to a Communications Plan entry, a training item, and a readiness gate criterion</t>
  </si>
  <si>
    <t xml:space="preserve">Communications Plan Entry (phase &amp; calendar row)</t>
  </si>
  <si>
    <t xml:space="preserve">Training Item</t>
  </si>
  <si>
    <t xml:space="preserve">Readiness Gate Criterion</t>
  </si>
  <si>
    <t xml:space="preserve">Trace Status</t>
  </si>
  <si>
    <t xml:space="preserve">Communications Plan: Action phase — wave briefing, testing digest, go-live confirmation</t>
  </si>
  <si>
    <t xml:space="preserve">SSO test-plan workshop + validation job aid</t>
  </si>
  <si>
    <t xml:space="preserve">Go-Live gate: 100% Wave 1 applications validated and signed off</t>
  </si>
  <si>
    <t xml:space="preserve">Impact Summary — automatic counts for gate reviews and status reporting</t>
  </si>
  <si>
    <t xml:space="preserve">Overall Impact (change-audience pairs)</t>
  </si>
  <si>
    <t xml:space="preserve">Low</t>
  </si>
  <si>
    <t xml:space="preserve">During Testing</t>
  </si>
  <si>
    <t xml:space="preserve">At Go-Live</t>
  </si>
  <si>
    <t xml:space="preserve">Post-Stabilization</t>
  </si>
  <si>
    <t xml:space="preserve">Readiness Requirement Status</t>
  </si>
  <si>
    <t xml:space="preserve">Not Started</t>
  </si>
  <si>
    <t xml:space="preserve">Complete</t>
  </si>
  <si>
    <t xml:space="preserve">At Risk</t>
  </si>
  <si>
    <t xml:space="preserve">Traceability</t>
  </si>
  <si>
    <t xml:space="preserve">Gap</t>
  </si>
  <si>
    <t xml:space="preserve">Open Resistance Flags</t>
  </si>
  <si>
    <t xml:space="preserve">Mitigating</t>
  </si>
  <si>
    <t xml:space="preserve">Counts include worked example rows until they are replaced with real data.</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</si>
</sst>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i val="true"/>
      <sz val="10"/>
      <color rgb="FF595959"/>
      <name val="Arial"/>
      <family val="0"/>
      <charset val="1"/>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EDEDED"/>
        <bgColor rgb="FFD9EA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CCCC"/>
        </patternFill>
      </fill>
    </dxf>
    <dxf>
      <fill>
        <patternFill>
          <bgColor rgb="FFFCE5CD"/>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5CD"/>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84"/>
  </cols>
  <sheetData>
    <row r="1" customFormat="false" ht="25.5" hidden="false" customHeight="true" outlineLevel="0" collapsed="false">
      <c r="A1" s="2" t="s">
        <v>0</v>
      </c>
      <c r="B1" s="2"/>
      <c r="C1" s="2"/>
    </row>
    <row r="2" customFormat="false" ht="15" hidden="false" customHeight="true" outlineLevel="0" collapsed="false"/>
    <row r="3" customFormat="false" ht="15" hidden="false" customHeight="true" outlineLevel="0" collapsed="false">
      <c r="B3" s="3" t="s">
        <v>1</v>
      </c>
      <c r="C3" s="4" t="s">
        <v>2</v>
      </c>
    </row>
    <row r="4" customFormat="false" ht="15" hidden="false" customHeight="true" outlineLevel="0" collapsed="false">
      <c r="B4" s="3" t="s">
        <v>3</v>
      </c>
      <c r="C4" s="4" t="s">
        <v>4</v>
      </c>
    </row>
    <row r="5" customFormat="false" ht="15" hidden="false" customHeight="true" outlineLevel="0" collapsed="false">
      <c r="B5" s="3" t="s">
        <v>5</v>
      </c>
      <c r="C5" s="4" t="s">
        <v>6</v>
      </c>
    </row>
    <row r="6" customFormat="false" ht="15" hidden="false" customHeight="true" outlineLevel="0" collapsed="false">
      <c r="B6" s="3" t="s">
        <v>7</v>
      </c>
      <c r="C6" s="4" t="s">
        <v>8</v>
      </c>
    </row>
    <row r="7" customFormat="false" ht="15" hidden="false" customHeight="true" outlineLevel="0" collapsed="false">
      <c r="B7" s="3" t="s">
        <v>9</v>
      </c>
      <c r="C7" s="4" t="s">
        <v>10</v>
      </c>
    </row>
    <row r="8" customFormat="false" ht="15" hidden="false" customHeight="true" outlineLevel="0" collapsed="false">
      <c r="B8" s="3" t="s">
        <v>11</v>
      </c>
      <c r="C8" s="4" t="s">
        <v>12</v>
      </c>
    </row>
    <row r="9" customFormat="false" ht="15" hidden="false" customHeight="true" outlineLevel="0" collapsed="false">
      <c r="B9" s="3" t="s">
        <v>13</v>
      </c>
      <c r="C9" s="4" t="s">
        <v>14</v>
      </c>
    </row>
    <row r="10" customFormat="false" ht="27.75" hidden="false" customHeight="true" outlineLevel="0" collapsed="false">
      <c r="B10" s="3" t="s">
        <v>15</v>
      </c>
      <c r="C10" s="4" t="s">
        <v>16</v>
      </c>
    </row>
    <row r="11" customFormat="false" ht="27.75" hidden="false" customHeight="true" outlineLevel="0" collapsed="false">
      <c r="B11" s="3" t="s">
        <v>17</v>
      </c>
      <c r="C11" s="4" t="s">
        <v>18</v>
      </c>
    </row>
    <row r="12" customFormat="false" ht="27.75" hidden="false" customHeight="true" outlineLevel="0" collapsed="false">
      <c r="B12" s="3" t="s">
        <v>19</v>
      </c>
      <c r="C12" s="4" t="s">
        <v>20</v>
      </c>
    </row>
    <row r="13" customFormat="false" ht="27.75" hidden="false" customHeight="true" outlineLevel="0" collapsed="false">
      <c r="B13" s="3"/>
      <c r="C13" s="4" t="s">
        <v>21</v>
      </c>
    </row>
    <row r="14" customFormat="false" ht="27.75" hidden="false" customHeight="true" outlineLevel="0" collapsed="false">
      <c r="B14" s="3"/>
      <c r="C14" s="4" t="s">
        <v>22</v>
      </c>
    </row>
    <row r="15" customFormat="false" ht="27.75" hidden="false" customHeight="true" outlineLevel="0" collapsed="false">
      <c r="B15" s="3"/>
      <c r="C15" s="4" t="s">
        <v>23</v>
      </c>
    </row>
    <row r="16" customFormat="false" ht="27.75" hidden="false" customHeight="true" outlineLevel="0" collapsed="false">
      <c r="B16" s="3"/>
      <c r="C16" s="4" t="s">
        <v>24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10"/>
  </cols>
  <sheetData>
    <row r="1" customFormat="false" ht="25.5" hidden="false" customHeight="true" outlineLevel="0" collapsed="false">
      <c r="A1" s="2" t="s">
        <v>25</v>
      </c>
      <c r="B1" s="2"/>
    </row>
    <row r="3" customFormat="false" ht="15" hidden="false" customHeight="true" outlineLevel="0" collapsed="false">
      <c r="B3" s="5" t="s">
        <v>26</v>
      </c>
    </row>
    <row r="4" customFormat="false" ht="42" hidden="false" customHeight="true" outlineLevel="0" collapsed="false">
      <c r="B4" s="6" t="s">
        <v>27</v>
      </c>
    </row>
    <row r="5" customFormat="false" ht="15" hidden="false" customHeight="true" outlineLevel="0" collapsed="false">
      <c r="B5" s="5" t="s">
        <v>28</v>
      </c>
    </row>
    <row r="6" customFormat="false" ht="69.75" hidden="false" customHeight="true" outlineLevel="0" collapsed="false">
      <c r="B6" s="6" t="s">
        <v>29</v>
      </c>
    </row>
    <row r="7" customFormat="false" ht="15" hidden="false" customHeight="true" outlineLevel="0" collapsed="false">
      <c r="B7" s="5" t="s">
        <v>30</v>
      </c>
    </row>
    <row r="8" customFormat="false" ht="27.75" hidden="false" customHeight="true" outlineLevel="0" collapsed="false">
      <c r="B8" s="6" t="s">
        <v>31</v>
      </c>
    </row>
    <row r="9" customFormat="false" ht="42" hidden="false" customHeight="true" outlineLevel="0" collapsed="false">
      <c r="B9" s="6" t="s">
        <v>32</v>
      </c>
    </row>
    <row r="10" customFormat="false" ht="27.75" hidden="false" customHeight="true" outlineLevel="0" collapsed="false">
      <c r="B10" s="6" t="s">
        <v>33</v>
      </c>
    </row>
    <row r="11" customFormat="false" ht="27.75" hidden="false" customHeight="true" outlineLevel="0" collapsed="false">
      <c r="B11" s="6" t="s">
        <v>34</v>
      </c>
    </row>
    <row r="12" customFormat="false" ht="27.75" hidden="false" customHeight="true" outlineLevel="0" collapsed="false">
      <c r="B12" s="6" t="s">
        <v>35</v>
      </c>
    </row>
    <row r="13" customFormat="false" ht="27.75" hidden="false" customHeight="true" outlineLevel="0" collapsed="false">
      <c r="B13" s="6" t="s">
        <v>36</v>
      </c>
    </row>
    <row r="14" customFormat="false" ht="27.75" hidden="false" customHeight="true" outlineLevel="0" collapsed="false">
      <c r="B14" s="6" t="s">
        <v>37</v>
      </c>
    </row>
    <row r="15" customFormat="false" ht="15" hidden="false" customHeight="true" outlineLevel="0" collapsed="false">
      <c r="B15" s="6" t="s">
        <v>38</v>
      </c>
    </row>
    <row r="16" customFormat="false" ht="15" hidden="false" customHeight="true" outlineLevel="0" collapsed="false">
      <c r="B16" s="5" t="s">
        <v>39</v>
      </c>
    </row>
    <row r="17" customFormat="false" ht="55.5" hidden="false" customHeight="true" outlineLevel="0" collapsed="false">
      <c r="B17" s="6" t="s">
        <v>40</v>
      </c>
    </row>
    <row r="18" customFormat="false" ht="15" hidden="false" customHeight="true" outlineLevel="0" collapsed="false">
      <c r="B18" s="5" t="s">
        <v>41</v>
      </c>
    </row>
    <row r="19" customFormat="false" ht="42" hidden="false" customHeight="true" outlineLevel="0" collapsed="false">
      <c r="B19" s="6" t="s">
        <v>42</v>
      </c>
    </row>
    <row r="20" customFormat="false" ht="15" hidden="false" customHeight="true" outlineLevel="0" collapsed="false">
      <c r="B20" s="5" t="s">
        <v>43</v>
      </c>
    </row>
    <row r="21" customFormat="false" ht="42" hidden="false" customHeight="true" outlineLevel="0" collapsed="false">
      <c r="B21" s="6" t="s">
        <v>44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4" min="2" style="1" width="48"/>
  </cols>
  <sheetData>
    <row r="1" customFormat="false" ht="25.5" hidden="false" customHeight="true" outlineLevel="0" collapsed="false">
      <c r="A1" s="2" t="s">
        <v>45</v>
      </c>
      <c r="B1" s="2"/>
      <c r="C1" s="2"/>
      <c r="D1" s="2"/>
    </row>
    <row r="2" customFormat="false" ht="30" hidden="false" customHeight="true" outlineLevel="0" collapsed="false">
      <c r="A2" s="7" t="s">
        <v>46</v>
      </c>
      <c r="B2" s="7" t="s">
        <v>47</v>
      </c>
      <c r="C2" s="7" t="s">
        <v>48</v>
      </c>
      <c r="D2" s="7" t="s">
        <v>49</v>
      </c>
    </row>
    <row r="3" customFormat="false" ht="42" hidden="false" customHeight="true" outlineLevel="0" collapsed="false">
      <c r="A3" s="8" t="s">
        <v>50</v>
      </c>
      <c r="B3" s="4" t="s">
        <v>51</v>
      </c>
      <c r="C3" s="4" t="s">
        <v>52</v>
      </c>
      <c r="D3" s="4" t="s">
        <v>53</v>
      </c>
    </row>
    <row r="4" customFormat="false" ht="42" hidden="false" customHeight="true" outlineLevel="0" collapsed="false">
      <c r="A4" s="8" t="s">
        <v>54</v>
      </c>
      <c r="B4" s="4" t="s">
        <v>55</v>
      </c>
      <c r="C4" s="4" t="s">
        <v>56</v>
      </c>
      <c r="D4" s="4" t="s">
        <v>57</v>
      </c>
    </row>
    <row r="5" customFormat="false" ht="42" hidden="false" customHeight="true" outlineLevel="0" collapsed="false">
      <c r="A5" s="8" t="s">
        <v>58</v>
      </c>
      <c r="B5" s="4" t="s">
        <v>59</v>
      </c>
      <c r="C5" s="4" t="s">
        <v>60</v>
      </c>
      <c r="D5" s="4" t="s">
        <v>61</v>
      </c>
    </row>
    <row r="6" customFormat="false" ht="42" hidden="false" customHeight="true" outlineLevel="0" collapsed="false">
      <c r="A6" s="8" t="s">
        <v>62</v>
      </c>
      <c r="B6" s="4" t="s">
        <v>63</v>
      </c>
      <c r="C6" s="4" t="s">
        <v>64</v>
      </c>
      <c r="D6" s="4" t="s">
        <v>65</v>
      </c>
    </row>
    <row r="7" customFormat="false" ht="42" hidden="false" customHeight="true" outlineLevel="0" collapsed="false">
      <c r="A7" s="8" t="s">
        <v>66</v>
      </c>
      <c r="B7" s="4" t="s">
        <v>67</v>
      </c>
      <c r="C7" s="4" t="s">
        <v>68</v>
      </c>
      <c r="D7" s="4" t="s">
        <v>69</v>
      </c>
    </row>
    <row r="8" customFormat="false" ht="42" hidden="false" customHeight="true" outlineLevel="0" collapsed="false">
      <c r="A8" s="8" t="s">
        <v>70</v>
      </c>
      <c r="B8" s="4" t="s">
        <v>71</v>
      </c>
      <c r="C8" s="4" t="s">
        <v>72</v>
      </c>
      <c r="D8" s="4" t="s">
        <v>73</v>
      </c>
    </row>
    <row r="9" customFormat="false" ht="42" hidden="false" customHeight="true" outlineLevel="0" collapsed="false">
      <c r="A9" s="8" t="s">
        <v>74</v>
      </c>
      <c r="B9" s="4" t="s">
        <v>75</v>
      </c>
      <c r="C9" s="4" t="s">
        <v>76</v>
      </c>
      <c r="D9" s="4" t="s">
        <v>77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6"/>
    <col collapsed="false" customWidth="true" hidden="false" outlineLevel="0" max="3" min="3" style="1" width="42"/>
    <col collapsed="false" customWidth="true" hidden="false" outlineLevel="0" max="5" min="4" style="1" width="32"/>
    <col collapsed="false" customWidth="true" hidden="false" outlineLevel="0" max="6" min="6" style="1" width="16"/>
    <col collapsed="false" customWidth="true" hidden="false" outlineLevel="0" max="7" min="7" style="1" width="20"/>
    <col collapsed="false" customWidth="true" hidden="false" outlineLevel="0" max="8" min="8" style="1" width="14"/>
  </cols>
  <sheetData>
    <row r="1" customFormat="false" ht="25.5" hidden="false" customHeight="true" outlineLevel="0" collapsed="false">
      <c r="A1" s="2" t="s">
        <v>78</v>
      </c>
      <c r="B1" s="2"/>
      <c r="C1" s="2"/>
      <c r="D1" s="2"/>
      <c r="E1" s="2"/>
      <c r="F1" s="2"/>
      <c r="G1" s="2"/>
      <c r="H1" s="2"/>
    </row>
    <row r="2" customFormat="false" ht="30" hidden="false" customHeight="true" outlineLevel="0" collapsed="false">
      <c r="A2" s="7" t="s">
        <v>79</v>
      </c>
      <c r="B2" s="7" t="s">
        <v>80</v>
      </c>
      <c r="C2" s="7" t="s">
        <v>81</v>
      </c>
      <c r="D2" s="7" t="s">
        <v>82</v>
      </c>
      <c r="E2" s="7" t="s">
        <v>83</v>
      </c>
      <c r="F2" s="7" t="s">
        <v>84</v>
      </c>
      <c r="G2" s="7" t="s">
        <v>85</v>
      </c>
      <c r="H2" s="7" t="s">
        <v>86</v>
      </c>
    </row>
    <row r="3" customFormat="false" ht="34.5" hidden="false" customHeight="true" outlineLevel="0" collapsed="false">
      <c r="A3" s="4" t="s">
        <v>87</v>
      </c>
      <c r="B3" s="4" t="s">
        <v>88</v>
      </c>
      <c r="C3" s="4" t="s">
        <v>89</v>
      </c>
      <c r="D3" s="4" t="s">
        <v>90</v>
      </c>
      <c r="E3" s="4" t="s">
        <v>91</v>
      </c>
      <c r="F3" s="4"/>
      <c r="G3" s="4"/>
      <c r="H3" s="4" t="s">
        <v>92</v>
      </c>
    </row>
    <row r="4" customFormat="false" ht="23.25" hidden="false" customHeight="true" outlineLevel="0" collapsed="false">
      <c r="A4" s="4" t="s">
        <v>93</v>
      </c>
      <c r="B4" s="4" t="s">
        <v>94</v>
      </c>
      <c r="C4" s="4" t="s">
        <v>95</v>
      </c>
      <c r="D4" s="4" t="s">
        <v>90</v>
      </c>
      <c r="E4" s="4" t="s">
        <v>91</v>
      </c>
      <c r="F4" s="4"/>
      <c r="G4" s="4"/>
      <c r="H4" s="4" t="s">
        <v>92</v>
      </c>
    </row>
    <row r="5" customFormat="false" ht="23.25" hidden="false" customHeight="true" outlineLevel="0" collapsed="false">
      <c r="A5" s="4" t="s">
        <v>96</v>
      </c>
      <c r="B5" s="4" t="s">
        <v>97</v>
      </c>
      <c r="C5" s="4" t="s">
        <v>98</v>
      </c>
      <c r="D5" s="4" t="s">
        <v>90</v>
      </c>
      <c r="E5" s="4" t="s">
        <v>91</v>
      </c>
      <c r="F5" s="4"/>
      <c r="G5" s="4"/>
      <c r="H5" s="4" t="s">
        <v>92</v>
      </c>
    </row>
    <row r="6" customFormat="false" ht="23.25" hidden="false" customHeight="true" outlineLevel="0" collapsed="false">
      <c r="A6" s="4" t="s">
        <v>99</v>
      </c>
      <c r="B6" s="4" t="s">
        <v>100</v>
      </c>
      <c r="C6" s="4" t="s">
        <v>101</v>
      </c>
      <c r="D6" s="4" t="s">
        <v>90</v>
      </c>
      <c r="E6" s="4" t="s">
        <v>91</v>
      </c>
      <c r="F6" s="4"/>
      <c r="G6" s="4"/>
      <c r="H6" s="4" t="s">
        <v>92</v>
      </c>
    </row>
    <row r="7" customFormat="false" ht="15" hidden="false" customHeight="true" outlineLevel="0" collapsed="false">
      <c r="A7" s="4"/>
      <c r="B7" s="4"/>
      <c r="C7" s="4"/>
      <c r="D7" s="4"/>
      <c r="E7" s="4"/>
      <c r="F7" s="4"/>
      <c r="G7" s="4"/>
      <c r="H7" s="4"/>
    </row>
    <row r="8" customFormat="false" ht="15" hidden="false" customHeight="true" outlineLevel="0" collapsed="false">
      <c r="A8" s="4"/>
      <c r="B8" s="4"/>
      <c r="C8" s="4"/>
      <c r="D8" s="4"/>
      <c r="E8" s="4"/>
      <c r="F8" s="4"/>
      <c r="G8" s="4"/>
      <c r="H8" s="4"/>
    </row>
    <row r="9" customFormat="false" ht="15" hidden="false" customHeight="true" outlineLevel="0" collapsed="false">
      <c r="A9" s="4"/>
      <c r="B9" s="4"/>
      <c r="C9" s="4"/>
      <c r="D9" s="4"/>
      <c r="E9" s="4"/>
      <c r="F9" s="4"/>
      <c r="G9" s="4"/>
      <c r="H9" s="4"/>
    </row>
    <row r="10" customFormat="false" ht="15" hidden="false" customHeight="true" outlineLevel="0" collapsed="false">
      <c r="A10" s="4"/>
      <c r="B10" s="4"/>
      <c r="C10" s="4"/>
      <c r="D10" s="4"/>
      <c r="E10" s="4"/>
      <c r="F10" s="4"/>
      <c r="G10" s="4"/>
      <c r="H10" s="4"/>
    </row>
    <row r="11" customFormat="false" ht="15" hidden="false" customHeight="true" outlineLevel="0" collapsed="false">
      <c r="A11" s="4"/>
      <c r="B11" s="4"/>
      <c r="C11" s="4"/>
      <c r="D11" s="4"/>
      <c r="E11" s="4"/>
      <c r="F11" s="4"/>
      <c r="G11" s="4"/>
      <c r="H11" s="4"/>
    </row>
    <row r="12" customFormat="false" ht="15" hidden="false" customHeight="true" outlineLevel="0" collapsed="false">
      <c r="A12" s="4"/>
      <c r="B12" s="4"/>
      <c r="C12" s="4"/>
      <c r="D12" s="4"/>
      <c r="E12" s="4"/>
      <c r="F12" s="4"/>
      <c r="G12" s="4"/>
      <c r="H12" s="4"/>
    </row>
    <row r="13" customFormat="false" ht="15" hidden="false" customHeight="true" outlineLevel="0" collapsed="false">
      <c r="A13" s="4"/>
      <c r="B13" s="4"/>
      <c r="C13" s="4"/>
      <c r="D13" s="4"/>
      <c r="E13" s="4"/>
      <c r="F13" s="4"/>
      <c r="G13" s="4"/>
      <c r="H13" s="4"/>
    </row>
    <row r="14" customFormat="false" ht="15" hidden="false" customHeight="true" outlineLevel="0" collapsed="false">
      <c r="A14" s="4"/>
      <c r="B14" s="4"/>
      <c r="C14" s="4"/>
      <c r="D14" s="4"/>
      <c r="E14" s="4"/>
      <c r="F14" s="4"/>
      <c r="G14" s="4"/>
      <c r="H14" s="4"/>
    </row>
    <row r="15" customFormat="false" ht="15" hidden="false" customHeight="true" outlineLevel="0" collapsed="false">
      <c r="A15" s="4"/>
      <c r="B15" s="4"/>
      <c r="C15" s="4"/>
      <c r="D15" s="4"/>
      <c r="E15" s="4"/>
      <c r="F15" s="4"/>
      <c r="G15" s="4"/>
      <c r="H15" s="4"/>
    </row>
    <row r="16" customFormat="false" ht="15" hidden="false" customHeight="true" outlineLevel="0" collapsed="false">
      <c r="A16" s="4"/>
      <c r="B16" s="4"/>
      <c r="C16" s="4"/>
      <c r="D16" s="4"/>
      <c r="E16" s="4"/>
      <c r="F16" s="4"/>
      <c r="G16" s="4"/>
      <c r="H16" s="4"/>
    </row>
    <row r="17" customFormat="false" ht="15" hidden="false" customHeight="true" outlineLevel="0" collapsed="false">
      <c r="A17" s="4"/>
      <c r="B17" s="4"/>
      <c r="C17" s="4"/>
      <c r="D17" s="4"/>
      <c r="E17" s="4"/>
      <c r="F17" s="4"/>
      <c r="G17" s="4"/>
      <c r="H17" s="4"/>
    </row>
    <row r="18" customFormat="false" ht="15" hidden="false" customHeight="true" outlineLevel="0" collapsed="false">
      <c r="A18" s="4"/>
      <c r="B18" s="4"/>
      <c r="C18" s="4"/>
      <c r="D18" s="4"/>
      <c r="E18" s="4"/>
      <c r="F18" s="4"/>
      <c r="G18" s="4"/>
      <c r="H18" s="4"/>
    </row>
    <row r="19" customFormat="false" ht="15" hidden="false" customHeight="true" outlineLevel="0" collapsed="false">
      <c r="A19" s="4"/>
      <c r="B19" s="4"/>
      <c r="C19" s="4"/>
      <c r="D19" s="4"/>
      <c r="E19" s="4"/>
      <c r="F19" s="4"/>
      <c r="G19" s="4"/>
      <c r="H19" s="4"/>
    </row>
    <row r="20" customFormat="false" ht="15" hidden="false" customHeight="true" outlineLevel="0" collapsed="false">
      <c r="A20" s="4"/>
      <c r="B20" s="4"/>
      <c r="C20" s="4"/>
      <c r="D20" s="4"/>
      <c r="E20" s="4"/>
      <c r="F20" s="4"/>
      <c r="G20" s="4"/>
      <c r="H20" s="4"/>
    </row>
    <row r="21" customFormat="false" ht="15" hidden="false" customHeight="true" outlineLevel="0" collapsed="false">
      <c r="A21" s="4"/>
      <c r="B21" s="4"/>
      <c r="C21" s="4"/>
      <c r="D21" s="4"/>
      <c r="E21" s="4"/>
      <c r="F21" s="4"/>
      <c r="G21" s="4"/>
      <c r="H21" s="4"/>
    </row>
    <row r="22" customFormat="false" ht="15" hidden="false" customHeight="true" outlineLevel="0" collapsed="false">
      <c r="A22" s="4"/>
      <c r="B22" s="4"/>
      <c r="C22" s="4"/>
      <c r="D22" s="4"/>
      <c r="E22" s="4"/>
      <c r="F22" s="4"/>
      <c r="G22" s="4"/>
      <c r="H22" s="4"/>
    </row>
    <row r="23" customFormat="false" ht="15" hidden="false" customHeight="true" outlineLevel="0" collapsed="false">
      <c r="A23" s="4"/>
      <c r="B23" s="4"/>
      <c r="C23" s="4"/>
      <c r="D23" s="4"/>
      <c r="E23" s="4"/>
      <c r="F23" s="4"/>
      <c r="G23" s="4"/>
      <c r="H23" s="4"/>
    </row>
    <row r="24" customFormat="false" ht="15" hidden="false" customHeight="true" outlineLevel="0" collapsed="false">
      <c r="A24" s="4"/>
      <c r="B24" s="4"/>
      <c r="C24" s="4"/>
      <c r="D24" s="4"/>
      <c r="E24" s="4"/>
      <c r="F24" s="4"/>
      <c r="G24" s="4"/>
      <c r="H24" s="4"/>
    </row>
    <row r="25" customFormat="false" ht="15" hidden="false" customHeight="true" outlineLevel="0" collapsed="false">
      <c r="A25" s="4"/>
      <c r="B25" s="4"/>
      <c r="C25" s="4"/>
      <c r="D25" s="4"/>
      <c r="E25" s="4"/>
      <c r="F25" s="4"/>
      <c r="G25" s="4"/>
      <c r="H25" s="4"/>
    </row>
    <row r="26" customFormat="false" ht="15" hidden="false" customHeight="true" outlineLevel="0" collapsed="false">
      <c r="A26" s="4"/>
      <c r="B26" s="4"/>
      <c r="C26" s="4"/>
      <c r="D26" s="4"/>
      <c r="E26" s="4"/>
      <c r="F26" s="4"/>
      <c r="G26" s="4"/>
      <c r="H26" s="4"/>
    </row>
    <row r="27" customFormat="false" ht="15" hidden="false" customHeight="true" outlineLevel="0" collapsed="false">
      <c r="A27" s="4"/>
      <c r="B27" s="4"/>
      <c r="C27" s="4"/>
      <c r="D27" s="4"/>
      <c r="E27" s="4"/>
      <c r="F27" s="4"/>
      <c r="G27" s="4"/>
      <c r="H27" s="4"/>
    </row>
    <row r="28" customFormat="false" ht="15" hidden="false" customHeight="true" outlineLevel="0" collapsed="false">
      <c r="A28" s="4"/>
      <c r="B28" s="4"/>
      <c r="C28" s="4"/>
      <c r="D28" s="4"/>
      <c r="E28" s="4"/>
      <c r="F28" s="4"/>
      <c r="G28" s="4"/>
      <c r="H28" s="4"/>
    </row>
    <row r="29" customFormat="false" ht="15" hidden="false" customHeight="true" outlineLevel="0" collapsed="false">
      <c r="A29" s="4"/>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2" customFormat="false" ht="15" hidden="false" customHeight="true" outlineLevel="0" collapsed="false">
      <c r="A32" s="4"/>
      <c r="B32" s="4"/>
      <c r="C32" s="4"/>
      <c r="D32" s="4"/>
      <c r="E32" s="4"/>
      <c r="F32" s="4"/>
      <c r="G32" s="4"/>
      <c r="H32" s="4"/>
    </row>
    <row r="33" customFormat="false" ht="15" hidden="false" customHeight="true" outlineLevel="0" collapsed="false">
      <c r="A33" s="4"/>
      <c r="B33" s="4"/>
      <c r="C33" s="4"/>
      <c r="D33" s="4"/>
      <c r="E33" s="4"/>
      <c r="F33" s="4"/>
      <c r="G33" s="4"/>
      <c r="H33" s="4"/>
    </row>
    <row r="34" customFormat="false" ht="15" hidden="false" customHeight="true" outlineLevel="0" collapsed="false">
      <c r="A34" s="4"/>
      <c r="B34" s="4"/>
      <c r="C34" s="4"/>
      <c r="D34" s="4"/>
      <c r="E34" s="4"/>
      <c r="F34" s="4"/>
      <c r="G34" s="4"/>
      <c r="H34" s="4"/>
    </row>
    <row r="35" customFormat="false" ht="15" hidden="false" customHeight="true" outlineLevel="0" collapsed="false">
      <c r="A35" s="4"/>
      <c r="B35" s="4"/>
      <c r="C35" s="4"/>
      <c r="D35" s="4"/>
      <c r="E35" s="4"/>
      <c r="F35" s="4"/>
      <c r="G35" s="4"/>
      <c r="H35" s="4"/>
    </row>
    <row r="36" customFormat="false" ht="15" hidden="false" customHeight="true" outlineLevel="0" collapsed="false">
      <c r="A36" s="4"/>
      <c r="B36" s="4"/>
      <c r="C36" s="4"/>
      <c r="D36" s="4"/>
      <c r="E36" s="4"/>
      <c r="F36" s="4"/>
      <c r="G36" s="4"/>
      <c r="H36" s="4"/>
    </row>
    <row r="37" customFormat="false" ht="15" hidden="false" customHeight="true" outlineLevel="0" collapsed="false">
      <c r="A37" s="4"/>
      <c r="B37" s="4"/>
      <c r="C37" s="4"/>
      <c r="D37" s="4"/>
      <c r="E37" s="4"/>
      <c r="F37" s="4"/>
      <c r="G37" s="4"/>
      <c r="H37" s="4"/>
    </row>
    <row r="38" customFormat="false" ht="15" hidden="false" customHeight="true" outlineLevel="0" collapsed="false">
      <c r="A38" s="4"/>
      <c r="B38" s="4"/>
      <c r="C38" s="4"/>
      <c r="D38" s="4"/>
      <c r="E38" s="4"/>
      <c r="F38" s="4"/>
      <c r="G38" s="4"/>
      <c r="H38" s="4"/>
    </row>
    <row r="39" customFormat="false" ht="15" hidden="false" customHeight="true" outlineLevel="0" collapsed="false">
      <c r="A39" s="4"/>
      <c r="B39" s="4"/>
      <c r="C39" s="4"/>
      <c r="D39" s="4"/>
      <c r="E39" s="4"/>
      <c r="F39" s="4"/>
      <c r="G39" s="4"/>
      <c r="H39" s="4"/>
    </row>
    <row r="40" customFormat="false" ht="15" hidden="false" customHeight="true" outlineLevel="0" collapsed="false">
      <c r="A40" s="4"/>
      <c r="B40" s="4"/>
      <c r="C40" s="4"/>
      <c r="D40" s="4"/>
      <c r="E40" s="4"/>
      <c r="F40" s="4"/>
      <c r="G40" s="4"/>
      <c r="H40" s="4"/>
    </row>
    <row r="41" customFormat="false" ht="15" hidden="false" customHeight="true" outlineLevel="0" collapsed="false">
      <c r="A41" s="4"/>
      <c r="B41" s="4"/>
      <c r="C41" s="4"/>
      <c r="D41" s="4"/>
      <c r="E41" s="4"/>
      <c r="F41" s="4"/>
      <c r="G41" s="4"/>
      <c r="H41" s="4"/>
    </row>
    <row r="42" customFormat="false" ht="15" hidden="false" customHeight="true" outlineLevel="0" collapsed="false">
      <c r="A42" s="4"/>
      <c r="B42" s="4"/>
      <c r="C42" s="4"/>
      <c r="D42" s="4"/>
      <c r="E42" s="4"/>
      <c r="F42" s="4"/>
      <c r="G42" s="4"/>
      <c r="H42" s="4"/>
    </row>
    <row r="43" customFormat="false" ht="15" hidden="false" customHeight="true" outlineLevel="0" collapsed="false">
      <c r="A43" s="4"/>
      <c r="B43" s="4"/>
      <c r="C43" s="4"/>
      <c r="D43" s="4"/>
      <c r="E43" s="4"/>
      <c r="F43" s="4"/>
      <c r="G43" s="4"/>
      <c r="H43" s="4"/>
    </row>
    <row r="44" customFormat="false" ht="15" hidden="false" customHeight="true" outlineLevel="0" collapsed="false">
      <c r="A44" s="4"/>
      <c r="B44" s="4"/>
      <c r="C44" s="4"/>
      <c r="D44" s="4"/>
      <c r="E44" s="4"/>
      <c r="F44" s="4"/>
      <c r="G44" s="4"/>
      <c r="H44" s="4"/>
    </row>
    <row r="45" customFormat="false" ht="15" hidden="false" customHeight="true" outlineLevel="0" collapsed="false">
      <c r="A45" s="4"/>
      <c r="B45" s="4"/>
      <c r="C45" s="4"/>
      <c r="D45" s="4"/>
      <c r="E45" s="4"/>
      <c r="F45" s="4"/>
      <c r="G45" s="4"/>
      <c r="H45" s="4"/>
    </row>
    <row r="46" customFormat="false" ht="15" hidden="false" customHeight="true" outlineLevel="0" collapsed="false">
      <c r="A46" s="4"/>
      <c r="B46" s="4"/>
      <c r="C46" s="4"/>
      <c r="D46" s="4"/>
      <c r="E46" s="4"/>
      <c r="F46" s="4"/>
      <c r="G46" s="4"/>
      <c r="H46" s="4"/>
    </row>
    <row r="47" customFormat="false" ht="15" hidden="false" customHeight="true" outlineLevel="0" collapsed="false">
      <c r="A47" s="4"/>
      <c r="B47" s="4"/>
      <c r="C47" s="4"/>
      <c r="D47" s="4"/>
      <c r="E47" s="4"/>
      <c r="F47" s="4"/>
      <c r="G47" s="4"/>
      <c r="H47" s="4"/>
    </row>
    <row r="48" customFormat="false" ht="15" hidden="false" customHeight="true" outlineLevel="0" collapsed="false">
      <c r="A48" s="4"/>
      <c r="B48" s="4"/>
      <c r="C48" s="4"/>
      <c r="D48" s="4"/>
      <c r="E48" s="4"/>
      <c r="F48" s="4"/>
      <c r="G48" s="4"/>
      <c r="H48" s="4"/>
    </row>
    <row r="49" customFormat="false" ht="15" hidden="false" customHeight="true" outlineLevel="0" collapsed="false">
      <c r="A49" s="4"/>
      <c r="B49" s="4"/>
      <c r="C49" s="4"/>
      <c r="D49" s="4"/>
      <c r="E49" s="4"/>
      <c r="F49" s="4"/>
      <c r="G49" s="4"/>
      <c r="H49" s="4"/>
    </row>
    <row r="50" customFormat="false" ht="15" hidden="false" customHeight="true" outlineLevel="0" collapsed="false">
      <c r="A50" s="4"/>
      <c r="B50" s="4"/>
      <c r="C50" s="4"/>
      <c r="D50" s="4"/>
      <c r="E50" s="4"/>
      <c r="F50" s="4"/>
      <c r="G50" s="4"/>
      <c r="H50" s="4"/>
    </row>
    <row r="51" customFormat="false" ht="15" hidden="false" customHeight="true" outlineLevel="0" collapsed="false">
      <c r="A51" s="4"/>
      <c r="B51" s="4"/>
      <c r="C51" s="4"/>
      <c r="D51" s="4"/>
      <c r="E51" s="4"/>
      <c r="F51" s="4"/>
      <c r="G51" s="4"/>
      <c r="H51" s="4"/>
    </row>
    <row r="52" customFormat="false" ht="15" hidden="false" customHeight="true" outlineLevel="0" collapsed="false">
      <c r="A52" s="4"/>
      <c r="B52" s="4"/>
      <c r="C52" s="4"/>
      <c r="D52" s="4"/>
      <c r="E52" s="4"/>
      <c r="F52" s="4"/>
      <c r="G52" s="4"/>
      <c r="H52" s="4"/>
    </row>
    <row r="53" customFormat="false" ht="15" hidden="false" customHeight="true" outlineLevel="0" collapsed="false">
      <c r="A53" s="4"/>
      <c r="B53" s="4"/>
      <c r="C53" s="4"/>
      <c r="D53" s="4"/>
      <c r="E53" s="4"/>
      <c r="F53" s="4"/>
      <c r="G53" s="4"/>
      <c r="H53" s="4"/>
    </row>
    <row r="54" customFormat="false" ht="15" hidden="false" customHeight="true" outlineLevel="0" collapsed="false">
      <c r="A54" s="4"/>
      <c r="B54" s="4"/>
      <c r="C54" s="4"/>
      <c r="D54" s="4"/>
      <c r="E54" s="4"/>
      <c r="F54" s="4"/>
      <c r="G54" s="4"/>
      <c r="H54" s="4"/>
    </row>
    <row r="55" customFormat="false" ht="15" hidden="false" customHeight="true" outlineLevel="0" collapsed="false">
      <c r="A55" s="4"/>
      <c r="B55" s="4"/>
      <c r="C55" s="4"/>
      <c r="D55" s="4"/>
      <c r="E55" s="4"/>
      <c r="F55" s="4"/>
      <c r="G55" s="4"/>
      <c r="H55" s="4"/>
    </row>
    <row r="56" customFormat="false" ht="15" hidden="false" customHeight="true" outlineLevel="0" collapsed="false">
      <c r="A56" s="4"/>
      <c r="B56" s="4"/>
      <c r="C56" s="4"/>
      <c r="D56" s="4"/>
      <c r="E56" s="4"/>
      <c r="F56" s="4"/>
      <c r="G56" s="4"/>
      <c r="H56" s="4"/>
    </row>
    <row r="57" customFormat="false" ht="15" hidden="false" customHeight="true" outlineLevel="0" collapsed="false">
      <c r="A57" s="4"/>
      <c r="B57" s="4"/>
      <c r="C57" s="4"/>
      <c r="D57" s="4"/>
      <c r="E57" s="4"/>
      <c r="F57" s="4"/>
      <c r="G57" s="4"/>
      <c r="H57" s="4"/>
    </row>
    <row r="58" customFormat="false" ht="15" hidden="false" customHeight="true" outlineLevel="0" collapsed="false">
      <c r="A58" s="4"/>
      <c r="B58" s="4"/>
      <c r="C58" s="4"/>
      <c r="D58" s="4"/>
      <c r="E58" s="4"/>
      <c r="F58" s="4"/>
      <c r="G58" s="4"/>
      <c r="H58" s="4"/>
    </row>
    <row r="59" customFormat="false" ht="15" hidden="false" customHeight="true" outlineLevel="0" collapsed="false">
      <c r="A59" s="4"/>
      <c r="B59" s="4"/>
      <c r="C59" s="4"/>
      <c r="D59" s="4"/>
      <c r="E59" s="4"/>
      <c r="F59" s="4"/>
      <c r="G59" s="4"/>
      <c r="H59" s="4"/>
    </row>
    <row r="60" customFormat="false" ht="15" hidden="false" customHeight="true" outlineLevel="0" collapsed="false">
      <c r="A60" s="4"/>
      <c r="B60" s="4"/>
      <c r="C60" s="4"/>
      <c r="D60" s="4"/>
      <c r="E60" s="4"/>
      <c r="F60" s="4"/>
      <c r="G60" s="4"/>
      <c r="H60" s="4"/>
    </row>
    <row r="61" customFormat="false" ht="15" hidden="false" customHeight="true" outlineLevel="0" collapsed="false">
      <c r="A61" s="4"/>
      <c r="B61" s="4"/>
      <c r="C61" s="4"/>
      <c r="D61" s="4"/>
      <c r="E61" s="4"/>
      <c r="F61" s="4"/>
      <c r="G61" s="4"/>
      <c r="H61" s="4"/>
    </row>
    <row r="62" customFormat="false" ht="15" hidden="false" customHeight="true" outlineLevel="0" collapsed="false">
      <c r="A62" s="4"/>
      <c r="B62" s="4"/>
      <c r="C62" s="4"/>
      <c r="D62" s="4"/>
      <c r="E62" s="4"/>
      <c r="F62" s="4"/>
      <c r="G62" s="4"/>
      <c r="H62" s="4"/>
    </row>
    <row r="63" customFormat="false" ht="15" hidden="false" customHeight="true" outlineLevel="0" collapsed="false">
      <c r="A63" s="4"/>
      <c r="B63" s="4"/>
      <c r="C63" s="4"/>
      <c r="D63" s="4"/>
      <c r="E63" s="4"/>
      <c r="F63" s="4"/>
      <c r="G63" s="4"/>
      <c r="H63" s="4"/>
    </row>
    <row r="64" customFormat="false" ht="15" hidden="false" customHeight="true" outlineLevel="0" collapsed="false">
      <c r="A64" s="4"/>
      <c r="B64" s="4"/>
      <c r="C64" s="4"/>
      <c r="D64" s="4"/>
      <c r="E64" s="4"/>
      <c r="F64" s="4"/>
      <c r="G64" s="4"/>
      <c r="H64" s="4"/>
    </row>
    <row r="65" customFormat="false" ht="15" hidden="false" customHeight="true" outlineLevel="0" collapsed="false">
      <c r="A65" s="4"/>
      <c r="B65" s="4"/>
      <c r="C65" s="4"/>
      <c r="D65" s="4"/>
      <c r="E65" s="4"/>
      <c r="F65" s="4"/>
      <c r="G65" s="4"/>
      <c r="H65" s="4"/>
    </row>
    <row r="66" customFormat="false" ht="15" hidden="false" customHeight="true" outlineLevel="0" collapsed="false">
      <c r="A66" s="4"/>
      <c r="B66" s="4"/>
      <c r="C66" s="4"/>
      <c r="D66" s="4"/>
      <c r="E66" s="4"/>
      <c r="F66" s="4"/>
      <c r="G66" s="4"/>
      <c r="H66" s="4"/>
    </row>
    <row r="67" customFormat="false" ht="15" hidden="false" customHeight="true" outlineLevel="0" collapsed="false">
      <c r="A67" s="4"/>
      <c r="B67" s="4"/>
      <c r="C67" s="4"/>
      <c r="D67" s="4"/>
      <c r="E67" s="4"/>
      <c r="F67" s="4"/>
      <c r="G67" s="4"/>
      <c r="H67" s="4"/>
    </row>
    <row r="68" customFormat="false" ht="15" hidden="false" customHeight="true" outlineLevel="0" collapsed="false">
      <c r="A68" s="4"/>
      <c r="B68" s="4"/>
      <c r="C68" s="4"/>
      <c r="D68" s="4"/>
      <c r="E68" s="4"/>
      <c r="F68" s="4"/>
      <c r="G68" s="4"/>
      <c r="H68" s="4"/>
    </row>
    <row r="69" customFormat="false" ht="15" hidden="false" customHeight="true" outlineLevel="0" collapsed="false">
      <c r="A69" s="4"/>
      <c r="B69" s="4"/>
      <c r="C69" s="4"/>
      <c r="D69" s="4"/>
      <c r="E69" s="4"/>
      <c r="F69" s="4"/>
      <c r="G69" s="4"/>
      <c r="H69" s="4"/>
    </row>
    <row r="70" customFormat="false" ht="15" hidden="false" customHeight="true" outlineLevel="0" collapsed="false">
      <c r="A70" s="4"/>
      <c r="B70" s="4"/>
      <c r="C70" s="4"/>
      <c r="D70" s="4"/>
      <c r="E70" s="4"/>
      <c r="F70" s="4"/>
      <c r="G70" s="4"/>
      <c r="H70" s="4"/>
    </row>
    <row r="71" customFormat="false" ht="15" hidden="false" customHeight="true" outlineLevel="0" collapsed="false">
      <c r="A71" s="4"/>
      <c r="B71" s="4"/>
      <c r="C71" s="4"/>
      <c r="D71" s="4"/>
      <c r="E71" s="4"/>
      <c r="F71" s="4"/>
      <c r="G71" s="4"/>
      <c r="H71" s="4"/>
    </row>
    <row r="72" customFormat="false" ht="15" hidden="false" customHeight="true" outlineLevel="0" collapsed="false">
      <c r="A72" s="4"/>
      <c r="B72" s="4"/>
      <c r="C72" s="4"/>
      <c r="D72" s="4"/>
      <c r="E72" s="4"/>
      <c r="F72" s="4"/>
      <c r="G72" s="4"/>
      <c r="H72" s="4"/>
    </row>
    <row r="73" customFormat="false" ht="15" hidden="false" customHeight="true" outlineLevel="0" collapsed="false">
      <c r="A73" s="4"/>
      <c r="B73" s="4"/>
      <c r="C73" s="4"/>
      <c r="D73" s="4"/>
      <c r="E73" s="4"/>
      <c r="F73" s="4"/>
      <c r="G73" s="4"/>
      <c r="H73" s="4"/>
    </row>
    <row r="74" customFormat="false" ht="15" hidden="false" customHeight="true" outlineLevel="0" collapsed="false">
      <c r="A74" s="4"/>
      <c r="B74" s="4"/>
      <c r="C74" s="4"/>
      <c r="D74" s="4"/>
      <c r="E74" s="4"/>
      <c r="F74" s="4"/>
      <c r="G74" s="4"/>
      <c r="H74" s="4"/>
    </row>
    <row r="75" customFormat="false" ht="15" hidden="false" customHeight="true" outlineLevel="0" collapsed="false">
      <c r="A75" s="4"/>
      <c r="B75" s="4"/>
      <c r="C75" s="4"/>
      <c r="D75" s="4"/>
      <c r="E75" s="4"/>
      <c r="F75" s="4"/>
      <c r="G75" s="4"/>
      <c r="H75" s="4"/>
    </row>
    <row r="76" customFormat="false" ht="15" hidden="false" customHeight="true" outlineLevel="0" collapsed="false">
      <c r="A76" s="4"/>
      <c r="B76" s="4"/>
      <c r="C76" s="4"/>
      <c r="D76" s="4"/>
      <c r="E76" s="4"/>
      <c r="F76" s="4"/>
      <c r="G76" s="4"/>
      <c r="H76" s="4"/>
    </row>
    <row r="77" customFormat="false" ht="15" hidden="false" customHeight="true" outlineLevel="0" collapsed="false">
      <c r="A77" s="4"/>
      <c r="B77" s="4"/>
      <c r="C77" s="4"/>
      <c r="D77" s="4"/>
      <c r="E77" s="4"/>
      <c r="F77" s="4"/>
      <c r="G77" s="4"/>
      <c r="H77" s="4"/>
    </row>
    <row r="78" customFormat="false" ht="15" hidden="false" customHeight="true" outlineLevel="0" collapsed="false">
      <c r="A78" s="4"/>
      <c r="B78" s="4"/>
      <c r="C78" s="4"/>
      <c r="D78" s="4"/>
      <c r="E78" s="4"/>
      <c r="F78" s="4"/>
      <c r="G78" s="4"/>
      <c r="H78" s="4"/>
    </row>
    <row r="79" customFormat="false" ht="15" hidden="false" customHeight="true" outlineLevel="0" collapsed="false">
      <c r="A79" s="4"/>
      <c r="B79" s="4"/>
      <c r="C79" s="4"/>
      <c r="D79" s="4"/>
      <c r="E79" s="4"/>
      <c r="F79" s="4"/>
      <c r="G79" s="4"/>
      <c r="H79" s="4"/>
    </row>
    <row r="80" customFormat="false" ht="15" hidden="false" customHeight="true" outlineLevel="0" collapsed="false">
      <c r="A80" s="4"/>
      <c r="B80" s="4"/>
      <c r="C80" s="4"/>
      <c r="D80" s="4"/>
      <c r="E80" s="4"/>
      <c r="F80" s="4"/>
      <c r="G80" s="4"/>
      <c r="H80" s="4"/>
    </row>
    <row r="81" customFormat="false" ht="15" hidden="false" customHeight="true" outlineLevel="0" collapsed="false">
      <c r="A81" s="4"/>
      <c r="B81" s="4"/>
      <c r="C81" s="4"/>
      <c r="D81" s="4"/>
      <c r="E81" s="4"/>
      <c r="F81" s="4"/>
      <c r="G81" s="4"/>
      <c r="H81" s="4"/>
    </row>
    <row r="82" customFormat="false" ht="15" hidden="false" customHeight="true" outlineLevel="0" collapsed="false">
      <c r="A82" s="4"/>
      <c r="B82" s="4"/>
      <c r="C82" s="4"/>
      <c r="D82" s="4"/>
      <c r="E82" s="4"/>
      <c r="F82" s="4"/>
      <c r="G82" s="4"/>
      <c r="H82" s="4"/>
    </row>
    <row r="83" customFormat="false" ht="15" hidden="false" customHeight="true" outlineLevel="0" collapsed="false">
      <c r="A83" s="4"/>
      <c r="B83" s="4"/>
      <c r="C83" s="4"/>
      <c r="D83" s="4"/>
      <c r="E83" s="4"/>
      <c r="F83" s="4"/>
      <c r="G83" s="4"/>
      <c r="H83" s="4"/>
    </row>
    <row r="84" customFormat="false" ht="15" hidden="false" customHeight="true" outlineLevel="0" collapsed="false">
      <c r="A84" s="4"/>
      <c r="B84" s="4"/>
      <c r="C84" s="4"/>
      <c r="D84" s="4"/>
      <c r="E84" s="4"/>
      <c r="F84" s="4"/>
      <c r="G84" s="4"/>
      <c r="H84" s="4"/>
    </row>
    <row r="85" customFormat="false" ht="15" hidden="false" customHeight="true" outlineLevel="0" collapsed="false">
      <c r="A85" s="4"/>
      <c r="B85" s="4"/>
      <c r="C85" s="4"/>
      <c r="D85" s="4"/>
      <c r="E85" s="4"/>
      <c r="F85" s="4"/>
      <c r="G85" s="4"/>
      <c r="H85" s="4"/>
    </row>
    <row r="86" customFormat="false" ht="15" hidden="false" customHeight="true" outlineLevel="0" collapsed="false">
      <c r="A86" s="4"/>
      <c r="B86" s="4"/>
      <c r="C86" s="4"/>
      <c r="D86" s="4"/>
      <c r="E86" s="4"/>
      <c r="F86" s="4"/>
      <c r="G86" s="4"/>
      <c r="H86" s="4"/>
    </row>
    <row r="87" customFormat="false" ht="15" hidden="false" customHeight="true" outlineLevel="0" collapsed="false">
      <c r="A87" s="4"/>
      <c r="B87" s="4"/>
      <c r="C87" s="4"/>
      <c r="D87" s="4"/>
      <c r="E87" s="4"/>
      <c r="F87" s="4"/>
      <c r="G87" s="4"/>
      <c r="H87" s="4"/>
    </row>
    <row r="88" customFormat="false" ht="15" hidden="false" customHeight="true" outlineLevel="0" collapsed="false">
      <c r="A88" s="4"/>
      <c r="B88" s="4"/>
      <c r="C88" s="4"/>
      <c r="D88" s="4"/>
      <c r="E88" s="4"/>
      <c r="F88" s="4"/>
      <c r="G88" s="4"/>
      <c r="H88" s="4"/>
    </row>
    <row r="89" customFormat="false" ht="15" hidden="false" customHeight="true" outlineLevel="0" collapsed="false">
      <c r="A89" s="4"/>
      <c r="B89" s="4"/>
      <c r="C89" s="4"/>
      <c r="D89" s="4"/>
      <c r="E89" s="4"/>
      <c r="F89" s="4"/>
      <c r="G89" s="4"/>
      <c r="H89" s="4"/>
    </row>
    <row r="90" customFormat="false" ht="15" hidden="false" customHeight="true" outlineLevel="0" collapsed="false">
      <c r="A90" s="4"/>
      <c r="B90" s="4"/>
      <c r="C90" s="4"/>
      <c r="D90" s="4"/>
      <c r="E90" s="4"/>
      <c r="F90" s="4"/>
      <c r="G90" s="4"/>
      <c r="H90" s="4"/>
    </row>
    <row r="91" customFormat="false" ht="15" hidden="false" customHeight="true" outlineLevel="0" collapsed="false">
      <c r="A91" s="4"/>
      <c r="B91" s="4"/>
      <c r="C91" s="4"/>
      <c r="D91" s="4"/>
      <c r="E91" s="4"/>
      <c r="F91" s="4"/>
      <c r="G91" s="4"/>
      <c r="H91" s="4"/>
    </row>
    <row r="92" customFormat="false" ht="15" hidden="false" customHeight="true" outlineLevel="0" collapsed="false">
      <c r="A92" s="4"/>
      <c r="B92" s="4"/>
      <c r="C92" s="4"/>
      <c r="D92" s="4"/>
      <c r="E92" s="4"/>
      <c r="F92" s="4"/>
      <c r="G92" s="4"/>
      <c r="H92" s="4"/>
    </row>
    <row r="93" customFormat="false" ht="15" hidden="false" customHeight="true" outlineLevel="0" collapsed="false">
      <c r="A93" s="4"/>
      <c r="B93" s="4"/>
      <c r="C93" s="4"/>
      <c r="D93" s="4"/>
      <c r="E93" s="4"/>
      <c r="F93" s="4"/>
      <c r="G93" s="4"/>
      <c r="H93" s="4"/>
    </row>
    <row r="94" customFormat="false" ht="15" hidden="false" customHeight="true" outlineLevel="0" collapsed="false">
      <c r="A94" s="4"/>
      <c r="B94" s="4"/>
      <c r="C94" s="4"/>
      <c r="D94" s="4"/>
      <c r="E94" s="4"/>
      <c r="F94" s="4"/>
      <c r="G94" s="4"/>
      <c r="H94" s="4"/>
    </row>
    <row r="95" customFormat="false" ht="15" hidden="false" customHeight="true" outlineLevel="0" collapsed="false">
      <c r="A95" s="4"/>
      <c r="B95" s="4"/>
      <c r="C95" s="4"/>
      <c r="D95" s="4"/>
      <c r="E95" s="4"/>
      <c r="F95" s="4"/>
      <c r="G95" s="4"/>
      <c r="H95" s="4"/>
    </row>
    <row r="96" customFormat="false" ht="15" hidden="false" customHeight="true" outlineLevel="0" collapsed="false">
      <c r="A96" s="4"/>
      <c r="B96" s="4"/>
      <c r="C96" s="4"/>
      <c r="D96" s="4"/>
      <c r="E96" s="4"/>
      <c r="F96" s="4"/>
      <c r="G96" s="4"/>
      <c r="H96" s="4"/>
    </row>
    <row r="97" customFormat="false" ht="15" hidden="false" customHeight="true" outlineLevel="0" collapsed="false">
      <c r="A97" s="4"/>
      <c r="B97" s="4"/>
      <c r="C97" s="4"/>
      <c r="D97" s="4"/>
      <c r="E97" s="4"/>
      <c r="F97" s="4"/>
      <c r="G97" s="4"/>
      <c r="H97" s="4"/>
    </row>
    <row r="98" customFormat="false" ht="15" hidden="false" customHeight="true" outlineLevel="0" collapsed="false">
      <c r="A98" s="4"/>
      <c r="B98" s="4"/>
      <c r="C98" s="4"/>
      <c r="D98" s="4"/>
      <c r="E98" s="4"/>
      <c r="F98" s="4"/>
      <c r="G98" s="4"/>
      <c r="H98" s="4"/>
    </row>
    <row r="99" customFormat="false" ht="15" hidden="false" customHeight="true" outlineLevel="0" collapsed="false">
      <c r="A99" s="4"/>
      <c r="B99" s="4"/>
      <c r="C99" s="4"/>
      <c r="D99" s="4"/>
      <c r="E99" s="4"/>
      <c r="F99" s="4"/>
      <c r="G99" s="4"/>
      <c r="H99" s="4"/>
    </row>
    <row r="100" customFormat="false" ht="15" hidden="false" customHeight="true" outlineLevel="0" collapsed="false">
      <c r="A100" s="4"/>
      <c r="B100" s="4"/>
      <c r="C100" s="4"/>
      <c r="D100" s="4"/>
      <c r="E100" s="4"/>
      <c r="F100" s="4"/>
      <c r="G100" s="4"/>
      <c r="H100" s="4"/>
    </row>
    <row r="101" customFormat="false" ht="15" hidden="false" customHeight="true" outlineLevel="0" collapsed="false">
      <c r="A101" s="4"/>
      <c r="B101" s="4"/>
      <c r="C101" s="4"/>
      <c r="D101" s="4"/>
      <c r="E101" s="4"/>
      <c r="F101" s="4"/>
      <c r="G101" s="4"/>
      <c r="H101" s="4"/>
    </row>
    <row r="102" customFormat="false" ht="15" hidden="false" customHeight="true" outlineLevel="0" collapsed="false">
      <c r="A102" s="4"/>
      <c r="B102" s="4"/>
      <c r="C102" s="4"/>
      <c r="D102" s="4"/>
      <c r="E102" s="4"/>
      <c r="F102" s="4"/>
      <c r="G102" s="4"/>
      <c r="H102" s="4"/>
    </row>
    <row r="103" customFormat="false" ht="15" hidden="false" customHeight="true" outlineLevel="0" collapsed="false">
      <c r="A103" s="4"/>
      <c r="B103" s="4"/>
      <c r="C103" s="4"/>
      <c r="D103" s="4"/>
      <c r="E103" s="4"/>
      <c r="F103" s="4"/>
      <c r="G103" s="4"/>
      <c r="H103" s="4"/>
    </row>
    <row r="104" customFormat="false" ht="15" hidden="false" customHeight="true" outlineLevel="0" collapsed="false">
      <c r="A104" s="4"/>
      <c r="B104" s="4"/>
      <c r="C104" s="4"/>
      <c r="D104" s="4"/>
      <c r="E104" s="4"/>
      <c r="F104" s="4"/>
      <c r="G104" s="4"/>
      <c r="H104" s="4"/>
    </row>
    <row r="105" customFormat="false" ht="15" hidden="false" customHeight="true" outlineLevel="0" collapsed="false">
      <c r="A105" s="4"/>
      <c r="B105" s="4"/>
      <c r="C105" s="4"/>
      <c r="D105" s="4"/>
      <c r="E105" s="4"/>
      <c r="F105" s="4"/>
      <c r="G105" s="4"/>
      <c r="H105" s="4"/>
    </row>
    <row r="106" customFormat="false" ht="15" hidden="false" customHeight="true" outlineLevel="0" collapsed="false">
      <c r="A106" s="4"/>
      <c r="B106" s="4"/>
      <c r="C106" s="4"/>
      <c r="D106" s="4"/>
      <c r="E106" s="4"/>
      <c r="F106" s="4"/>
      <c r="G106" s="4"/>
      <c r="H106" s="4"/>
    </row>
    <row r="107" customFormat="false" ht="15" hidden="false" customHeight="true" outlineLevel="0" collapsed="false">
      <c r="A107" s="4"/>
      <c r="B107" s="4"/>
      <c r="C107" s="4"/>
      <c r="D107" s="4"/>
      <c r="E107" s="4"/>
      <c r="F107" s="4"/>
      <c r="G107" s="4"/>
      <c r="H107" s="4"/>
    </row>
    <row r="108" customFormat="false" ht="15" hidden="false" customHeight="true" outlineLevel="0" collapsed="false">
      <c r="A108" s="4"/>
      <c r="B108" s="4"/>
      <c r="C108" s="4"/>
      <c r="D108" s="4"/>
      <c r="E108" s="4"/>
      <c r="F108" s="4"/>
      <c r="G108" s="4"/>
      <c r="H108" s="4"/>
    </row>
    <row r="109" customFormat="false" ht="15" hidden="false" customHeight="true" outlineLevel="0" collapsed="false">
      <c r="A109" s="4"/>
      <c r="B109" s="4"/>
      <c r="C109" s="4"/>
      <c r="D109" s="4"/>
      <c r="E109" s="4"/>
      <c r="F109" s="4"/>
      <c r="G109" s="4"/>
      <c r="H109" s="4"/>
    </row>
    <row r="110" customFormat="false" ht="15" hidden="false" customHeight="true" outlineLevel="0" collapsed="false">
      <c r="A110" s="4"/>
      <c r="B110" s="4"/>
      <c r="C110" s="4"/>
      <c r="D110" s="4"/>
      <c r="E110" s="4"/>
      <c r="F110" s="4"/>
      <c r="G110" s="4"/>
      <c r="H110" s="4"/>
    </row>
    <row r="111" customFormat="false" ht="15" hidden="false" customHeight="true" outlineLevel="0" collapsed="false">
      <c r="A111" s="4"/>
      <c r="B111" s="4"/>
      <c r="C111" s="4"/>
      <c r="D111" s="4"/>
      <c r="E111" s="4"/>
      <c r="F111" s="4"/>
      <c r="G111" s="4"/>
      <c r="H111" s="4"/>
    </row>
    <row r="112" customFormat="false" ht="15" hidden="false" customHeight="true" outlineLevel="0" collapsed="false">
      <c r="A112" s="4"/>
      <c r="B112" s="4"/>
      <c r="C112" s="4"/>
      <c r="D112" s="4"/>
      <c r="E112" s="4"/>
      <c r="F112" s="4"/>
      <c r="G112" s="4"/>
      <c r="H112" s="4"/>
    </row>
    <row r="113" customFormat="false" ht="15" hidden="false" customHeight="true" outlineLevel="0" collapsed="false">
      <c r="A113" s="4"/>
      <c r="B113" s="4"/>
      <c r="C113" s="4"/>
      <c r="D113" s="4"/>
      <c r="E113" s="4"/>
      <c r="F113" s="4"/>
      <c r="G113" s="4"/>
      <c r="H113" s="4"/>
    </row>
    <row r="114" customFormat="false" ht="15" hidden="false" customHeight="true" outlineLevel="0" collapsed="false">
      <c r="A114" s="4"/>
      <c r="B114" s="4"/>
      <c r="C114" s="4"/>
      <c r="D114" s="4"/>
      <c r="E114" s="4"/>
      <c r="F114" s="4"/>
      <c r="G114" s="4"/>
      <c r="H114" s="4"/>
    </row>
    <row r="115" customFormat="false" ht="15" hidden="false" customHeight="true" outlineLevel="0" collapsed="false">
      <c r="A115" s="4"/>
      <c r="B115" s="4"/>
      <c r="C115" s="4"/>
      <c r="D115" s="4"/>
      <c r="E115" s="4"/>
      <c r="F115" s="4"/>
      <c r="G115" s="4"/>
      <c r="H115" s="4"/>
    </row>
    <row r="116" customFormat="false" ht="15" hidden="false" customHeight="true" outlineLevel="0" collapsed="false">
      <c r="A116" s="4"/>
      <c r="B116" s="4"/>
      <c r="C116" s="4"/>
      <c r="D116" s="4"/>
      <c r="E116" s="4"/>
      <c r="F116" s="4"/>
      <c r="G116" s="4"/>
      <c r="H116" s="4"/>
    </row>
    <row r="117" customFormat="false" ht="15" hidden="false" customHeight="true" outlineLevel="0" collapsed="false">
      <c r="A117" s="4"/>
      <c r="B117" s="4"/>
      <c r="C117" s="4"/>
      <c r="D117" s="4"/>
      <c r="E117" s="4"/>
      <c r="F117" s="4"/>
      <c r="G117" s="4"/>
      <c r="H117" s="4"/>
    </row>
    <row r="118" customFormat="false" ht="15" hidden="false" customHeight="true" outlineLevel="0" collapsed="false">
      <c r="A118" s="4"/>
      <c r="B118" s="4"/>
      <c r="C118" s="4"/>
      <c r="D118" s="4"/>
      <c r="E118" s="4"/>
      <c r="F118" s="4"/>
      <c r="G118" s="4"/>
      <c r="H118" s="4"/>
    </row>
    <row r="119" customFormat="false" ht="15" hidden="false" customHeight="true" outlineLevel="0" collapsed="false">
      <c r="A119" s="4"/>
      <c r="B119" s="4"/>
      <c r="C119" s="4"/>
      <c r="D119" s="4"/>
      <c r="E119" s="4"/>
      <c r="F119" s="4"/>
      <c r="G119" s="4"/>
      <c r="H119" s="4"/>
    </row>
    <row r="120" customFormat="false" ht="15" hidden="false" customHeight="true" outlineLevel="0" collapsed="false">
      <c r="A120" s="4"/>
      <c r="B120" s="4"/>
      <c r="C120" s="4"/>
      <c r="D120" s="4"/>
      <c r="E120" s="4"/>
      <c r="F120" s="4"/>
      <c r="G120" s="4"/>
      <c r="H120" s="4"/>
    </row>
    <row r="121" customFormat="false" ht="15" hidden="false" customHeight="true" outlineLevel="0" collapsed="false">
      <c r="A121" s="4"/>
      <c r="B121" s="4"/>
      <c r="C121" s="4"/>
      <c r="D121" s="4"/>
      <c r="E121" s="4"/>
      <c r="F121" s="4"/>
      <c r="G121" s="4"/>
      <c r="H121" s="4"/>
    </row>
    <row r="122" customFormat="false" ht="15" hidden="false" customHeight="true" outlineLevel="0" collapsed="false">
      <c r="A122" s="4"/>
      <c r="B122" s="4"/>
      <c r="C122" s="4"/>
      <c r="D122" s="4"/>
      <c r="E122" s="4"/>
      <c r="F122" s="4"/>
      <c r="G122" s="4"/>
      <c r="H122" s="4"/>
    </row>
  </sheetData>
  <mergeCells count="1">
    <mergeCell ref="A1:H1"/>
  </mergeCells>
  <dataValidations count="1">
    <dataValidation allowBlank="true" errorStyle="stop" operator="between" showDropDown="false" showErrorMessage="false" showInputMessage="false" sqref="H3:H122" type="list">
      <formula1>"Planned,In Progress,Delivered,On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46"/>
    <col collapsed="false" customWidth="true" hidden="false" outlineLevel="0" max="4" min="4" style="1" width="11"/>
    <col collapsed="false" customWidth="true" hidden="false" outlineLevel="0" max="5" min="5" style="1" width="16"/>
    <col collapsed="false" customWidth="true" hidden="false" outlineLevel="0" max="7" min="6" style="1" width="18"/>
    <col collapsed="false" customWidth="true" hidden="false" outlineLevel="0" max="8" min="8" style="1" width="30"/>
  </cols>
  <sheetData>
    <row r="1" customFormat="false" ht="25.5" hidden="false" customHeight="true" outlineLevel="0" collapsed="false">
      <c r="A1" s="2" t="s">
        <v>102</v>
      </c>
      <c r="B1" s="2"/>
      <c r="C1" s="2"/>
      <c r="D1" s="2"/>
      <c r="E1" s="2"/>
      <c r="F1" s="2"/>
      <c r="G1" s="2"/>
      <c r="H1" s="2"/>
    </row>
    <row r="2" customFormat="false" ht="30" hidden="false" customHeight="true" outlineLevel="0" collapsed="false">
      <c r="A2" s="7" t="s">
        <v>103</v>
      </c>
      <c r="B2" s="7" t="s">
        <v>104</v>
      </c>
      <c r="C2" s="7" t="s">
        <v>81</v>
      </c>
      <c r="D2" s="7" t="s">
        <v>105</v>
      </c>
      <c r="E2" s="7" t="s">
        <v>106</v>
      </c>
      <c r="F2" s="7" t="s">
        <v>107</v>
      </c>
      <c r="G2" s="7" t="s">
        <v>108</v>
      </c>
      <c r="H2" s="7" t="s">
        <v>109</v>
      </c>
    </row>
    <row r="3" customFormat="false" ht="39.75" hidden="false" customHeight="true" outlineLevel="0" collapsed="false">
      <c r="A3" s="4" t="s">
        <v>110</v>
      </c>
      <c r="B3" s="4" t="s">
        <v>111</v>
      </c>
      <c r="C3" s="4" t="s">
        <v>112</v>
      </c>
      <c r="D3" s="4"/>
      <c r="E3" s="4"/>
      <c r="F3" s="4"/>
      <c r="G3" s="4"/>
      <c r="H3" s="4" t="s">
        <v>113</v>
      </c>
    </row>
    <row r="4" customFormat="false" ht="39.75" hidden="false" customHeight="true" outlineLevel="0" collapsed="false">
      <c r="A4" s="4" t="s">
        <v>114</v>
      </c>
      <c r="B4" s="4" t="s">
        <v>115</v>
      </c>
      <c r="C4" s="4" t="s">
        <v>116</v>
      </c>
      <c r="D4" s="4"/>
      <c r="E4" s="4"/>
      <c r="F4" s="4"/>
      <c r="G4" s="4"/>
      <c r="H4" s="4" t="s">
        <v>113</v>
      </c>
    </row>
    <row r="5" customFormat="false" ht="39.75" hidden="false" customHeight="true" outlineLevel="0" collapsed="false">
      <c r="A5" s="4" t="s">
        <v>117</v>
      </c>
      <c r="B5" s="4" t="s">
        <v>118</v>
      </c>
      <c r="C5" s="4" t="s">
        <v>119</v>
      </c>
      <c r="D5" s="4"/>
      <c r="E5" s="4"/>
      <c r="F5" s="4"/>
      <c r="G5" s="4"/>
      <c r="H5" s="4" t="s">
        <v>113</v>
      </c>
    </row>
    <row r="6" customFormat="false" ht="39.75" hidden="false" customHeight="true" outlineLevel="0" collapsed="false">
      <c r="A6" s="4" t="s">
        <v>120</v>
      </c>
      <c r="B6" s="4" t="s">
        <v>121</v>
      </c>
      <c r="C6" s="4" t="s">
        <v>122</v>
      </c>
      <c r="D6" s="4"/>
      <c r="E6" s="4"/>
      <c r="F6" s="4"/>
      <c r="G6" s="4"/>
      <c r="H6" s="4" t="s">
        <v>113</v>
      </c>
    </row>
    <row r="7" customFormat="false" ht="39.75" hidden="false" customHeight="true" outlineLevel="0" collapsed="false">
      <c r="A7" s="4" t="s">
        <v>123</v>
      </c>
      <c r="B7" s="4" t="s">
        <v>124</v>
      </c>
      <c r="C7" s="4" t="s">
        <v>125</v>
      </c>
      <c r="D7" s="4"/>
      <c r="E7" s="4"/>
      <c r="F7" s="4"/>
      <c r="G7" s="4"/>
      <c r="H7" s="4" t="s">
        <v>113</v>
      </c>
    </row>
    <row r="8" customFormat="false" ht="39.75" hidden="false" customHeight="true" outlineLevel="0" collapsed="false">
      <c r="A8" s="4" t="s">
        <v>126</v>
      </c>
      <c r="B8" s="4" t="s">
        <v>127</v>
      </c>
      <c r="C8" s="4" t="s">
        <v>128</v>
      </c>
      <c r="D8" s="4"/>
      <c r="E8" s="4"/>
      <c r="F8" s="4"/>
      <c r="G8" s="4"/>
      <c r="H8" s="4" t="s">
        <v>113</v>
      </c>
    </row>
    <row r="9" customFormat="false" ht="39.75" hidden="false" customHeight="true" outlineLevel="0" collapsed="false">
      <c r="A9" s="4" t="s">
        <v>129</v>
      </c>
      <c r="B9" s="4" t="s">
        <v>130</v>
      </c>
      <c r="C9" s="4" t="s">
        <v>131</v>
      </c>
      <c r="D9" s="4"/>
      <c r="E9" s="4"/>
      <c r="F9" s="4"/>
      <c r="G9" s="4"/>
      <c r="H9" s="4" t="s">
        <v>113</v>
      </c>
    </row>
    <row r="10" customFormat="false" ht="15" hidden="false" customHeight="true" outlineLevel="0" collapsed="false">
      <c r="A10" s="4"/>
      <c r="B10" s="4"/>
      <c r="C10" s="4"/>
      <c r="D10" s="4"/>
      <c r="E10" s="4"/>
      <c r="F10" s="4"/>
      <c r="G10" s="4"/>
      <c r="H10" s="4"/>
    </row>
    <row r="11" customFormat="false" ht="15" hidden="false" customHeight="true" outlineLevel="0" collapsed="false">
      <c r="A11" s="4"/>
      <c r="B11" s="4"/>
      <c r="C11" s="4"/>
      <c r="D11" s="4"/>
      <c r="E11" s="4"/>
      <c r="F11" s="4"/>
      <c r="G11" s="4"/>
      <c r="H11" s="4"/>
    </row>
    <row r="12" customFormat="false" ht="15" hidden="false" customHeight="true" outlineLevel="0" collapsed="false">
      <c r="A12" s="4"/>
      <c r="B12" s="4"/>
      <c r="C12" s="4"/>
      <c r="D12" s="4"/>
      <c r="E12" s="4"/>
      <c r="F12" s="4"/>
      <c r="G12" s="4"/>
      <c r="H12" s="4"/>
    </row>
    <row r="13" customFormat="false" ht="15" hidden="false" customHeight="true" outlineLevel="0" collapsed="false">
      <c r="A13" s="4"/>
      <c r="B13" s="4"/>
      <c r="C13" s="4"/>
      <c r="D13" s="4"/>
      <c r="E13" s="4"/>
      <c r="F13" s="4"/>
      <c r="G13" s="4"/>
      <c r="H13" s="4"/>
    </row>
    <row r="14" customFormat="false" ht="15" hidden="false" customHeight="true" outlineLevel="0" collapsed="false">
      <c r="A14" s="4"/>
      <c r="B14" s="4"/>
      <c r="C14" s="4"/>
      <c r="D14" s="4"/>
      <c r="E14" s="4"/>
      <c r="F14" s="4"/>
      <c r="G14" s="4"/>
      <c r="H14" s="4"/>
    </row>
    <row r="15" customFormat="false" ht="15" hidden="false" customHeight="true" outlineLevel="0" collapsed="false">
      <c r="A15" s="4"/>
      <c r="B15" s="4"/>
      <c r="C15" s="4"/>
      <c r="D15" s="4"/>
      <c r="E15" s="4"/>
      <c r="F15" s="4"/>
      <c r="G15" s="4"/>
      <c r="H15" s="4"/>
    </row>
    <row r="16" customFormat="false" ht="15" hidden="false" customHeight="true" outlineLevel="0" collapsed="false">
      <c r="A16" s="4"/>
      <c r="B16" s="4"/>
      <c r="C16" s="4"/>
      <c r="D16" s="4"/>
      <c r="E16" s="4"/>
      <c r="F16" s="4"/>
      <c r="G16" s="4"/>
      <c r="H16" s="4"/>
    </row>
    <row r="17" customFormat="false" ht="15" hidden="false" customHeight="true" outlineLevel="0" collapsed="false">
      <c r="A17" s="4"/>
      <c r="B17" s="4"/>
      <c r="C17" s="4"/>
      <c r="D17" s="4"/>
      <c r="E17" s="4"/>
      <c r="F17" s="4"/>
      <c r="G17" s="4"/>
      <c r="H17" s="4"/>
    </row>
    <row r="18" customFormat="false" ht="15" hidden="false" customHeight="true" outlineLevel="0" collapsed="false">
      <c r="A18" s="4"/>
      <c r="B18" s="4"/>
      <c r="C18" s="4"/>
      <c r="D18" s="4"/>
      <c r="E18" s="4"/>
      <c r="F18" s="4"/>
      <c r="G18" s="4"/>
      <c r="H18" s="4"/>
    </row>
    <row r="19" customFormat="false" ht="15" hidden="false" customHeight="true" outlineLevel="0" collapsed="false">
      <c r="A19" s="4"/>
      <c r="B19" s="4"/>
      <c r="C19" s="4"/>
      <c r="D19" s="4"/>
      <c r="E19" s="4"/>
      <c r="F19" s="4"/>
      <c r="G19" s="4"/>
      <c r="H19" s="4"/>
    </row>
    <row r="20" customFormat="false" ht="15" hidden="false" customHeight="true" outlineLevel="0" collapsed="false">
      <c r="A20" s="4"/>
      <c r="B20" s="4"/>
      <c r="C20" s="4"/>
      <c r="D20" s="4"/>
      <c r="E20" s="4"/>
      <c r="F20" s="4"/>
      <c r="G20" s="4"/>
      <c r="H20" s="4"/>
    </row>
    <row r="21" customFormat="false" ht="15" hidden="false" customHeight="true" outlineLevel="0" collapsed="false">
      <c r="A21" s="4"/>
      <c r="B21" s="4"/>
      <c r="C21" s="4"/>
      <c r="D21" s="4"/>
      <c r="E21" s="4"/>
      <c r="F21" s="4"/>
      <c r="G21" s="4"/>
      <c r="H21" s="4"/>
    </row>
    <row r="22" customFormat="false" ht="15" hidden="false" customHeight="true" outlineLevel="0" collapsed="false">
      <c r="A22" s="4"/>
      <c r="B22" s="4"/>
      <c r="C22" s="4"/>
      <c r="D22" s="4"/>
      <c r="E22" s="4"/>
      <c r="F22" s="4"/>
      <c r="G22" s="4"/>
      <c r="H22" s="4"/>
    </row>
    <row r="23" customFormat="false" ht="15" hidden="false" customHeight="true" outlineLevel="0" collapsed="false">
      <c r="A23" s="4"/>
      <c r="B23" s="4"/>
      <c r="C23" s="4"/>
      <c r="D23" s="4"/>
      <c r="E23" s="4"/>
      <c r="F23" s="4"/>
      <c r="G23" s="4"/>
      <c r="H23" s="4"/>
    </row>
    <row r="24" customFormat="false" ht="15" hidden="false" customHeight="true" outlineLevel="0" collapsed="false">
      <c r="A24" s="4"/>
      <c r="B24" s="4"/>
      <c r="C24" s="4"/>
      <c r="D24" s="4"/>
      <c r="E24" s="4"/>
      <c r="F24" s="4"/>
      <c r="G24" s="4"/>
      <c r="H24" s="4"/>
    </row>
    <row r="25" customFormat="false" ht="15" hidden="false" customHeight="true" outlineLevel="0" collapsed="false">
      <c r="A25" s="4"/>
      <c r="B25" s="4"/>
      <c r="C25" s="4"/>
      <c r="D25" s="4"/>
      <c r="E25" s="4"/>
      <c r="F25" s="4"/>
      <c r="G25" s="4"/>
      <c r="H25" s="4"/>
    </row>
    <row r="26" customFormat="false" ht="15" hidden="false" customHeight="true" outlineLevel="0" collapsed="false">
      <c r="A26" s="4"/>
      <c r="B26" s="4"/>
      <c r="C26" s="4"/>
      <c r="D26" s="4"/>
      <c r="E26" s="4"/>
      <c r="F26" s="4"/>
      <c r="G26" s="4"/>
      <c r="H26" s="4"/>
    </row>
    <row r="27" customFormat="false" ht="15" hidden="false" customHeight="true" outlineLevel="0" collapsed="false">
      <c r="A27" s="4"/>
      <c r="B27" s="4"/>
      <c r="C27" s="4"/>
      <c r="D27" s="4"/>
      <c r="E27" s="4"/>
      <c r="F27" s="4"/>
      <c r="G27" s="4"/>
      <c r="H27" s="4"/>
    </row>
    <row r="28" customFormat="false" ht="15" hidden="false" customHeight="true" outlineLevel="0" collapsed="false">
      <c r="A28" s="4"/>
      <c r="B28" s="4"/>
      <c r="C28" s="4"/>
      <c r="D28" s="4"/>
      <c r="E28" s="4"/>
      <c r="F28" s="4"/>
      <c r="G28" s="4"/>
      <c r="H28" s="4"/>
    </row>
    <row r="29" customFormat="false" ht="15" hidden="false" customHeight="true" outlineLevel="0" collapsed="false">
      <c r="A29" s="4"/>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2" customFormat="false" ht="15" hidden="false" customHeight="true" outlineLevel="0" collapsed="false">
      <c r="A32" s="4"/>
      <c r="B32" s="4"/>
      <c r="C32" s="4"/>
      <c r="D32" s="4"/>
      <c r="E32" s="4"/>
      <c r="F32" s="4"/>
      <c r="G32" s="4"/>
      <c r="H32" s="4"/>
    </row>
    <row r="33" customFormat="false" ht="15" hidden="false" customHeight="true" outlineLevel="0" collapsed="false">
      <c r="A33" s="4"/>
      <c r="B33" s="4"/>
      <c r="C33" s="4"/>
      <c r="D33" s="4"/>
      <c r="E33" s="4"/>
      <c r="F33" s="4"/>
      <c r="G33" s="4"/>
      <c r="H33" s="4"/>
    </row>
    <row r="34" customFormat="false" ht="15" hidden="false" customHeight="true" outlineLevel="0" collapsed="false">
      <c r="A34" s="4"/>
      <c r="B34" s="4"/>
      <c r="C34" s="4"/>
      <c r="D34" s="4"/>
      <c r="E34" s="4"/>
      <c r="F34" s="4"/>
      <c r="G34" s="4"/>
      <c r="H34" s="4"/>
    </row>
    <row r="35" customFormat="false" ht="15" hidden="false" customHeight="true" outlineLevel="0" collapsed="false">
      <c r="A35" s="4"/>
      <c r="B35" s="4"/>
      <c r="C35" s="4"/>
      <c r="D35" s="4"/>
      <c r="E35" s="4"/>
      <c r="F35" s="4"/>
      <c r="G35" s="4"/>
      <c r="H35" s="4"/>
    </row>
    <row r="36" customFormat="false" ht="15" hidden="false" customHeight="true" outlineLevel="0" collapsed="false">
      <c r="A36" s="4"/>
      <c r="B36" s="4"/>
      <c r="C36" s="4"/>
      <c r="D36" s="4"/>
      <c r="E36" s="4"/>
      <c r="F36" s="4"/>
      <c r="G36" s="4"/>
      <c r="H36" s="4"/>
    </row>
    <row r="37" customFormat="false" ht="15" hidden="false" customHeight="true" outlineLevel="0" collapsed="false">
      <c r="A37" s="4"/>
      <c r="B37" s="4"/>
      <c r="C37" s="4"/>
      <c r="D37" s="4"/>
      <c r="E37" s="4"/>
      <c r="F37" s="4"/>
      <c r="G37" s="4"/>
      <c r="H37" s="4"/>
    </row>
    <row r="38" customFormat="false" ht="15" hidden="false" customHeight="true" outlineLevel="0" collapsed="false">
      <c r="A38" s="4"/>
      <c r="B38" s="4"/>
      <c r="C38" s="4"/>
      <c r="D38" s="4"/>
      <c r="E38" s="4"/>
      <c r="F38" s="4"/>
      <c r="G38" s="4"/>
      <c r="H38" s="4"/>
    </row>
    <row r="39" customFormat="false" ht="15" hidden="false" customHeight="true" outlineLevel="0" collapsed="false">
      <c r="A39" s="4"/>
      <c r="B39" s="4"/>
      <c r="C39" s="4"/>
      <c r="D39" s="4"/>
      <c r="E39" s="4"/>
      <c r="F39" s="4"/>
      <c r="G39" s="4"/>
      <c r="H39" s="4"/>
    </row>
    <row r="40" customFormat="false" ht="15" hidden="false" customHeight="true" outlineLevel="0" collapsed="false">
      <c r="A40" s="4"/>
      <c r="B40" s="4"/>
      <c r="C40" s="4"/>
      <c r="D40" s="4"/>
      <c r="E40" s="4"/>
      <c r="F40" s="4"/>
      <c r="G40" s="4"/>
      <c r="H40" s="4"/>
    </row>
    <row r="41" customFormat="false" ht="15" hidden="false" customHeight="true" outlineLevel="0" collapsed="false">
      <c r="A41" s="4"/>
      <c r="B41" s="4"/>
      <c r="C41" s="4"/>
      <c r="D41" s="4"/>
      <c r="E41" s="4"/>
      <c r="F41" s="4"/>
      <c r="G41" s="4"/>
      <c r="H41" s="4"/>
    </row>
    <row r="42" customFormat="false" ht="15" hidden="false" customHeight="true" outlineLevel="0" collapsed="false">
      <c r="A42" s="4"/>
      <c r="B42" s="4"/>
      <c r="C42" s="4"/>
      <c r="D42" s="4"/>
      <c r="E42" s="4"/>
      <c r="F42" s="4"/>
      <c r="G42" s="4"/>
      <c r="H42" s="4"/>
    </row>
    <row r="43" customFormat="false" ht="15" hidden="false" customHeight="true" outlineLevel="0" collapsed="false">
      <c r="A43" s="4"/>
      <c r="B43" s="4"/>
      <c r="C43" s="4"/>
      <c r="D43" s="4"/>
      <c r="E43" s="4"/>
      <c r="F43" s="4"/>
      <c r="G43" s="4"/>
      <c r="H43" s="4"/>
    </row>
    <row r="44" customFormat="false" ht="15" hidden="false" customHeight="true" outlineLevel="0" collapsed="false">
      <c r="A44" s="4"/>
      <c r="B44" s="4"/>
      <c r="C44" s="4"/>
      <c r="D44" s="4"/>
      <c r="E44" s="4"/>
      <c r="F44" s="4"/>
      <c r="G44" s="4"/>
      <c r="H44" s="4"/>
    </row>
    <row r="45" customFormat="false" ht="15" hidden="false" customHeight="true" outlineLevel="0" collapsed="false">
      <c r="A45" s="4"/>
      <c r="B45" s="4"/>
      <c r="C45" s="4"/>
      <c r="D45" s="4"/>
      <c r="E45" s="4"/>
      <c r="F45" s="4"/>
      <c r="G45" s="4"/>
      <c r="H45" s="4"/>
    </row>
    <row r="46" customFormat="false" ht="15" hidden="false" customHeight="true" outlineLevel="0" collapsed="false">
      <c r="A46" s="4"/>
      <c r="B46" s="4"/>
      <c r="C46" s="4"/>
      <c r="D46" s="4"/>
      <c r="E46" s="4"/>
      <c r="F46" s="4"/>
      <c r="G46" s="4"/>
      <c r="H46" s="4"/>
    </row>
    <row r="47" customFormat="false" ht="15" hidden="false" customHeight="true" outlineLevel="0" collapsed="false">
      <c r="A47" s="4"/>
      <c r="B47" s="4"/>
      <c r="C47" s="4"/>
      <c r="D47" s="4"/>
      <c r="E47" s="4"/>
      <c r="F47" s="4"/>
      <c r="G47" s="4"/>
      <c r="H47" s="4"/>
    </row>
    <row r="48" customFormat="false" ht="15" hidden="false" customHeight="true" outlineLevel="0" collapsed="false">
      <c r="A48" s="4"/>
      <c r="B48" s="4"/>
      <c r="C48" s="4"/>
      <c r="D48" s="4"/>
      <c r="E48" s="4"/>
      <c r="F48" s="4"/>
      <c r="G48" s="4"/>
      <c r="H48" s="4"/>
    </row>
    <row r="49" customFormat="false" ht="15" hidden="false" customHeight="true" outlineLevel="0" collapsed="false">
      <c r="A49" s="4"/>
      <c r="B49" s="4"/>
      <c r="C49" s="4"/>
      <c r="D49" s="4"/>
      <c r="E49" s="4"/>
      <c r="F49" s="4"/>
      <c r="G49" s="4"/>
      <c r="H49" s="4"/>
    </row>
    <row r="50" customFormat="false" ht="15" hidden="false" customHeight="true" outlineLevel="0" collapsed="false">
      <c r="A50" s="4"/>
      <c r="B50" s="4"/>
      <c r="C50" s="4"/>
      <c r="D50" s="4"/>
      <c r="E50" s="4"/>
      <c r="F50" s="4"/>
      <c r="G50" s="4"/>
      <c r="H50" s="4"/>
    </row>
    <row r="51" customFormat="false" ht="15" hidden="false" customHeight="true" outlineLevel="0" collapsed="false">
      <c r="A51" s="4"/>
      <c r="B51" s="4"/>
      <c r="C51" s="4"/>
      <c r="D51" s="4"/>
      <c r="E51" s="4"/>
      <c r="F51" s="4"/>
      <c r="G51" s="4"/>
      <c r="H51" s="4"/>
    </row>
    <row r="52" customFormat="false" ht="15" hidden="false" customHeight="true" outlineLevel="0" collapsed="false">
      <c r="A52" s="4"/>
      <c r="B52" s="4"/>
      <c r="C52" s="4"/>
      <c r="D52" s="4"/>
      <c r="E52" s="4"/>
      <c r="F52" s="4"/>
      <c r="G52" s="4"/>
      <c r="H52" s="4"/>
    </row>
    <row r="53" customFormat="false" ht="15" hidden="false" customHeight="true" outlineLevel="0" collapsed="false">
      <c r="A53" s="4"/>
      <c r="B53" s="4"/>
      <c r="C53" s="4"/>
      <c r="D53" s="4"/>
      <c r="E53" s="4"/>
      <c r="F53" s="4"/>
      <c r="G53" s="4"/>
      <c r="H53" s="4"/>
    </row>
    <row r="54" customFormat="false" ht="15" hidden="false" customHeight="true" outlineLevel="0" collapsed="false">
      <c r="A54" s="4"/>
      <c r="B54" s="4"/>
      <c r="C54" s="4"/>
      <c r="D54" s="4"/>
      <c r="E54" s="4"/>
      <c r="F54" s="4"/>
      <c r="G54" s="4"/>
      <c r="H54" s="4"/>
    </row>
    <row r="55" customFormat="false" ht="15" hidden="false" customHeight="true" outlineLevel="0" collapsed="false">
      <c r="A55" s="4"/>
      <c r="B55" s="4"/>
      <c r="C55" s="4"/>
      <c r="D55" s="4"/>
      <c r="E55" s="4"/>
      <c r="F55" s="4"/>
      <c r="G55" s="4"/>
      <c r="H55" s="4"/>
    </row>
    <row r="56" customFormat="false" ht="15" hidden="false" customHeight="true" outlineLevel="0" collapsed="false">
      <c r="A56" s="4"/>
      <c r="B56" s="4"/>
      <c r="C56" s="4"/>
      <c r="D56" s="4"/>
      <c r="E56" s="4"/>
      <c r="F56" s="4"/>
      <c r="G56" s="4"/>
      <c r="H56" s="4"/>
    </row>
    <row r="57" customFormat="false" ht="15" hidden="false" customHeight="true" outlineLevel="0" collapsed="false">
      <c r="A57" s="4"/>
      <c r="B57" s="4"/>
      <c r="C57" s="4"/>
      <c r="D57" s="4"/>
      <c r="E57" s="4"/>
      <c r="F57" s="4"/>
      <c r="G57" s="4"/>
      <c r="H57" s="4"/>
    </row>
    <row r="58" customFormat="false" ht="15" hidden="false" customHeight="true" outlineLevel="0" collapsed="false">
      <c r="A58" s="4"/>
      <c r="B58" s="4"/>
      <c r="C58" s="4"/>
      <c r="D58" s="4"/>
      <c r="E58" s="4"/>
      <c r="F58" s="4"/>
      <c r="G58" s="4"/>
      <c r="H58" s="4"/>
    </row>
    <row r="59" customFormat="false" ht="15" hidden="false" customHeight="true" outlineLevel="0" collapsed="false">
      <c r="A59" s="4"/>
      <c r="B59" s="4"/>
      <c r="C59" s="4"/>
      <c r="D59" s="4"/>
      <c r="E59" s="4"/>
      <c r="F59" s="4"/>
      <c r="G59" s="4"/>
      <c r="H59" s="4"/>
    </row>
    <row r="60" customFormat="false" ht="15" hidden="false" customHeight="true" outlineLevel="0" collapsed="false">
      <c r="A60" s="4"/>
      <c r="B60" s="4"/>
      <c r="C60" s="4"/>
      <c r="D60" s="4"/>
      <c r="E60" s="4"/>
      <c r="F60" s="4"/>
      <c r="G60" s="4"/>
      <c r="H60" s="4"/>
    </row>
    <row r="61" customFormat="false" ht="15" hidden="false" customHeight="true" outlineLevel="0" collapsed="false">
      <c r="A61" s="4"/>
      <c r="B61" s="4"/>
      <c r="C61" s="4"/>
      <c r="D61" s="4"/>
      <c r="E61" s="4"/>
      <c r="F61" s="4"/>
      <c r="G61" s="4"/>
      <c r="H61" s="4"/>
    </row>
    <row r="62" customFormat="false" ht="15" hidden="false" customHeight="true" outlineLevel="0" collapsed="false">
      <c r="A62" s="4"/>
      <c r="B62" s="4"/>
      <c r="C62" s="4"/>
      <c r="D62" s="4"/>
      <c r="E62" s="4"/>
      <c r="F62" s="4"/>
      <c r="G62" s="4"/>
      <c r="H62" s="4"/>
    </row>
    <row r="63" customFormat="false" ht="15" hidden="false" customHeight="true" outlineLevel="0" collapsed="false">
      <c r="A63" s="4"/>
      <c r="B63" s="4"/>
      <c r="C63" s="4"/>
      <c r="D63" s="4"/>
      <c r="E63" s="4"/>
      <c r="F63" s="4"/>
      <c r="G63" s="4"/>
      <c r="H63" s="4"/>
    </row>
    <row r="64" customFormat="false" ht="15" hidden="false" customHeight="true" outlineLevel="0" collapsed="false">
      <c r="A64" s="4"/>
      <c r="B64" s="4"/>
      <c r="C64" s="4"/>
      <c r="D64" s="4"/>
      <c r="E64" s="4"/>
      <c r="F64" s="4"/>
      <c r="G64" s="4"/>
      <c r="H64" s="4"/>
    </row>
    <row r="65" customFormat="false" ht="15" hidden="false" customHeight="true" outlineLevel="0" collapsed="false">
      <c r="A65" s="4"/>
      <c r="B65" s="4"/>
      <c r="C65" s="4"/>
      <c r="D65" s="4"/>
      <c r="E65" s="4"/>
      <c r="F65" s="4"/>
      <c r="G65" s="4"/>
      <c r="H65" s="4"/>
    </row>
    <row r="66" customFormat="false" ht="15" hidden="false" customHeight="true" outlineLevel="0" collapsed="false">
      <c r="A66" s="4"/>
      <c r="B66" s="4"/>
      <c r="C66" s="4"/>
      <c r="D66" s="4"/>
      <c r="E66" s="4"/>
      <c r="F66" s="4"/>
      <c r="G66" s="4"/>
      <c r="H66" s="4"/>
    </row>
    <row r="67" customFormat="false" ht="15" hidden="false" customHeight="true" outlineLevel="0" collapsed="false">
      <c r="A67" s="4"/>
      <c r="B67" s="4"/>
      <c r="C67" s="4"/>
      <c r="D67" s="4"/>
      <c r="E67" s="4"/>
      <c r="F67" s="4"/>
      <c r="G67" s="4"/>
      <c r="H67" s="4"/>
    </row>
    <row r="68" customFormat="false" ht="15" hidden="false" customHeight="true" outlineLevel="0" collapsed="false">
      <c r="A68" s="4"/>
      <c r="B68" s="4"/>
      <c r="C68" s="4"/>
      <c r="D68" s="4"/>
      <c r="E68" s="4"/>
      <c r="F68" s="4"/>
      <c r="G68" s="4"/>
      <c r="H68" s="4"/>
    </row>
    <row r="69" customFormat="false" ht="15" hidden="false" customHeight="true" outlineLevel="0" collapsed="false">
      <c r="A69" s="4"/>
      <c r="B69" s="4"/>
      <c r="C69" s="4"/>
      <c r="D69" s="4"/>
      <c r="E69" s="4"/>
      <c r="F69" s="4"/>
      <c r="G69" s="4"/>
      <c r="H69" s="4"/>
    </row>
    <row r="70" customFormat="false" ht="15" hidden="false" customHeight="true" outlineLevel="0" collapsed="false">
      <c r="A70" s="4"/>
      <c r="B70" s="4"/>
      <c r="C70" s="4"/>
      <c r="D70" s="4"/>
      <c r="E70" s="4"/>
      <c r="F70" s="4"/>
      <c r="G70" s="4"/>
      <c r="H70" s="4"/>
    </row>
    <row r="71" customFormat="false" ht="15" hidden="false" customHeight="true" outlineLevel="0" collapsed="false">
      <c r="A71" s="4"/>
      <c r="B71" s="4"/>
      <c r="C71" s="4"/>
      <c r="D71" s="4"/>
      <c r="E71" s="4"/>
      <c r="F71" s="4"/>
      <c r="G71" s="4"/>
      <c r="H71" s="4"/>
    </row>
    <row r="72" customFormat="false" ht="15" hidden="false" customHeight="true" outlineLevel="0" collapsed="false">
      <c r="A72" s="4"/>
      <c r="B72" s="4"/>
      <c r="C72" s="4"/>
      <c r="D72" s="4"/>
      <c r="E72" s="4"/>
      <c r="F72" s="4"/>
      <c r="G72" s="4"/>
      <c r="H72" s="4"/>
    </row>
    <row r="73" customFormat="false" ht="15" hidden="false" customHeight="true" outlineLevel="0" collapsed="false">
      <c r="A73" s="4"/>
      <c r="B73" s="4"/>
      <c r="C73" s="4"/>
      <c r="D73" s="4"/>
      <c r="E73" s="4"/>
      <c r="F73" s="4"/>
      <c r="G73" s="4"/>
      <c r="H73" s="4"/>
    </row>
    <row r="74" customFormat="false" ht="15" hidden="false" customHeight="true" outlineLevel="0" collapsed="false">
      <c r="A74" s="4"/>
      <c r="B74" s="4"/>
      <c r="C74" s="4"/>
      <c r="D74" s="4"/>
      <c r="E74" s="4"/>
      <c r="F74" s="4"/>
      <c r="G74" s="4"/>
      <c r="H74" s="4"/>
    </row>
    <row r="75" customFormat="false" ht="15" hidden="false" customHeight="true" outlineLevel="0" collapsed="false">
      <c r="A75" s="4"/>
      <c r="B75" s="4"/>
      <c r="C75" s="4"/>
      <c r="D75" s="4"/>
      <c r="E75" s="4"/>
      <c r="F75" s="4"/>
      <c r="G75" s="4"/>
      <c r="H75" s="4"/>
    </row>
    <row r="76" customFormat="false" ht="15" hidden="false" customHeight="true" outlineLevel="0" collapsed="false">
      <c r="A76" s="4"/>
      <c r="B76" s="4"/>
      <c r="C76" s="4"/>
      <c r="D76" s="4"/>
      <c r="E76" s="4"/>
      <c r="F76" s="4"/>
      <c r="G76" s="4"/>
      <c r="H76" s="4"/>
    </row>
    <row r="77" customFormat="false" ht="15" hidden="false" customHeight="true" outlineLevel="0" collapsed="false">
      <c r="A77" s="4"/>
      <c r="B77" s="4"/>
      <c r="C77" s="4"/>
      <c r="D77" s="4"/>
      <c r="E77" s="4"/>
      <c r="F77" s="4"/>
      <c r="G77" s="4"/>
      <c r="H77" s="4"/>
    </row>
    <row r="78" customFormat="false" ht="15" hidden="false" customHeight="true" outlineLevel="0" collapsed="false">
      <c r="A78" s="4"/>
      <c r="B78" s="4"/>
      <c r="C78" s="4"/>
      <c r="D78" s="4"/>
      <c r="E78" s="4"/>
      <c r="F78" s="4"/>
      <c r="G78" s="4"/>
      <c r="H78" s="4"/>
    </row>
    <row r="79" customFormat="false" ht="15" hidden="false" customHeight="true" outlineLevel="0" collapsed="false">
      <c r="A79" s="4"/>
      <c r="B79" s="4"/>
      <c r="C79" s="4"/>
      <c r="D79" s="4"/>
      <c r="E79" s="4"/>
      <c r="F79" s="4"/>
      <c r="G79" s="4"/>
      <c r="H79" s="4"/>
    </row>
    <row r="80" customFormat="false" ht="15" hidden="false" customHeight="true" outlineLevel="0" collapsed="false">
      <c r="A80" s="4"/>
      <c r="B80" s="4"/>
      <c r="C80" s="4"/>
      <c r="D80" s="4"/>
      <c r="E80" s="4"/>
      <c r="F80" s="4"/>
      <c r="G80" s="4"/>
      <c r="H80" s="4"/>
    </row>
    <row r="81" customFormat="false" ht="15" hidden="false" customHeight="true" outlineLevel="0" collapsed="false">
      <c r="A81" s="4"/>
      <c r="B81" s="4"/>
      <c r="C81" s="4"/>
      <c r="D81" s="4"/>
      <c r="E81" s="4"/>
      <c r="F81" s="4"/>
      <c r="G81" s="4"/>
      <c r="H81" s="4"/>
    </row>
    <row r="82" customFormat="false" ht="15" hidden="false" customHeight="true" outlineLevel="0" collapsed="false">
      <c r="A82" s="4"/>
      <c r="B82" s="4"/>
      <c r="C82" s="4"/>
      <c r="D82" s="4"/>
      <c r="E82" s="4"/>
      <c r="F82" s="4"/>
      <c r="G82" s="4"/>
      <c r="H82" s="4"/>
    </row>
    <row r="83" customFormat="false" ht="15" hidden="false" customHeight="true" outlineLevel="0" collapsed="false">
      <c r="A83" s="4"/>
      <c r="B83" s="4"/>
      <c r="C83" s="4"/>
      <c r="D83" s="4"/>
      <c r="E83" s="4"/>
      <c r="F83" s="4"/>
      <c r="G83" s="4"/>
      <c r="H83" s="4"/>
    </row>
    <row r="84" customFormat="false" ht="15" hidden="false" customHeight="true" outlineLevel="0" collapsed="false">
      <c r="A84" s="4"/>
      <c r="B84" s="4"/>
      <c r="C84" s="4"/>
      <c r="D84" s="4"/>
      <c r="E84" s="4"/>
      <c r="F84" s="4"/>
      <c r="G84" s="4"/>
      <c r="H84" s="4"/>
    </row>
    <row r="85" customFormat="false" ht="15" hidden="false" customHeight="true" outlineLevel="0" collapsed="false">
      <c r="A85" s="4"/>
      <c r="B85" s="4"/>
      <c r="C85" s="4"/>
      <c r="D85" s="4"/>
      <c r="E85" s="4"/>
      <c r="F85" s="4"/>
      <c r="G85" s="4"/>
      <c r="H85" s="4"/>
    </row>
    <row r="86" customFormat="false" ht="15" hidden="false" customHeight="true" outlineLevel="0" collapsed="false">
      <c r="A86" s="4"/>
      <c r="B86" s="4"/>
      <c r="C86" s="4"/>
      <c r="D86" s="4"/>
      <c r="E86" s="4"/>
      <c r="F86" s="4"/>
      <c r="G86" s="4"/>
      <c r="H86" s="4"/>
    </row>
    <row r="87" customFormat="false" ht="15" hidden="false" customHeight="true" outlineLevel="0" collapsed="false">
      <c r="A87" s="4"/>
      <c r="B87" s="4"/>
      <c r="C87" s="4"/>
      <c r="D87" s="4"/>
      <c r="E87" s="4"/>
      <c r="F87" s="4"/>
      <c r="G87" s="4"/>
      <c r="H87" s="4"/>
    </row>
    <row r="88" customFormat="false" ht="15" hidden="false" customHeight="true" outlineLevel="0" collapsed="false">
      <c r="A88" s="4"/>
      <c r="B88" s="4"/>
      <c r="C88" s="4"/>
      <c r="D88" s="4"/>
      <c r="E88" s="4"/>
      <c r="F88" s="4"/>
      <c r="G88" s="4"/>
      <c r="H88" s="4"/>
    </row>
    <row r="89" customFormat="false" ht="15" hidden="false" customHeight="true" outlineLevel="0" collapsed="false">
      <c r="A89" s="4"/>
      <c r="B89" s="4"/>
      <c r="C89" s="4"/>
      <c r="D89" s="4"/>
      <c r="E89" s="4"/>
      <c r="F89" s="4"/>
      <c r="G89" s="4"/>
      <c r="H89" s="4"/>
    </row>
    <row r="90" customFormat="false" ht="15" hidden="false" customHeight="true" outlineLevel="0" collapsed="false">
      <c r="A90" s="4"/>
      <c r="B90" s="4"/>
      <c r="C90" s="4"/>
      <c r="D90" s="4"/>
      <c r="E90" s="4"/>
      <c r="F90" s="4"/>
      <c r="G90" s="4"/>
      <c r="H90" s="4"/>
    </row>
    <row r="91" customFormat="false" ht="15" hidden="false" customHeight="true" outlineLevel="0" collapsed="false">
      <c r="A91" s="4"/>
      <c r="B91" s="4"/>
      <c r="C91" s="4"/>
      <c r="D91" s="4"/>
      <c r="E91" s="4"/>
      <c r="F91" s="4"/>
      <c r="G91" s="4"/>
      <c r="H91" s="4"/>
    </row>
    <row r="92" customFormat="false" ht="15" hidden="false" customHeight="true" outlineLevel="0" collapsed="false">
      <c r="A92" s="4"/>
      <c r="B92" s="4"/>
      <c r="C92" s="4"/>
      <c r="D92" s="4"/>
      <c r="E92" s="4"/>
      <c r="F92" s="4"/>
      <c r="G92" s="4"/>
      <c r="H92" s="4"/>
    </row>
    <row r="93" customFormat="false" ht="15" hidden="false" customHeight="true" outlineLevel="0" collapsed="false">
      <c r="A93" s="4"/>
      <c r="B93" s="4"/>
      <c r="C93" s="4"/>
      <c r="D93" s="4"/>
      <c r="E93" s="4"/>
      <c r="F93" s="4"/>
      <c r="G93" s="4"/>
      <c r="H93" s="4"/>
    </row>
    <row r="94" customFormat="false" ht="15" hidden="false" customHeight="true" outlineLevel="0" collapsed="false">
      <c r="A94" s="4"/>
      <c r="B94" s="4"/>
      <c r="C94" s="4"/>
      <c r="D94" s="4"/>
      <c r="E94" s="4"/>
      <c r="F94" s="4"/>
      <c r="G94" s="4"/>
      <c r="H94" s="4"/>
    </row>
    <row r="95" customFormat="false" ht="15" hidden="false" customHeight="true" outlineLevel="0" collapsed="false">
      <c r="A95" s="4"/>
      <c r="B95" s="4"/>
      <c r="C95" s="4"/>
      <c r="D95" s="4"/>
      <c r="E95" s="4"/>
      <c r="F95" s="4"/>
      <c r="G95" s="4"/>
      <c r="H95" s="4"/>
    </row>
    <row r="96" customFormat="false" ht="15" hidden="false" customHeight="true" outlineLevel="0" collapsed="false">
      <c r="A96" s="4"/>
      <c r="B96" s="4"/>
      <c r="C96" s="4"/>
      <c r="D96" s="4"/>
      <c r="E96" s="4"/>
      <c r="F96" s="4"/>
      <c r="G96" s="4"/>
      <c r="H96" s="4"/>
    </row>
    <row r="97" customFormat="false" ht="15" hidden="false" customHeight="true" outlineLevel="0" collapsed="false">
      <c r="A97" s="4"/>
      <c r="B97" s="4"/>
      <c r="C97" s="4"/>
      <c r="D97" s="4"/>
      <c r="E97" s="4"/>
      <c r="F97" s="4"/>
      <c r="G97" s="4"/>
      <c r="H97" s="4"/>
    </row>
    <row r="98" customFormat="false" ht="15" hidden="false" customHeight="true" outlineLevel="0" collapsed="false">
      <c r="A98" s="4"/>
      <c r="B98" s="4"/>
      <c r="C98" s="4"/>
      <c r="D98" s="4"/>
      <c r="E98" s="4"/>
      <c r="F98" s="4"/>
      <c r="G98" s="4"/>
      <c r="H98" s="4"/>
    </row>
    <row r="99" customFormat="false" ht="15" hidden="false" customHeight="true" outlineLevel="0" collapsed="false">
      <c r="A99" s="4"/>
      <c r="B99" s="4"/>
      <c r="C99" s="4"/>
      <c r="D99" s="4"/>
      <c r="E99" s="4"/>
      <c r="F99" s="4"/>
      <c r="G99" s="4"/>
      <c r="H99" s="4"/>
    </row>
    <row r="100" customFormat="false" ht="15" hidden="false" customHeight="true" outlineLevel="0" collapsed="false">
      <c r="A100" s="4"/>
      <c r="B100" s="4"/>
      <c r="C100" s="4"/>
      <c r="D100" s="4"/>
      <c r="E100" s="4"/>
      <c r="F100" s="4"/>
      <c r="G100" s="4"/>
      <c r="H100" s="4"/>
    </row>
    <row r="101" customFormat="false" ht="15" hidden="false" customHeight="true" outlineLevel="0" collapsed="false">
      <c r="A101" s="4"/>
      <c r="B101" s="4"/>
      <c r="C101" s="4"/>
      <c r="D101" s="4"/>
      <c r="E101" s="4"/>
      <c r="F101" s="4"/>
      <c r="G101" s="4"/>
      <c r="H101" s="4"/>
    </row>
    <row r="102" customFormat="false" ht="15" hidden="false" customHeight="true" outlineLevel="0" collapsed="false">
      <c r="A102" s="4"/>
      <c r="B102" s="4"/>
      <c r="C102" s="4"/>
      <c r="D102" s="4"/>
      <c r="E102" s="4"/>
      <c r="F102" s="4"/>
      <c r="G102" s="4"/>
      <c r="H102" s="4"/>
    </row>
    <row r="103" customFormat="false" ht="15" hidden="false" customHeight="true" outlineLevel="0" collapsed="false">
      <c r="A103" s="4"/>
      <c r="B103" s="4"/>
      <c r="C103" s="4"/>
      <c r="D103" s="4"/>
      <c r="E103" s="4"/>
      <c r="F103" s="4"/>
      <c r="G103" s="4"/>
      <c r="H103" s="4"/>
    </row>
    <row r="104" customFormat="false" ht="15" hidden="false" customHeight="true" outlineLevel="0" collapsed="false">
      <c r="A104" s="4"/>
      <c r="B104" s="4"/>
      <c r="C104" s="4"/>
      <c r="D104" s="4"/>
      <c r="E104" s="4"/>
      <c r="F104" s="4"/>
      <c r="G104" s="4"/>
      <c r="H104" s="4"/>
    </row>
    <row r="105" customFormat="false" ht="15" hidden="false" customHeight="true" outlineLevel="0" collapsed="false">
      <c r="A105" s="4"/>
      <c r="B105" s="4"/>
      <c r="C105" s="4"/>
      <c r="D105" s="4"/>
      <c r="E105" s="4"/>
      <c r="F105" s="4"/>
      <c r="G105" s="4"/>
      <c r="H105" s="4"/>
    </row>
    <row r="106" customFormat="false" ht="15" hidden="false" customHeight="true" outlineLevel="0" collapsed="false">
      <c r="A106" s="4"/>
      <c r="B106" s="4"/>
      <c r="C106" s="4"/>
      <c r="D106" s="4"/>
      <c r="E106" s="4"/>
      <c r="F106" s="4"/>
      <c r="G106" s="4"/>
      <c r="H106" s="4"/>
    </row>
    <row r="107" customFormat="false" ht="15" hidden="false" customHeight="true" outlineLevel="0" collapsed="false">
      <c r="A107" s="4"/>
      <c r="B107" s="4"/>
      <c r="C107" s="4"/>
      <c r="D107" s="4"/>
      <c r="E107" s="4"/>
      <c r="F107" s="4"/>
      <c r="G107" s="4"/>
      <c r="H107" s="4"/>
    </row>
    <row r="108" customFormat="false" ht="15" hidden="false" customHeight="true" outlineLevel="0" collapsed="false">
      <c r="A108" s="4"/>
      <c r="B108" s="4"/>
      <c r="C108" s="4"/>
      <c r="D108" s="4"/>
      <c r="E108" s="4"/>
      <c r="F108" s="4"/>
      <c r="G108" s="4"/>
      <c r="H108" s="4"/>
    </row>
    <row r="109" customFormat="false" ht="15" hidden="false" customHeight="true" outlineLevel="0" collapsed="false">
      <c r="A109" s="4"/>
      <c r="B109" s="4"/>
      <c r="C109" s="4"/>
      <c r="D109" s="4"/>
      <c r="E109" s="4"/>
      <c r="F109" s="4"/>
      <c r="G109" s="4"/>
      <c r="H109" s="4"/>
    </row>
    <row r="110" customFormat="false" ht="15" hidden="false" customHeight="true" outlineLevel="0" collapsed="false">
      <c r="A110" s="4"/>
      <c r="B110" s="4"/>
      <c r="C110" s="4"/>
      <c r="D110" s="4"/>
      <c r="E110" s="4"/>
      <c r="F110" s="4"/>
      <c r="G110" s="4"/>
      <c r="H110" s="4"/>
    </row>
    <row r="111" customFormat="false" ht="15" hidden="false" customHeight="true" outlineLevel="0" collapsed="false">
      <c r="A111" s="4"/>
      <c r="B111" s="4"/>
      <c r="C111" s="4"/>
      <c r="D111" s="4"/>
      <c r="E111" s="4"/>
      <c r="F111" s="4"/>
      <c r="G111" s="4"/>
      <c r="H111" s="4"/>
    </row>
    <row r="112" customFormat="false" ht="15" hidden="false" customHeight="true" outlineLevel="0" collapsed="false">
      <c r="A112" s="4"/>
      <c r="B112" s="4"/>
      <c r="C112" s="4"/>
      <c r="D112" s="4"/>
      <c r="E112" s="4"/>
      <c r="F112" s="4"/>
      <c r="G112" s="4"/>
      <c r="H112" s="4"/>
    </row>
    <row r="113" customFormat="false" ht="15" hidden="false" customHeight="true" outlineLevel="0" collapsed="false">
      <c r="A113" s="4"/>
      <c r="B113" s="4"/>
      <c r="C113" s="4"/>
      <c r="D113" s="4"/>
      <c r="E113" s="4"/>
      <c r="F113" s="4"/>
      <c r="G113" s="4"/>
      <c r="H113" s="4"/>
    </row>
    <row r="114" customFormat="false" ht="15" hidden="false" customHeight="true" outlineLevel="0" collapsed="false">
      <c r="A114" s="4"/>
      <c r="B114" s="4"/>
      <c r="C114" s="4"/>
      <c r="D114" s="4"/>
      <c r="E114" s="4"/>
      <c r="F114" s="4"/>
      <c r="G114" s="4"/>
      <c r="H114" s="4"/>
    </row>
    <row r="115" customFormat="false" ht="15" hidden="false" customHeight="true" outlineLevel="0" collapsed="false">
      <c r="A115" s="4"/>
      <c r="B115" s="4"/>
      <c r="C115" s="4"/>
      <c r="D115" s="4"/>
      <c r="E115" s="4"/>
      <c r="F115" s="4"/>
      <c r="G115" s="4"/>
      <c r="H115" s="4"/>
    </row>
    <row r="116" customFormat="false" ht="15" hidden="false" customHeight="true" outlineLevel="0" collapsed="false">
      <c r="A116" s="4"/>
      <c r="B116" s="4"/>
      <c r="C116" s="4"/>
      <c r="D116" s="4"/>
      <c r="E116" s="4"/>
      <c r="F116" s="4"/>
      <c r="G116" s="4"/>
      <c r="H116" s="4"/>
    </row>
    <row r="117" customFormat="false" ht="15" hidden="false" customHeight="true" outlineLevel="0" collapsed="false">
      <c r="A117" s="4"/>
      <c r="B117" s="4"/>
      <c r="C117" s="4"/>
      <c r="D117" s="4"/>
      <c r="E117" s="4"/>
      <c r="F117" s="4"/>
      <c r="G117" s="4"/>
      <c r="H117" s="4"/>
    </row>
    <row r="118" customFormat="false" ht="15" hidden="false" customHeight="true" outlineLevel="0" collapsed="false">
      <c r="A118" s="4"/>
      <c r="B118" s="4"/>
      <c r="C118" s="4"/>
      <c r="D118" s="4"/>
      <c r="E118" s="4"/>
      <c r="F118" s="4"/>
      <c r="G118" s="4"/>
      <c r="H118" s="4"/>
    </row>
    <row r="119" customFormat="false" ht="15" hidden="false" customHeight="true" outlineLevel="0" collapsed="false">
      <c r="A119" s="4"/>
      <c r="B119" s="4"/>
      <c r="C119" s="4"/>
      <c r="D119" s="4"/>
      <c r="E119" s="4"/>
      <c r="F119" s="4"/>
      <c r="G119" s="4"/>
      <c r="H119" s="4"/>
    </row>
    <row r="120" customFormat="false" ht="15" hidden="false" customHeight="true" outlineLevel="0" collapsed="false">
      <c r="A120" s="4"/>
      <c r="B120" s="4"/>
      <c r="C120" s="4"/>
      <c r="D120" s="4"/>
      <c r="E120" s="4"/>
      <c r="F120" s="4"/>
      <c r="G120" s="4"/>
      <c r="H120" s="4"/>
    </row>
    <row r="121" customFormat="false" ht="15" hidden="false" customHeight="true" outlineLevel="0" collapsed="false">
      <c r="A121" s="4"/>
      <c r="B121" s="4"/>
      <c r="C121" s="4"/>
      <c r="D121" s="4"/>
      <c r="E121" s="4"/>
      <c r="F121" s="4"/>
      <c r="G121" s="4"/>
      <c r="H121" s="4"/>
    </row>
    <row r="122" customFormat="false" ht="15" hidden="false" customHeight="true" outlineLevel="0" collapsed="false">
      <c r="A122" s="4"/>
      <c r="B122" s="4"/>
      <c r="C122" s="4"/>
      <c r="D122" s="4"/>
      <c r="E122" s="4"/>
      <c r="F122" s="4"/>
      <c r="G122" s="4"/>
      <c r="H122" s="4"/>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3" min="3" style="1" width="22"/>
    <col collapsed="false" customWidth="true" hidden="false" outlineLevel="0" max="6" min="4" style="1" width="13"/>
    <col collapsed="false" customWidth="true" hidden="false" outlineLevel="0" max="7" min="7" style="1" width="15"/>
    <col collapsed="false" customWidth="true" hidden="false" outlineLevel="0" max="9" min="8" style="1" width="12"/>
    <col collapsed="false" customWidth="true" hidden="false" outlineLevel="0" max="10" min="10" style="1" width="13"/>
    <col collapsed="false" customWidth="true" hidden="false" outlineLevel="0" max="11" min="11" style="1" width="10"/>
    <col collapsed="false" customWidth="true" hidden="false" outlineLevel="0" max="12" min="12" style="1" width="11"/>
    <col collapsed="false" customWidth="true" hidden="false" outlineLevel="0" max="13" min="13" style="1" width="16"/>
    <col collapsed="false" customWidth="true" hidden="false" outlineLevel="0" max="14" min="14" style="1" width="12"/>
    <col collapsed="false" customWidth="true" hidden="false" outlineLevel="0" max="15" min="15" style="1" width="46"/>
  </cols>
  <sheetData>
    <row r="1" customFormat="false" ht="25.5" hidden="false" customHeight="true" outlineLevel="0" collapsed="false">
      <c r="A1" s="2" t="s">
        <v>132</v>
      </c>
      <c r="B1" s="2"/>
      <c r="C1" s="2"/>
      <c r="D1" s="2"/>
      <c r="E1" s="2"/>
      <c r="F1" s="2"/>
      <c r="G1" s="2"/>
      <c r="H1" s="2"/>
      <c r="I1" s="2"/>
      <c r="J1" s="2"/>
      <c r="K1" s="2"/>
      <c r="L1" s="2"/>
      <c r="M1" s="2"/>
      <c r="N1" s="2"/>
      <c r="O1" s="2"/>
    </row>
    <row r="2" customFormat="false" ht="30" hidden="false" customHeight="true" outlineLevel="0" collapsed="false">
      <c r="A2" s="7" t="s">
        <v>79</v>
      </c>
      <c r="B2" s="7" t="s">
        <v>103</v>
      </c>
      <c r="C2" s="7" t="s">
        <v>104</v>
      </c>
      <c r="D2" s="7" t="s">
        <v>50</v>
      </c>
      <c r="E2" s="7" t="s">
        <v>54</v>
      </c>
      <c r="F2" s="7" t="s">
        <v>58</v>
      </c>
      <c r="G2" s="7" t="s">
        <v>62</v>
      </c>
      <c r="H2" s="7" t="s">
        <v>66</v>
      </c>
      <c r="I2" s="7" t="s">
        <v>70</v>
      </c>
      <c r="J2" s="7" t="s">
        <v>74</v>
      </c>
      <c r="K2" s="7" t="s">
        <v>133</v>
      </c>
      <c r="L2" s="7" t="s">
        <v>134</v>
      </c>
      <c r="M2" s="7" t="s">
        <v>135</v>
      </c>
      <c r="N2" s="7" t="s">
        <v>136</v>
      </c>
      <c r="O2" s="7" t="s">
        <v>137</v>
      </c>
    </row>
    <row r="3" customFormat="false" ht="34.5" hidden="false" customHeight="true" outlineLevel="0" collapsed="false">
      <c r="A3" s="9" t="s">
        <v>87</v>
      </c>
      <c r="B3" s="9" t="s">
        <v>123</v>
      </c>
      <c r="C3" s="9" t="s">
        <v>124</v>
      </c>
      <c r="D3" s="9" t="s">
        <v>138</v>
      </c>
      <c r="E3" s="9" t="s">
        <v>138</v>
      </c>
      <c r="F3" s="9" t="s">
        <v>139</v>
      </c>
      <c r="G3" s="9" t="s">
        <v>139</v>
      </c>
      <c r="H3" s="9" t="s">
        <v>138</v>
      </c>
      <c r="I3" s="9" t="s">
        <v>138</v>
      </c>
      <c r="J3" s="9" t="s">
        <v>138</v>
      </c>
      <c r="K3" s="10" t="n">
        <f aca="false">IF(COUNTA(D3:J3)=0,"",ROUND((COUNTIF(D3:J3,"High")*3+COUNTIF(D3:J3,"Medium")*2+COUNTIF(D3:J3,"Low"))/COUNTA(D3:J3),1))</f>
        <v>2.7</v>
      </c>
      <c r="L3" s="11" t="str">
        <f aca="false">IF(K3="","",IF(K3&gt;=2.3,"High",IF(K3&gt;=1.5,"Medium","Low")))</f>
        <v>High</v>
      </c>
      <c r="M3" s="9" t="s">
        <v>140</v>
      </c>
      <c r="N3" s="9" t="s">
        <v>141</v>
      </c>
      <c r="O3" s="9" t="s">
        <v>142</v>
      </c>
    </row>
    <row r="4" customFormat="false" ht="15" hidden="false" customHeight="true" outlineLevel="0" collapsed="false">
      <c r="A4" s="4"/>
      <c r="B4" s="4"/>
      <c r="C4" s="4"/>
      <c r="D4" s="4"/>
      <c r="E4" s="4"/>
      <c r="F4" s="4"/>
      <c r="G4" s="4"/>
      <c r="H4" s="4"/>
      <c r="I4" s="4"/>
      <c r="J4" s="4"/>
      <c r="K4" s="12" t="str">
        <f aca="false">IF(COUNTA(D4:J4)=0,"",ROUND((COUNTIF(D4:J4,"High")*3+COUNTIF(D4:J4,"Medium")*2+COUNTIF(D4:J4,"Low"))/COUNTA(D4:J4),1))</f>
        <v/>
      </c>
      <c r="L4" s="12" t="str">
        <f aca="false">IF(K4="","",IF(K4&gt;=2.3,"High",IF(K4&gt;=1.5,"Medium","Low")))</f>
        <v/>
      </c>
      <c r="M4" s="4"/>
      <c r="N4" s="4"/>
      <c r="O4" s="4"/>
    </row>
    <row r="5" customFormat="false" ht="15" hidden="false" customHeight="true" outlineLevel="0" collapsed="false">
      <c r="A5" s="4"/>
      <c r="B5" s="4"/>
      <c r="C5" s="4"/>
      <c r="D5" s="4"/>
      <c r="E5" s="4"/>
      <c r="F5" s="4"/>
      <c r="G5" s="4"/>
      <c r="H5" s="4"/>
      <c r="I5" s="4"/>
      <c r="J5" s="4"/>
      <c r="K5" s="12" t="str">
        <f aca="false">IF(COUNTA(D5:J5)=0,"",ROUND((COUNTIF(D5:J5,"High")*3+COUNTIF(D5:J5,"Medium")*2+COUNTIF(D5:J5,"Low"))/COUNTA(D5:J5),1))</f>
        <v/>
      </c>
      <c r="L5" s="12" t="str">
        <f aca="false">IF(K5="","",IF(K5&gt;=2.3,"High",IF(K5&gt;=1.5,"Medium","Low")))</f>
        <v/>
      </c>
      <c r="M5" s="4"/>
      <c r="N5" s="4"/>
      <c r="O5" s="4"/>
    </row>
    <row r="6" customFormat="false" ht="15" hidden="false" customHeight="true" outlineLevel="0" collapsed="false">
      <c r="A6" s="4"/>
      <c r="B6" s="4"/>
      <c r="C6" s="4"/>
      <c r="D6" s="4"/>
      <c r="E6" s="4"/>
      <c r="F6" s="4"/>
      <c r="G6" s="4"/>
      <c r="H6" s="4"/>
      <c r="I6" s="4"/>
      <c r="J6" s="4"/>
      <c r="K6" s="12" t="str">
        <f aca="false">IF(COUNTA(D6:J6)=0,"",ROUND((COUNTIF(D6:J6,"High")*3+COUNTIF(D6:J6,"Medium")*2+COUNTIF(D6:J6,"Low"))/COUNTA(D6:J6),1))</f>
        <v/>
      </c>
      <c r="L6" s="12" t="str">
        <f aca="false">IF(K6="","",IF(K6&gt;=2.3,"High",IF(K6&gt;=1.5,"Medium","Low")))</f>
        <v/>
      </c>
      <c r="M6" s="4"/>
      <c r="N6" s="4"/>
      <c r="O6" s="4"/>
    </row>
    <row r="7" customFormat="false" ht="15" hidden="false" customHeight="true" outlineLevel="0" collapsed="false">
      <c r="A7" s="4"/>
      <c r="B7" s="4"/>
      <c r="C7" s="4"/>
      <c r="D7" s="4"/>
      <c r="E7" s="4"/>
      <c r="F7" s="4"/>
      <c r="G7" s="4"/>
      <c r="H7" s="4"/>
      <c r="I7" s="4"/>
      <c r="J7" s="4"/>
      <c r="K7" s="12" t="str">
        <f aca="false">IF(COUNTA(D7:J7)=0,"",ROUND((COUNTIF(D7:J7,"High")*3+COUNTIF(D7:J7,"Medium")*2+COUNTIF(D7:J7,"Low"))/COUNTA(D7:J7),1))</f>
        <v/>
      </c>
      <c r="L7" s="12" t="str">
        <f aca="false">IF(K7="","",IF(K7&gt;=2.3,"High",IF(K7&gt;=1.5,"Medium","Low")))</f>
        <v/>
      </c>
      <c r="M7" s="4"/>
      <c r="N7" s="4"/>
      <c r="O7" s="4"/>
    </row>
    <row r="8" customFormat="false" ht="15" hidden="false" customHeight="true" outlineLevel="0" collapsed="false">
      <c r="A8" s="4"/>
      <c r="B8" s="4"/>
      <c r="C8" s="4"/>
      <c r="D8" s="4"/>
      <c r="E8" s="4"/>
      <c r="F8" s="4"/>
      <c r="G8" s="4"/>
      <c r="H8" s="4"/>
      <c r="I8" s="4"/>
      <c r="J8" s="4"/>
      <c r="K8" s="12" t="str">
        <f aca="false">IF(COUNTA(D8:J8)=0,"",ROUND((COUNTIF(D8:J8,"High")*3+COUNTIF(D8:J8,"Medium")*2+COUNTIF(D8:J8,"Low"))/COUNTA(D8:J8),1))</f>
        <v/>
      </c>
      <c r="L8" s="12" t="str">
        <f aca="false">IF(K8="","",IF(K8&gt;=2.3,"High",IF(K8&gt;=1.5,"Medium","Low")))</f>
        <v/>
      </c>
      <c r="M8" s="4"/>
      <c r="N8" s="4"/>
      <c r="O8" s="4"/>
    </row>
    <row r="9" customFormat="false" ht="15" hidden="false" customHeight="true" outlineLevel="0" collapsed="false">
      <c r="A9" s="4"/>
      <c r="B9" s="4"/>
      <c r="C9" s="4"/>
      <c r="D9" s="4"/>
      <c r="E9" s="4"/>
      <c r="F9" s="4"/>
      <c r="G9" s="4"/>
      <c r="H9" s="4"/>
      <c r="I9" s="4"/>
      <c r="J9" s="4"/>
      <c r="K9" s="12" t="str">
        <f aca="false">IF(COUNTA(D9:J9)=0,"",ROUND((COUNTIF(D9:J9,"High")*3+COUNTIF(D9:J9,"Medium")*2+COUNTIF(D9:J9,"Low"))/COUNTA(D9:J9),1))</f>
        <v/>
      </c>
      <c r="L9" s="12" t="str">
        <f aca="false">IF(K9="","",IF(K9&gt;=2.3,"High",IF(K9&gt;=1.5,"Medium","Low")))</f>
        <v/>
      </c>
      <c r="M9" s="4"/>
      <c r="N9" s="4"/>
      <c r="O9" s="4"/>
    </row>
    <row r="10" customFormat="false" ht="15" hidden="false" customHeight="true" outlineLevel="0" collapsed="false">
      <c r="A10" s="4"/>
      <c r="B10" s="4"/>
      <c r="C10" s="4"/>
      <c r="D10" s="4"/>
      <c r="E10" s="4"/>
      <c r="F10" s="4"/>
      <c r="G10" s="4"/>
      <c r="H10" s="4"/>
      <c r="I10" s="4"/>
      <c r="J10" s="4"/>
      <c r="K10" s="12" t="str">
        <f aca="false">IF(COUNTA(D10:J10)=0,"",ROUND((COUNTIF(D10:J10,"High")*3+COUNTIF(D10:J10,"Medium")*2+COUNTIF(D10:J10,"Low"))/COUNTA(D10:J10),1))</f>
        <v/>
      </c>
      <c r="L10" s="12" t="str">
        <f aca="false">IF(K10="","",IF(K10&gt;=2.3,"High",IF(K10&gt;=1.5,"Medium","Low")))</f>
        <v/>
      </c>
      <c r="M10" s="4"/>
      <c r="N10" s="4"/>
      <c r="O10" s="4"/>
    </row>
    <row r="11" customFormat="false" ht="15" hidden="false" customHeight="true" outlineLevel="0" collapsed="false">
      <c r="A11" s="4"/>
      <c r="B11" s="4"/>
      <c r="C11" s="4"/>
      <c r="D11" s="4"/>
      <c r="E11" s="4"/>
      <c r="F11" s="4"/>
      <c r="G11" s="4"/>
      <c r="H11" s="4"/>
      <c r="I11" s="4"/>
      <c r="J11" s="4"/>
      <c r="K11" s="12" t="str">
        <f aca="false">IF(COUNTA(D11:J11)=0,"",ROUND((COUNTIF(D11:J11,"High")*3+COUNTIF(D11:J11,"Medium")*2+COUNTIF(D11:J11,"Low"))/COUNTA(D11:J11),1))</f>
        <v/>
      </c>
      <c r="L11" s="12" t="str">
        <f aca="false">IF(K11="","",IF(K11&gt;=2.3,"High",IF(K11&gt;=1.5,"Medium","Low")))</f>
        <v/>
      </c>
      <c r="M11" s="4"/>
      <c r="N11" s="4"/>
      <c r="O11" s="4"/>
    </row>
    <row r="12" customFormat="false" ht="15" hidden="false" customHeight="true" outlineLevel="0" collapsed="false">
      <c r="A12" s="4"/>
      <c r="B12" s="4"/>
      <c r="C12" s="4"/>
      <c r="D12" s="4"/>
      <c r="E12" s="4"/>
      <c r="F12" s="4"/>
      <c r="G12" s="4"/>
      <c r="H12" s="4"/>
      <c r="I12" s="4"/>
      <c r="J12" s="4"/>
      <c r="K12" s="12" t="str">
        <f aca="false">IF(COUNTA(D12:J12)=0,"",ROUND((COUNTIF(D12:J12,"High")*3+COUNTIF(D12:J12,"Medium")*2+COUNTIF(D12:J12,"Low"))/COUNTA(D12:J12),1))</f>
        <v/>
      </c>
      <c r="L12" s="12" t="str">
        <f aca="false">IF(K12="","",IF(K12&gt;=2.3,"High",IF(K12&gt;=1.5,"Medium","Low")))</f>
        <v/>
      </c>
      <c r="M12" s="4"/>
      <c r="N12" s="4"/>
      <c r="O12" s="4"/>
    </row>
    <row r="13" customFormat="false" ht="15" hidden="false" customHeight="true" outlineLevel="0" collapsed="false">
      <c r="A13" s="4"/>
      <c r="B13" s="4"/>
      <c r="C13" s="4"/>
      <c r="D13" s="4"/>
      <c r="E13" s="4"/>
      <c r="F13" s="4"/>
      <c r="G13" s="4"/>
      <c r="H13" s="4"/>
      <c r="I13" s="4"/>
      <c r="J13" s="4"/>
      <c r="K13" s="12" t="str">
        <f aca="false">IF(COUNTA(D13:J13)=0,"",ROUND((COUNTIF(D13:J13,"High")*3+COUNTIF(D13:J13,"Medium")*2+COUNTIF(D13:J13,"Low"))/COUNTA(D13:J13),1))</f>
        <v/>
      </c>
      <c r="L13" s="12" t="str">
        <f aca="false">IF(K13="","",IF(K13&gt;=2.3,"High",IF(K13&gt;=1.5,"Medium","Low")))</f>
        <v/>
      </c>
      <c r="M13" s="4"/>
      <c r="N13" s="4"/>
      <c r="O13" s="4"/>
    </row>
    <row r="14" customFormat="false" ht="15" hidden="false" customHeight="true" outlineLevel="0" collapsed="false">
      <c r="A14" s="4"/>
      <c r="B14" s="4"/>
      <c r="C14" s="4"/>
      <c r="D14" s="4"/>
      <c r="E14" s="4"/>
      <c r="F14" s="4"/>
      <c r="G14" s="4"/>
      <c r="H14" s="4"/>
      <c r="I14" s="4"/>
      <c r="J14" s="4"/>
      <c r="K14" s="12" t="str">
        <f aca="false">IF(COUNTA(D14:J14)=0,"",ROUND((COUNTIF(D14:J14,"High")*3+COUNTIF(D14:J14,"Medium")*2+COUNTIF(D14:J14,"Low"))/COUNTA(D14:J14),1))</f>
        <v/>
      </c>
      <c r="L14" s="12" t="str">
        <f aca="false">IF(K14="","",IF(K14&gt;=2.3,"High",IF(K14&gt;=1.5,"Medium","Low")))</f>
        <v/>
      </c>
      <c r="M14" s="4"/>
      <c r="N14" s="4"/>
      <c r="O14" s="4"/>
    </row>
    <row r="15" customFormat="false" ht="15" hidden="false" customHeight="true" outlineLevel="0" collapsed="false">
      <c r="A15" s="4"/>
      <c r="B15" s="4"/>
      <c r="C15" s="4"/>
      <c r="D15" s="4"/>
      <c r="E15" s="4"/>
      <c r="F15" s="4"/>
      <c r="G15" s="4"/>
      <c r="H15" s="4"/>
      <c r="I15" s="4"/>
      <c r="J15" s="4"/>
      <c r="K15" s="12" t="str">
        <f aca="false">IF(COUNTA(D15:J15)=0,"",ROUND((COUNTIF(D15:J15,"High")*3+COUNTIF(D15:J15,"Medium")*2+COUNTIF(D15:J15,"Low"))/COUNTA(D15:J15),1))</f>
        <v/>
      </c>
      <c r="L15" s="12" t="str">
        <f aca="false">IF(K15="","",IF(K15&gt;=2.3,"High",IF(K15&gt;=1.5,"Medium","Low")))</f>
        <v/>
      </c>
      <c r="M15" s="4"/>
      <c r="N15" s="4"/>
      <c r="O15" s="4"/>
    </row>
    <row r="16" customFormat="false" ht="15" hidden="false" customHeight="true" outlineLevel="0" collapsed="false">
      <c r="A16" s="4"/>
      <c r="B16" s="4"/>
      <c r="C16" s="4"/>
      <c r="D16" s="4"/>
      <c r="E16" s="4"/>
      <c r="F16" s="4"/>
      <c r="G16" s="4"/>
      <c r="H16" s="4"/>
      <c r="I16" s="4"/>
      <c r="J16" s="4"/>
      <c r="K16" s="12" t="str">
        <f aca="false">IF(COUNTA(D16:J16)=0,"",ROUND((COUNTIF(D16:J16,"High")*3+COUNTIF(D16:J16,"Medium")*2+COUNTIF(D16:J16,"Low"))/COUNTA(D16:J16),1))</f>
        <v/>
      </c>
      <c r="L16" s="12" t="str">
        <f aca="false">IF(K16="","",IF(K16&gt;=2.3,"High",IF(K16&gt;=1.5,"Medium","Low")))</f>
        <v/>
      </c>
      <c r="M16" s="4"/>
      <c r="N16" s="4"/>
      <c r="O16" s="4"/>
    </row>
    <row r="17" customFormat="false" ht="15" hidden="false" customHeight="true" outlineLevel="0" collapsed="false">
      <c r="A17" s="4"/>
      <c r="B17" s="4"/>
      <c r="C17" s="4"/>
      <c r="D17" s="4"/>
      <c r="E17" s="4"/>
      <c r="F17" s="4"/>
      <c r="G17" s="4"/>
      <c r="H17" s="4"/>
      <c r="I17" s="4"/>
      <c r="J17" s="4"/>
      <c r="K17" s="12" t="str">
        <f aca="false">IF(COUNTA(D17:J17)=0,"",ROUND((COUNTIF(D17:J17,"High")*3+COUNTIF(D17:J17,"Medium")*2+COUNTIF(D17:J17,"Low"))/COUNTA(D17:J17),1))</f>
        <v/>
      </c>
      <c r="L17" s="12" t="str">
        <f aca="false">IF(K17="","",IF(K17&gt;=2.3,"High",IF(K17&gt;=1.5,"Medium","Low")))</f>
        <v/>
      </c>
      <c r="M17" s="4"/>
      <c r="N17" s="4"/>
      <c r="O17" s="4"/>
    </row>
    <row r="18" customFormat="false" ht="15" hidden="false" customHeight="true" outlineLevel="0" collapsed="false">
      <c r="A18" s="4"/>
      <c r="B18" s="4"/>
      <c r="C18" s="4"/>
      <c r="D18" s="4"/>
      <c r="E18" s="4"/>
      <c r="F18" s="4"/>
      <c r="G18" s="4"/>
      <c r="H18" s="4"/>
      <c r="I18" s="4"/>
      <c r="J18" s="4"/>
      <c r="K18" s="12" t="str">
        <f aca="false">IF(COUNTA(D18:J18)=0,"",ROUND((COUNTIF(D18:J18,"High")*3+COUNTIF(D18:J18,"Medium")*2+COUNTIF(D18:J18,"Low"))/COUNTA(D18:J18),1))</f>
        <v/>
      </c>
      <c r="L18" s="12" t="str">
        <f aca="false">IF(K18="","",IF(K18&gt;=2.3,"High",IF(K18&gt;=1.5,"Medium","Low")))</f>
        <v/>
      </c>
      <c r="M18" s="4"/>
      <c r="N18" s="4"/>
      <c r="O18" s="4"/>
    </row>
    <row r="19" customFormat="false" ht="15" hidden="false" customHeight="true" outlineLevel="0" collapsed="false">
      <c r="A19" s="4"/>
      <c r="B19" s="4"/>
      <c r="C19" s="4"/>
      <c r="D19" s="4"/>
      <c r="E19" s="4"/>
      <c r="F19" s="4"/>
      <c r="G19" s="4"/>
      <c r="H19" s="4"/>
      <c r="I19" s="4"/>
      <c r="J19" s="4"/>
      <c r="K19" s="12" t="str">
        <f aca="false">IF(COUNTA(D19:J19)=0,"",ROUND((COUNTIF(D19:J19,"High")*3+COUNTIF(D19:J19,"Medium")*2+COUNTIF(D19:J19,"Low"))/COUNTA(D19:J19),1))</f>
        <v/>
      </c>
      <c r="L19" s="12" t="str">
        <f aca="false">IF(K19="","",IF(K19&gt;=2.3,"High",IF(K19&gt;=1.5,"Medium","Low")))</f>
        <v/>
      </c>
      <c r="M19" s="4"/>
      <c r="N19" s="4"/>
      <c r="O19" s="4"/>
    </row>
    <row r="20" customFormat="false" ht="15" hidden="false" customHeight="true" outlineLevel="0" collapsed="false">
      <c r="A20" s="4"/>
      <c r="B20" s="4"/>
      <c r="C20" s="4"/>
      <c r="D20" s="4"/>
      <c r="E20" s="4"/>
      <c r="F20" s="4"/>
      <c r="G20" s="4"/>
      <c r="H20" s="4"/>
      <c r="I20" s="4"/>
      <c r="J20" s="4"/>
      <c r="K20" s="12" t="str">
        <f aca="false">IF(COUNTA(D20:J20)=0,"",ROUND((COUNTIF(D20:J20,"High")*3+COUNTIF(D20:J20,"Medium")*2+COUNTIF(D20:J20,"Low"))/COUNTA(D20:J20),1))</f>
        <v/>
      </c>
      <c r="L20" s="12" t="str">
        <f aca="false">IF(K20="","",IF(K20&gt;=2.3,"High",IF(K20&gt;=1.5,"Medium","Low")))</f>
        <v/>
      </c>
      <c r="M20" s="4"/>
      <c r="N20" s="4"/>
      <c r="O20" s="4"/>
    </row>
    <row r="21" customFormat="false" ht="15" hidden="false" customHeight="true" outlineLevel="0" collapsed="false">
      <c r="A21" s="4"/>
      <c r="B21" s="4"/>
      <c r="C21" s="4"/>
      <c r="D21" s="4"/>
      <c r="E21" s="4"/>
      <c r="F21" s="4"/>
      <c r="G21" s="4"/>
      <c r="H21" s="4"/>
      <c r="I21" s="4"/>
      <c r="J21" s="4"/>
      <c r="K21" s="12" t="str">
        <f aca="false">IF(COUNTA(D21:J21)=0,"",ROUND((COUNTIF(D21:J21,"High")*3+COUNTIF(D21:J21,"Medium")*2+COUNTIF(D21:J21,"Low"))/COUNTA(D21:J21),1))</f>
        <v/>
      </c>
      <c r="L21" s="12" t="str">
        <f aca="false">IF(K21="","",IF(K21&gt;=2.3,"High",IF(K21&gt;=1.5,"Medium","Low")))</f>
        <v/>
      </c>
      <c r="M21" s="4"/>
      <c r="N21" s="4"/>
      <c r="O21" s="4"/>
    </row>
    <row r="22" customFormat="false" ht="15" hidden="false" customHeight="true" outlineLevel="0" collapsed="false">
      <c r="A22" s="4"/>
      <c r="B22" s="4"/>
      <c r="C22" s="4"/>
      <c r="D22" s="4"/>
      <c r="E22" s="4"/>
      <c r="F22" s="4"/>
      <c r="G22" s="4"/>
      <c r="H22" s="4"/>
      <c r="I22" s="4"/>
      <c r="J22" s="4"/>
      <c r="K22" s="12" t="str">
        <f aca="false">IF(COUNTA(D22:J22)=0,"",ROUND((COUNTIF(D22:J22,"High")*3+COUNTIF(D22:J22,"Medium")*2+COUNTIF(D22:J22,"Low"))/COUNTA(D22:J22),1))</f>
        <v/>
      </c>
      <c r="L22" s="12" t="str">
        <f aca="false">IF(K22="","",IF(K22&gt;=2.3,"High",IF(K22&gt;=1.5,"Medium","Low")))</f>
        <v/>
      </c>
      <c r="M22" s="4"/>
      <c r="N22" s="4"/>
      <c r="O22" s="4"/>
    </row>
    <row r="23" customFormat="false" ht="15" hidden="false" customHeight="true" outlineLevel="0" collapsed="false">
      <c r="A23" s="4"/>
      <c r="B23" s="4"/>
      <c r="C23" s="4"/>
      <c r="D23" s="4"/>
      <c r="E23" s="4"/>
      <c r="F23" s="4"/>
      <c r="G23" s="4"/>
      <c r="H23" s="4"/>
      <c r="I23" s="4"/>
      <c r="J23" s="4"/>
      <c r="K23" s="12" t="str">
        <f aca="false">IF(COUNTA(D23:J23)=0,"",ROUND((COUNTIF(D23:J23,"High")*3+COUNTIF(D23:J23,"Medium")*2+COUNTIF(D23:J23,"Low"))/COUNTA(D23:J23),1))</f>
        <v/>
      </c>
      <c r="L23" s="12" t="str">
        <f aca="false">IF(K23="","",IF(K23&gt;=2.3,"High",IF(K23&gt;=1.5,"Medium","Low")))</f>
        <v/>
      </c>
      <c r="M23" s="4"/>
      <c r="N23" s="4"/>
      <c r="O23" s="4"/>
    </row>
    <row r="24" customFormat="false" ht="15" hidden="false" customHeight="true" outlineLevel="0" collapsed="false">
      <c r="A24" s="4"/>
      <c r="B24" s="4"/>
      <c r="C24" s="4"/>
      <c r="D24" s="4"/>
      <c r="E24" s="4"/>
      <c r="F24" s="4"/>
      <c r="G24" s="4"/>
      <c r="H24" s="4"/>
      <c r="I24" s="4"/>
      <c r="J24" s="4"/>
      <c r="K24" s="12" t="str">
        <f aca="false">IF(COUNTA(D24:J24)=0,"",ROUND((COUNTIF(D24:J24,"High")*3+COUNTIF(D24:J24,"Medium")*2+COUNTIF(D24:J24,"Low"))/COUNTA(D24:J24),1))</f>
        <v/>
      </c>
      <c r="L24" s="12" t="str">
        <f aca="false">IF(K24="","",IF(K24&gt;=2.3,"High",IF(K24&gt;=1.5,"Medium","Low")))</f>
        <v/>
      </c>
      <c r="M24" s="4"/>
      <c r="N24" s="4"/>
      <c r="O24" s="4"/>
    </row>
    <row r="25" customFormat="false" ht="15" hidden="false" customHeight="true" outlineLevel="0" collapsed="false">
      <c r="A25" s="4"/>
      <c r="B25" s="4"/>
      <c r="C25" s="4"/>
      <c r="D25" s="4"/>
      <c r="E25" s="4"/>
      <c r="F25" s="4"/>
      <c r="G25" s="4"/>
      <c r="H25" s="4"/>
      <c r="I25" s="4"/>
      <c r="J25" s="4"/>
      <c r="K25" s="12" t="str">
        <f aca="false">IF(COUNTA(D25:J25)=0,"",ROUND((COUNTIF(D25:J25,"High")*3+COUNTIF(D25:J25,"Medium")*2+COUNTIF(D25:J25,"Low"))/COUNTA(D25:J25),1))</f>
        <v/>
      </c>
      <c r="L25" s="12" t="str">
        <f aca="false">IF(K25="","",IF(K25&gt;=2.3,"High",IF(K25&gt;=1.5,"Medium","Low")))</f>
        <v/>
      </c>
      <c r="M25" s="4"/>
      <c r="N25" s="4"/>
      <c r="O25" s="4"/>
    </row>
    <row r="26" customFormat="false" ht="15" hidden="false" customHeight="true" outlineLevel="0" collapsed="false">
      <c r="A26" s="4"/>
      <c r="B26" s="4"/>
      <c r="C26" s="4"/>
      <c r="D26" s="4"/>
      <c r="E26" s="4"/>
      <c r="F26" s="4"/>
      <c r="G26" s="4"/>
      <c r="H26" s="4"/>
      <c r="I26" s="4"/>
      <c r="J26" s="4"/>
      <c r="K26" s="12" t="str">
        <f aca="false">IF(COUNTA(D26:J26)=0,"",ROUND((COUNTIF(D26:J26,"High")*3+COUNTIF(D26:J26,"Medium")*2+COUNTIF(D26:J26,"Low"))/COUNTA(D26:J26),1))</f>
        <v/>
      </c>
      <c r="L26" s="12" t="str">
        <f aca="false">IF(K26="","",IF(K26&gt;=2.3,"High",IF(K26&gt;=1.5,"Medium","Low")))</f>
        <v/>
      </c>
      <c r="M26" s="4"/>
      <c r="N26" s="4"/>
      <c r="O26" s="4"/>
    </row>
    <row r="27" customFormat="false" ht="15" hidden="false" customHeight="true" outlineLevel="0" collapsed="false">
      <c r="A27" s="4"/>
      <c r="B27" s="4"/>
      <c r="C27" s="4"/>
      <c r="D27" s="4"/>
      <c r="E27" s="4"/>
      <c r="F27" s="4"/>
      <c r="G27" s="4"/>
      <c r="H27" s="4"/>
      <c r="I27" s="4"/>
      <c r="J27" s="4"/>
      <c r="K27" s="12" t="str">
        <f aca="false">IF(COUNTA(D27:J27)=0,"",ROUND((COUNTIF(D27:J27,"High")*3+COUNTIF(D27:J27,"Medium")*2+COUNTIF(D27:J27,"Low"))/COUNTA(D27:J27),1))</f>
        <v/>
      </c>
      <c r="L27" s="12" t="str">
        <f aca="false">IF(K27="","",IF(K27&gt;=2.3,"High",IF(K27&gt;=1.5,"Medium","Low")))</f>
        <v/>
      </c>
      <c r="M27" s="4"/>
      <c r="N27" s="4"/>
      <c r="O27" s="4"/>
    </row>
    <row r="28" customFormat="false" ht="15" hidden="false" customHeight="true" outlineLevel="0" collapsed="false">
      <c r="A28" s="4"/>
      <c r="B28" s="4"/>
      <c r="C28" s="4"/>
      <c r="D28" s="4"/>
      <c r="E28" s="4"/>
      <c r="F28" s="4"/>
      <c r="G28" s="4"/>
      <c r="H28" s="4"/>
      <c r="I28" s="4"/>
      <c r="J28" s="4"/>
      <c r="K28" s="12" t="str">
        <f aca="false">IF(COUNTA(D28:J28)=0,"",ROUND((COUNTIF(D28:J28,"High")*3+COUNTIF(D28:J28,"Medium")*2+COUNTIF(D28:J28,"Low"))/COUNTA(D28:J28),1))</f>
        <v/>
      </c>
      <c r="L28" s="12" t="str">
        <f aca="false">IF(K28="","",IF(K28&gt;=2.3,"High",IF(K28&gt;=1.5,"Medium","Low")))</f>
        <v/>
      </c>
      <c r="M28" s="4"/>
      <c r="N28" s="4"/>
      <c r="O28" s="4"/>
    </row>
    <row r="29" customFormat="false" ht="15" hidden="false" customHeight="true" outlineLevel="0" collapsed="false">
      <c r="A29" s="4"/>
      <c r="B29" s="4"/>
      <c r="C29" s="4"/>
      <c r="D29" s="4"/>
      <c r="E29" s="4"/>
      <c r="F29" s="4"/>
      <c r="G29" s="4"/>
      <c r="H29" s="4"/>
      <c r="I29" s="4"/>
      <c r="J29" s="4"/>
      <c r="K29" s="12" t="str">
        <f aca="false">IF(COUNTA(D29:J29)=0,"",ROUND((COUNTIF(D29:J29,"High")*3+COUNTIF(D29:J29,"Medium")*2+COUNTIF(D29:J29,"Low"))/COUNTA(D29:J29),1))</f>
        <v/>
      </c>
      <c r="L29" s="12" t="str">
        <f aca="false">IF(K29="","",IF(K29&gt;=2.3,"High",IF(K29&gt;=1.5,"Medium","Low")))</f>
        <v/>
      </c>
      <c r="M29" s="4"/>
      <c r="N29" s="4"/>
      <c r="O29" s="4"/>
    </row>
    <row r="30" customFormat="false" ht="15" hidden="false" customHeight="true" outlineLevel="0" collapsed="false">
      <c r="A30" s="4"/>
      <c r="B30" s="4"/>
      <c r="C30" s="4"/>
      <c r="D30" s="4"/>
      <c r="E30" s="4"/>
      <c r="F30" s="4"/>
      <c r="G30" s="4"/>
      <c r="H30" s="4"/>
      <c r="I30" s="4"/>
      <c r="J30" s="4"/>
      <c r="K30" s="12" t="str">
        <f aca="false">IF(COUNTA(D30:J30)=0,"",ROUND((COUNTIF(D30:J30,"High")*3+COUNTIF(D30:J30,"Medium")*2+COUNTIF(D30:J30,"Low"))/COUNTA(D30:J30),1))</f>
        <v/>
      </c>
      <c r="L30" s="12" t="str">
        <f aca="false">IF(K30="","",IF(K30&gt;=2.3,"High",IF(K30&gt;=1.5,"Medium","Low")))</f>
        <v/>
      </c>
      <c r="M30" s="4"/>
      <c r="N30" s="4"/>
      <c r="O30" s="4"/>
    </row>
    <row r="31" customFormat="false" ht="15" hidden="false" customHeight="true" outlineLevel="0" collapsed="false">
      <c r="A31" s="4"/>
      <c r="B31" s="4"/>
      <c r="C31" s="4"/>
      <c r="D31" s="4"/>
      <c r="E31" s="4"/>
      <c r="F31" s="4"/>
      <c r="G31" s="4"/>
      <c r="H31" s="4"/>
      <c r="I31" s="4"/>
      <c r="J31" s="4"/>
      <c r="K31" s="12" t="str">
        <f aca="false">IF(COUNTA(D31:J31)=0,"",ROUND((COUNTIF(D31:J31,"High")*3+COUNTIF(D31:J31,"Medium")*2+COUNTIF(D31:J31,"Low"))/COUNTA(D31:J31),1))</f>
        <v/>
      </c>
      <c r="L31" s="12" t="str">
        <f aca="false">IF(K31="","",IF(K31&gt;=2.3,"High",IF(K31&gt;=1.5,"Medium","Low")))</f>
        <v/>
      </c>
      <c r="M31" s="4"/>
      <c r="N31" s="4"/>
      <c r="O31" s="4"/>
    </row>
    <row r="32" customFormat="false" ht="15" hidden="false" customHeight="true" outlineLevel="0" collapsed="false">
      <c r="A32" s="4"/>
      <c r="B32" s="4"/>
      <c r="C32" s="4"/>
      <c r="D32" s="4"/>
      <c r="E32" s="4"/>
      <c r="F32" s="4"/>
      <c r="G32" s="4"/>
      <c r="H32" s="4"/>
      <c r="I32" s="4"/>
      <c r="J32" s="4"/>
      <c r="K32" s="12" t="str">
        <f aca="false">IF(COUNTA(D32:J32)=0,"",ROUND((COUNTIF(D32:J32,"High")*3+COUNTIF(D32:J32,"Medium")*2+COUNTIF(D32:J32,"Low"))/COUNTA(D32:J32),1))</f>
        <v/>
      </c>
      <c r="L32" s="12" t="str">
        <f aca="false">IF(K32="","",IF(K32&gt;=2.3,"High",IF(K32&gt;=1.5,"Medium","Low")))</f>
        <v/>
      </c>
      <c r="M32" s="4"/>
      <c r="N32" s="4"/>
      <c r="O32" s="4"/>
    </row>
    <row r="33" customFormat="false" ht="15" hidden="false" customHeight="true" outlineLevel="0" collapsed="false">
      <c r="A33" s="4"/>
      <c r="B33" s="4"/>
      <c r="C33" s="4"/>
      <c r="D33" s="4"/>
      <c r="E33" s="4"/>
      <c r="F33" s="4"/>
      <c r="G33" s="4"/>
      <c r="H33" s="4"/>
      <c r="I33" s="4"/>
      <c r="J33" s="4"/>
      <c r="K33" s="12" t="str">
        <f aca="false">IF(COUNTA(D33:J33)=0,"",ROUND((COUNTIF(D33:J33,"High")*3+COUNTIF(D33:J33,"Medium")*2+COUNTIF(D33:J33,"Low"))/COUNTA(D33:J33),1))</f>
        <v/>
      </c>
      <c r="L33" s="12" t="str">
        <f aca="false">IF(K33="","",IF(K33&gt;=2.3,"High",IF(K33&gt;=1.5,"Medium","Low")))</f>
        <v/>
      </c>
      <c r="M33" s="4"/>
      <c r="N33" s="4"/>
      <c r="O33" s="4"/>
    </row>
    <row r="34" customFormat="false" ht="15" hidden="false" customHeight="true" outlineLevel="0" collapsed="false">
      <c r="A34" s="4"/>
      <c r="B34" s="4"/>
      <c r="C34" s="4"/>
      <c r="D34" s="4"/>
      <c r="E34" s="4"/>
      <c r="F34" s="4"/>
      <c r="G34" s="4"/>
      <c r="H34" s="4"/>
      <c r="I34" s="4"/>
      <c r="J34" s="4"/>
      <c r="K34" s="12" t="str">
        <f aca="false">IF(COUNTA(D34:J34)=0,"",ROUND((COUNTIF(D34:J34,"High")*3+COUNTIF(D34:J34,"Medium")*2+COUNTIF(D34:J34,"Low"))/COUNTA(D34:J34),1))</f>
        <v/>
      </c>
      <c r="L34" s="12" t="str">
        <f aca="false">IF(K34="","",IF(K34&gt;=2.3,"High",IF(K34&gt;=1.5,"Medium","Low")))</f>
        <v/>
      </c>
      <c r="M34" s="4"/>
      <c r="N34" s="4"/>
      <c r="O34" s="4"/>
    </row>
    <row r="35" customFormat="false" ht="15" hidden="false" customHeight="true" outlineLevel="0" collapsed="false">
      <c r="A35" s="4"/>
      <c r="B35" s="4"/>
      <c r="C35" s="4"/>
      <c r="D35" s="4"/>
      <c r="E35" s="4"/>
      <c r="F35" s="4"/>
      <c r="G35" s="4"/>
      <c r="H35" s="4"/>
      <c r="I35" s="4"/>
      <c r="J35" s="4"/>
      <c r="K35" s="12" t="str">
        <f aca="false">IF(COUNTA(D35:J35)=0,"",ROUND((COUNTIF(D35:J35,"High")*3+COUNTIF(D35:J35,"Medium")*2+COUNTIF(D35:J35,"Low"))/COUNTA(D35:J35),1))</f>
        <v/>
      </c>
      <c r="L35" s="12" t="str">
        <f aca="false">IF(K35="","",IF(K35&gt;=2.3,"High",IF(K35&gt;=1.5,"Medium","Low")))</f>
        <v/>
      </c>
      <c r="M35" s="4"/>
      <c r="N35" s="4"/>
      <c r="O35" s="4"/>
    </row>
    <row r="36" customFormat="false" ht="15" hidden="false" customHeight="true" outlineLevel="0" collapsed="false">
      <c r="A36" s="4"/>
      <c r="B36" s="4"/>
      <c r="C36" s="4"/>
      <c r="D36" s="4"/>
      <c r="E36" s="4"/>
      <c r="F36" s="4"/>
      <c r="G36" s="4"/>
      <c r="H36" s="4"/>
      <c r="I36" s="4"/>
      <c r="J36" s="4"/>
      <c r="K36" s="12" t="str">
        <f aca="false">IF(COUNTA(D36:J36)=0,"",ROUND((COUNTIF(D36:J36,"High")*3+COUNTIF(D36:J36,"Medium")*2+COUNTIF(D36:J36,"Low"))/COUNTA(D36:J36),1))</f>
        <v/>
      </c>
      <c r="L36" s="12" t="str">
        <f aca="false">IF(K36="","",IF(K36&gt;=2.3,"High",IF(K36&gt;=1.5,"Medium","Low")))</f>
        <v/>
      </c>
      <c r="M36" s="4"/>
      <c r="N36" s="4"/>
      <c r="O36" s="4"/>
    </row>
    <row r="37" customFormat="false" ht="15" hidden="false" customHeight="true" outlineLevel="0" collapsed="false">
      <c r="A37" s="4"/>
      <c r="B37" s="4"/>
      <c r="C37" s="4"/>
      <c r="D37" s="4"/>
      <c r="E37" s="4"/>
      <c r="F37" s="4"/>
      <c r="G37" s="4"/>
      <c r="H37" s="4"/>
      <c r="I37" s="4"/>
      <c r="J37" s="4"/>
      <c r="K37" s="12" t="str">
        <f aca="false">IF(COUNTA(D37:J37)=0,"",ROUND((COUNTIF(D37:J37,"High")*3+COUNTIF(D37:J37,"Medium")*2+COUNTIF(D37:J37,"Low"))/COUNTA(D37:J37),1))</f>
        <v/>
      </c>
      <c r="L37" s="12" t="str">
        <f aca="false">IF(K37="","",IF(K37&gt;=2.3,"High",IF(K37&gt;=1.5,"Medium","Low")))</f>
        <v/>
      </c>
      <c r="M37" s="4"/>
      <c r="N37" s="4"/>
      <c r="O37" s="4"/>
    </row>
    <row r="38" customFormat="false" ht="15" hidden="false" customHeight="true" outlineLevel="0" collapsed="false">
      <c r="A38" s="4"/>
      <c r="B38" s="4"/>
      <c r="C38" s="4"/>
      <c r="D38" s="4"/>
      <c r="E38" s="4"/>
      <c r="F38" s="4"/>
      <c r="G38" s="4"/>
      <c r="H38" s="4"/>
      <c r="I38" s="4"/>
      <c r="J38" s="4"/>
      <c r="K38" s="12" t="str">
        <f aca="false">IF(COUNTA(D38:J38)=0,"",ROUND((COUNTIF(D38:J38,"High")*3+COUNTIF(D38:J38,"Medium")*2+COUNTIF(D38:J38,"Low"))/COUNTA(D38:J38),1))</f>
        <v/>
      </c>
      <c r="L38" s="12" t="str">
        <f aca="false">IF(K38="","",IF(K38&gt;=2.3,"High",IF(K38&gt;=1.5,"Medium","Low")))</f>
        <v/>
      </c>
      <c r="M38" s="4"/>
      <c r="N38" s="4"/>
      <c r="O38" s="4"/>
    </row>
    <row r="39" customFormat="false" ht="15" hidden="false" customHeight="true" outlineLevel="0" collapsed="false">
      <c r="A39" s="4"/>
      <c r="B39" s="4"/>
      <c r="C39" s="4"/>
      <c r="D39" s="4"/>
      <c r="E39" s="4"/>
      <c r="F39" s="4"/>
      <c r="G39" s="4"/>
      <c r="H39" s="4"/>
      <c r="I39" s="4"/>
      <c r="J39" s="4"/>
      <c r="K39" s="12" t="str">
        <f aca="false">IF(COUNTA(D39:J39)=0,"",ROUND((COUNTIF(D39:J39,"High")*3+COUNTIF(D39:J39,"Medium")*2+COUNTIF(D39:J39,"Low"))/COUNTA(D39:J39),1))</f>
        <v/>
      </c>
      <c r="L39" s="12" t="str">
        <f aca="false">IF(K39="","",IF(K39&gt;=2.3,"High",IF(K39&gt;=1.5,"Medium","Low")))</f>
        <v/>
      </c>
      <c r="M39" s="4"/>
      <c r="N39" s="4"/>
      <c r="O39" s="4"/>
    </row>
    <row r="40" customFormat="false" ht="15" hidden="false" customHeight="true" outlineLevel="0" collapsed="false">
      <c r="A40" s="4"/>
      <c r="B40" s="4"/>
      <c r="C40" s="4"/>
      <c r="D40" s="4"/>
      <c r="E40" s="4"/>
      <c r="F40" s="4"/>
      <c r="G40" s="4"/>
      <c r="H40" s="4"/>
      <c r="I40" s="4"/>
      <c r="J40" s="4"/>
      <c r="K40" s="12" t="str">
        <f aca="false">IF(COUNTA(D40:J40)=0,"",ROUND((COUNTIF(D40:J40,"High")*3+COUNTIF(D40:J40,"Medium")*2+COUNTIF(D40:J40,"Low"))/COUNTA(D40:J40),1))</f>
        <v/>
      </c>
      <c r="L40" s="12" t="str">
        <f aca="false">IF(K40="","",IF(K40&gt;=2.3,"High",IF(K40&gt;=1.5,"Medium","Low")))</f>
        <v/>
      </c>
      <c r="M40" s="4"/>
      <c r="N40" s="4"/>
      <c r="O40" s="4"/>
    </row>
    <row r="41" customFormat="false" ht="15" hidden="false" customHeight="true" outlineLevel="0" collapsed="false">
      <c r="A41" s="4"/>
      <c r="B41" s="4"/>
      <c r="C41" s="4"/>
      <c r="D41" s="4"/>
      <c r="E41" s="4"/>
      <c r="F41" s="4"/>
      <c r="G41" s="4"/>
      <c r="H41" s="4"/>
      <c r="I41" s="4"/>
      <c r="J41" s="4"/>
      <c r="K41" s="12" t="str">
        <f aca="false">IF(COUNTA(D41:J41)=0,"",ROUND((COUNTIF(D41:J41,"High")*3+COUNTIF(D41:J41,"Medium")*2+COUNTIF(D41:J41,"Low"))/COUNTA(D41:J41),1))</f>
        <v/>
      </c>
      <c r="L41" s="12" t="str">
        <f aca="false">IF(K41="","",IF(K41&gt;=2.3,"High",IF(K41&gt;=1.5,"Medium","Low")))</f>
        <v/>
      </c>
      <c r="M41" s="4"/>
      <c r="N41" s="4"/>
      <c r="O41" s="4"/>
    </row>
    <row r="42" customFormat="false" ht="15" hidden="false" customHeight="true" outlineLevel="0" collapsed="false">
      <c r="A42" s="4"/>
      <c r="B42" s="4"/>
      <c r="C42" s="4"/>
      <c r="D42" s="4"/>
      <c r="E42" s="4"/>
      <c r="F42" s="4"/>
      <c r="G42" s="4"/>
      <c r="H42" s="4"/>
      <c r="I42" s="4"/>
      <c r="J42" s="4"/>
      <c r="K42" s="12" t="str">
        <f aca="false">IF(COUNTA(D42:J42)=0,"",ROUND((COUNTIF(D42:J42,"High")*3+COUNTIF(D42:J42,"Medium")*2+COUNTIF(D42:J42,"Low"))/COUNTA(D42:J42),1))</f>
        <v/>
      </c>
      <c r="L42" s="12" t="str">
        <f aca="false">IF(K42="","",IF(K42&gt;=2.3,"High",IF(K42&gt;=1.5,"Medium","Low")))</f>
        <v/>
      </c>
      <c r="M42" s="4"/>
      <c r="N42" s="4"/>
      <c r="O42" s="4"/>
    </row>
    <row r="43" customFormat="false" ht="15" hidden="false" customHeight="true" outlineLevel="0" collapsed="false">
      <c r="A43" s="4"/>
      <c r="B43" s="4"/>
      <c r="C43" s="4"/>
      <c r="D43" s="4"/>
      <c r="E43" s="4"/>
      <c r="F43" s="4"/>
      <c r="G43" s="4"/>
      <c r="H43" s="4"/>
      <c r="I43" s="4"/>
      <c r="J43" s="4"/>
      <c r="K43" s="12" t="str">
        <f aca="false">IF(COUNTA(D43:J43)=0,"",ROUND((COUNTIF(D43:J43,"High")*3+COUNTIF(D43:J43,"Medium")*2+COUNTIF(D43:J43,"Low"))/COUNTA(D43:J43),1))</f>
        <v/>
      </c>
      <c r="L43" s="12" t="str">
        <f aca="false">IF(K43="","",IF(K43&gt;=2.3,"High",IF(K43&gt;=1.5,"Medium","Low")))</f>
        <v/>
      </c>
      <c r="M43" s="4"/>
      <c r="N43" s="4"/>
      <c r="O43" s="4"/>
    </row>
    <row r="44" customFormat="false" ht="15" hidden="false" customHeight="true" outlineLevel="0" collapsed="false">
      <c r="A44" s="4"/>
      <c r="B44" s="4"/>
      <c r="C44" s="4"/>
      <c r="D44" s="4"/>
      <c r="E44" s="4"/>
      <c r="F44" s="4"/>
      <c r="G44" s="4"/>
      <c r="H44" s="4"/>
      <c r="I44" s="4"/>
      <c r="J44" s="4"/>
      <c r="K44" s="12" t="str">
        <f aca="false">IF(COUNTA(D44:J44)=0,"",ROUND((COUNTIF(D44:J44,"High")*3+COUNTIF(D44:J44,"Medium")*2+COUNTIF(D44:J44,"Low"))/COUNTA(D44:J44),1))</f>
        <v/>
      </c>
      <c r="L44" s="12" t="str">
        <f aca="false">IF(K44="","",IF(K44&gt;=2.3,"High",IF(K44&gt;=1.5,"Medium","Low")))</f>
        <v/>
      </c>
      <c r="M44" s="4"/>
      <c r="N44" s="4"/>
      <c r="O44" s="4"/>
    </row>
    <row r="45" customFormat="false" ht="15" hidden="false" customHeight="true" outlineLevel="0" collapsed="false">
      <c r="A45" s="4"/>
      <c r="B45" s="4"/>
      <c r="C45" s="4"/>
      <c r="D45" s="4"/>
      <c r="E45" s="4"/>
      <c r="F45" s="4"/>
      <c r="G45" s="4"/>
      <c r="H45" s="4"/>
      <c r="I45" s="4"/>
      <c r="J45" s="4"/>
      <c r="K45" s="12" t="str">
        <f aca="false">IF(COUNTA(D45:J45)=0,"",ROUND((COUNTIF(D45:J45,"High")*3+COUNTIF(D45:J45,"Medium")*2+COUNTIF(D45:J45,"Low"))/COUNTA(D45:J45),1))</f>
        <v/>
      </c>
      <c r="L45" s="12" t="str">
        <f aca="false">IF(K45="","",IF(K45&gt;=2.3,"High",IF(K45&gt;=1.5,"Medium","Low")))</f>
        <v/>
      </c>
      <c r="M45" s="4"/>
      <c r="N45" s="4"/>
      <c r="O45" s="4"/>
    </row>
    <row r="46" customFormat="false" ht="15" hidden="false" customHeight="true" outlineLevel="0" collapsed="false">
      <c r="A46" s="4"/>
      <c r="B46" s="4"/>
      <c r="C46" s="4"/>
      <c r="D46" s="4"/>
      <c r="E46" s="4"/>
      <c r="F46" s="4"/>
      <c r="G46" s="4"/>
      <c r="H46" s="4"/>
      <c r="I46" s="4"/>
      <c r="J46" s="4"/>
      <c r="K46" s="12" t="str">
        <f aca="false">IF(COUNTA(D46:J46)=0,"",ROUND((COUNTIF(D46:J46,"High")*3+COUNTIF(D46:J46,"Medium")*2+COUNTIF(D46:J46,"Low"))/COUNTA(D46:J46),1))</f>
        <v/>
      </c>
      <c r="L46" s="12" t="str">
        <f aca="false">IF(K46="","",IF(K46&gt;=2.3,"High",IF(K46&gt;=1.5,"Medium","Low")))</f>
        <v/>
      </c>
      <c r="M46" s="4"/>
      <c r="N46" s="4"/>
      <c r="O46" s="4"/>
    </row>
    <row r="47" customFormat="false" ht="15" hidden="false" customHeight="true" outlineLevel="0" collapsed="false">
      <c r="A47" s="4"/>
      <c r="B47" s="4"/>
      <c r="C47" s="4"/>
      <c r="D47" s="4"/>
      <c r="E47" s="4"/>
      <c r="F47" s="4"/>
      <c r="G47" s="4"/>
      <c r="H47" s="4"/>
      <c r="I47" s="4"/>
      <c r="J47" s="4"/>
      <c r="K47" s="12" t="str">
        <f aca="false">IF(COUNTA(D47:J47)=0,"",ROUND((COUNTIF(D47:J47,"High")*3+COUNTIF(D47:J47,"Medium")*2+COUNTIF(D47:J47,"Low"))/COUNTA(D47:J47),1))</f>
        <v/>
      </c>
      <c r="L47" s="12" t="str">
        <f aca="false">IF(K47="","",IF(K47&gt;=2.3,"High",IF(K47&gt;=1.5,"Medium","Low")))</f>
        <v/>
      </c>
      <c r="M47" s="4"/>
      <c r="N47" s="4"/>
      <c r="O47" s="4"/>
    </row>
    <row r="48" customFormat="false" ht="15" hidden="false" customHeight="true" outlineLevel="0" collapsed="false">
      <c r="A48" s="4"/>
      <c r="B48" s="4"/>
      <c r="C48" s="4"/>
      <c r="D48" s="4"/>
      <c r="E48" s="4"/>
      <c r="F48" s="4"/>
      <c r="G48" s="4"/>
      <c r="H48" s="4"/>
      <c r="I48" s="4"/>
      <c r="J48" s="4"/>
      <c r="K48" s="12" t="str">
        <f aca="false">IF(COUNTA(D48:J48)=0,"",ROUND((COUNTIF(D48:J48,"High")*3+COUNTIF(D48:J48,"Medium")*2+COUNTIF(D48:J48,"Low"))/COUNTA(D48:J48),1))</f>
        <v/>
      </c>
      <c r="L48" s="12" t="str">
        <f aca="false">IF(K48="","",IF(K48&gt;=2.3,"High",IF(K48&gt;=1.5,"Medium","Low")))</f>
        <v/>
      </c>
      <c r="M48" s="4"/>
      <c r="N48" s="4"/>
      <c r="O48" s="4"/>
    </row>
    <row r="49" customFormat="false" ht="15" hidden="false" customHeight="true" outlineLevel="0" collapsed="false">
      <c r="A49" s="4"/>
      <c r="B49" s="4"/>
      <c r="C49" s="4"/>
      <c r="D49" s="4"/>
      <c r="E49" s="4"/>
      <c r="F49" s="4"/>
      <c r="G49" s="4"/>
      <c r="H49" s="4"/>
      <c r="I49" s="4"/>
      <c r="J49" s="4"/>
      <c r="K49" s="12" t="str">
        <f aca="false">IF(COUNTA(D49:J49)=0,"",ROUND((COUNTIF(D49:J49,"High")*3+COUNTIF(D49:J49,"Medium")*2+COUNTIF(D49:J49,"Low"))/COUNTA(D49:J49),1))</f>
        <v/>
      </c>
      <c r="L49" s="12" t="str">
        <f aca="false">IF(K49="","",IF(K49&gt;=2.3,"High",IF(K49&gt;=1.5,"Medium","Low")))</f>
        <v/>
      </c>
      <c r="M49" s="4"/>
      <c r="N49" s="4"/>
      <c r="O49" s="4"/>
    </row>
    <row r="50" customFormat="false" ht="15" hidden="false" customHeight="true" outlineLevel="0" collapsed="false">
      <c r="A50" s="4"/>
      <c r="B50" s="4"/>
      <c r="C50" s="4"/>
      <c r="D50" s="4"/>
      <c r="E50" s="4"/>
      <c r="F50" s="4"/>
      <c r="G50" s="4"/>
      <c r="H50" s="4"/>
      <c r="I50" s="4"/>
      <c r="J50" s="4"/>
      <c r="K50" s="12" t="str">
        <f aca="false">IF(COUNTA(D50:J50)=0,"",ROUND((COUNTIF(D50:J50,"High")*3+COUNTIF(D50:J50,"Medium")*2+COUNTIF(D50:J50,"Low"))/COUNTA(D50:J50),1))</f>
        <v/>
      </c>
      <c r="L50" s="12" t="str">
        <f aca="false">IF(K50="","",IF(K50&gt;=2.3,"High",IF(K50&gt;=1.5,"Medium","Low")))</f>
        <v/>
      </c>
      <c r="M50" s="4"/>
      <c r="N50" s="4"/>
      <c r="O50" s="4"/>
    </row>
    <row r="51" customFormat="false" ht="15" hidden="false" customHeight="true" outlineLevel="0" collapsed="false">
      <c r="A51" s="4"/>
      <c r="B51" s="4"/>
      <c r="C51" s="4"/>
      <c r="D51" s="4"/>
      <c r="E51" s="4"/>
      <c r="F51" s="4"/>
      <c r="G51" s="4"/>
      <c r="H51" s="4"/>
      <c r="I51" s="4"/>
      <c r="J51" s="4"/>
      <c r="K51" s="12" t="str">
        <f aca="false">IF(COUNTA(D51:J51)=0,"",ROUND((COUNTIF(D51:J51,"High")*3+COUNTIF(D51:J51,"Medium")*2+COUNTIF(D51:J51,"Low"))/COUNTA(D51:J51),1))</f>
        <v/>
      </c>
      <c r="L51" s="12" t="str">
        <f aca="false">IF(K51="","",IF(K51&gt;=2.3,"High",IF(K51&gt;=1.5,"Medium","Low")))</f>
        <v/>
      </c>
      <c r="M51" s="4"/>
      <c r="N51" s="4"/>
      <c r="O51" s="4"/>
    </row>
    <row r="52" customFormat="false" ht="15" hidden="false" customHeight="true" outlineLevel="0" collapsed="false">
      <c r="A52" s="4"/>
      <c r="B52" s="4"/>
      <c r="C52" s="4"/>
      <c r="D52" s="4"/>
      <c r="E52" s="4"/>
      <c r="F52" s="4"/>
      <c r="G52" s="4"/>
      <c r="H52" s="4"/>
      <c r="I52" s="4"/>
      <c r="J52" s="4"/>
      <c r="K52" s="12" t="str">
        <f aca="false">IF(COUNTA(D52:J52)=0,"",ROUND((COUNTIF(D52:J52,"High")*3+COUNTIF(D52:J52,"Medium")*2+COUNTIF(D52:J52,"Low"))/COUNTA(D52:J52),1))</f>
        <v/>
      </c>
      <c r="L52" s="12" t="str">
        <f aca="false">IF(K52="","",IF(K52&gt;=2.3,"High",IF(K52&gt;=1.5,"Medium","Low")))</f>
        <v/>
      </c>
      <c r="M52" s="4"/>
      <c r="N52" s="4"/>
      <c r="O52" s="4"/>
    </row>
    <row r="53" customFormat="false" ht="15" hidden="false" customHeight="true" outlineLevel="0" collapsed="false">
      <c r="A53" s="4"/>
      <c r="B53" s="4"/>
      <c r="C53" s="4"/>
      <c r="D53" s="4"/>
      <c r="E53" s="4"/>
      <c r="F53" s="4"/>
      <c r="G53" s="4"/>
      <c r="H53" s="4"/>
      <c r="I53" s="4"/>
      <c r="J53" s="4"/>
      <c r="K53" s="12" t="str">
        <f aca="false">IF(COUNTA(D53:J53)=0,"",ROUND((COUNTIF(D53:J53,"High")*3+COUNTIF(D53:J53,"Medium")*2+COUNTIF(D53:J53,"Low"))/COUNTA(D53:J53),1))</f>
        <v/>
      </c>
      <c r="L53" s="12" t="str">
        <f aca="false">IF(K53="","",IF(K53&gt;=2.3,"High",IF(K53&gt;=1.5,"Medium","Low")))</f>
        <v/>
      </c>
      <c r="M53" s="4"/>
      <c r="N53" s="4"/>
      <c r="O53" s="4"/>
    </row>
    <row r="54" customFormat="false" ht="15" hidden="false" customHeight="true" outlineLevel="0" collapsed="false">
      <c r="A54" s="4"/>
      <c r="B54" s="4"/>
      <c r="C54" s="4"/>
      <c r="D54" s="4"/>
      <c r="E54" s="4"/>
      <c r="F54" s="4"/>
      <c r="G54" s="4"/>
      <c r="H54" s="4"/>
      <c r="I54" s="4"/>
      <c r="J54" s="4"/>
      <c r="K54" s="12" t="str">
        <f aca="false">IF(COUNTA(D54:J54)=0,"",ROUND((COUNTIF(D54:J54,"High")*3+COUNTIF(D54:J54,"Medium")*2+COUNTIF(D54:J54,"Low"))/COUNTA(D54:J54),1))</f>
        <v/>
      </c>
      <c r="L54" s="12" t="str">
        <f aca="false">IF(K54="","",IF(K54&gt;=2.3,"High",IF(K54&gt;=1.5,"Medium","Low")))</f>
        <v/>
      </c>
      <c r="M54" s="4"/>
      <c r="N54" s="4"/>
      <c r="O54" s="4"/>
    </row>
    <row r="55" customFormat="false" ht="15" hidden="false" customHeight="true" outlineLevel="0" collapsed="false">
      <c r="A55" s="4"/>
      <c r="B55" s="4"/>
      <c r="C55" s="4"/>
      <c r="D55" s="4"/>
      <c r="E55" s="4"/>
      <c r="F55" s="4"/>
      <c r="G55" s="4"/>
      <c r="H55" s="4"/>
      <c r="I55" s="4"/>
      <c r="J55" s="4"/>
      <c r="K55" s="12" t="str">
        <f aca="false">IF(COUNTA(D55:J55)=0,"",ROUND((COUNTIF(D55:J55,"High")*3+COUNTIF(D55:J55,"Medium")*2+COUNTIF(D55:J55,"Low"))/COUNTA(D55:J55),1))</f>
        <v/>
      </c>
      <c r="L55" s="12" t="str">
        <f aca="false">IF(K55="","",IF(K55&gt;=2.3,"High",IF(K55&gt;=1.5,"Medium","Low")))</f>
        <v/>
      </c>
      <c r="M55" s="4"/>
      <c r="N55" s="4"/>
      <c r="O55" s="4"/>
    </row>
    <row r="56" customFormat="false" ht="15" hidden="false" customHeight="true" outlineLevel="0" collapsed="false">
      <c r="A56" s="4"/>
      <c r="B56" s="4"/>
      <c r="C56" s="4"/>
      <c r="D56" s="4"/>
      <c r="E56" s="4"/>
      <c r="F56" s="4"/>
      <c r="G56" s="4"/>
      <c r="H56" s="4"/>
      <c r="I56" s="4"/>
      <c r="J56" s="4"/>
      <c r="K56" s="12" t="str">
        <f aca="false">IF(COUNTA(D56:J56)=0,"",ROUND((COUNTIF(D56:J56,"High")*3+COUNTIF(D56:J56,"Medium")*2+COUNTIF(D56:J56,"Low"))/COUNTA(D56:J56),1))</f>
        <v/>
      </c>
      <c r="L56" s="12" t="str">
        <f aca="false">IF(K56="","",IF(K56&gt;=2.3,"High",IF(K56&gt;=1.5,"Medium","Low")))</f>
        <v/>
      </c>
      <c r="M56" s="4"/>
      <c r="N56" s="4"/>
      <c r="O56" s="4"/>
    </row>
    <row r="57" customFormat="false" ht="15" hidden="false" customHeight="true" outlineLevel="0" collapsed="false">
      <c r="A57" s="4"/>
      <c r="B57" s="4"/>
      <c r="C57" s="4"/>
      <c r="D57" s="4"/>
      <c r="E57" s="4"/>
      <c r="F57" s="4"/>
      <c r="G57" s="4"/>
      <c r="H57" s="4"/>
      <c r="I57" s="4"/>
      <c r="J57" s="4"/>
      <c r="K57" s="12" t="str">
        <f aca="false">IF(COUNTA(D57:J57)=0,"",ROUND((COUNTIF(D57:J57,"High")*3+COUNTIF(D57:J57,"Medium")*2+COUNTIF(D57:J57,"Low"))/COUNTA(D57:J57),1))</f>
        <v/>
      </c>
      <c r="L57" s="12" t="str">
        <f aca="false">IF(K57="","",IF(K57&gt;=2.3,"High",IF(K57&gt;=1.5,"Medium","Low")))</f>
        <v/>
      </c>
      <c r="M57" s="4"/>
      <c r="N57" s="4"/>
      <c r="O57" s="4"/>
    </row>
    <row r="58" customFormat="false" ht="15" hidden="false" customHeight="true" outlineLevel="0" collapsed="false">
      <c r="A58" s="4"/>
      <c r="B58" s="4"/>
      <c r="C58" s="4"/>
      <c r="D58" s="4"/>
      <c r="E58" s="4"/>
      <c r="F58" s="4"/>
      <c r="G58" s="4"/>
      <c r="H58" s="4"/>
      <c r="I58" s="4"/>
      <c r="J58" s="4"/>
      <c r="K58" s="12" t="str">
        <f aca="false">IF(COUNTA(D58:J58)=0,"",ROUND((COUNTIF(D58:J58,"High")*3+COUNTIF(D58:J58,"Medium")*2+COUNTIF(D58:J58,"Low"))/COUNTA(D58:J58),1))</f>
        <v/>
      </c>
      <c r="L58" s="12" t="str">
        <f aca="false">IF(K58="","",IF(K58&gt;=2.3,"High",IF(K58&gt;=1.5,"Medium","Low")))</f>
        <v/>
      </c>
      <c r="M58" s="4"/>
      <c r="N58" s="4"/>
      <c r="O58" s="4"/>
    </row>
    <row r="59" customFormat="false" ht="15" hidden="false" customHeight="true" outlineLevel="0" collapsed="false">
      <c r="A59" s="4"/>
      <c r="B59" s="4"/>
      <c r="C59" s="4"/>
      <c r="D59" s="4"/>
      <c r="E59" s="4"/>
      <c r="F59" s="4"/>
      <c r="G59" s="4"/>
      <c r="H59" s="4"/>
      <c r="I59" s="4"/>
      <c r="J59" s="4"/>
      <c r="K59" s="12" t="str">
        <f aca="false">IF(COUNTA(D59:J59)=0,"",ROUND((COUNTIF(D59:J59,"High")*3+COUNTIF(D59:J59,"Medium")*2+COUNTIF(D59:J59,"Low"))/COUNTA(D59:J59),1))</f>
        <v/>
      </c>
      <c r="L59" s="12" t="str">
        <f aca="false">IF(K59="","",IF(K59&gt;=2.3,"High",IF(K59&gt;=1.5,"Medium","Low")))</f>
        <v/>
      </c>
      <c r="M59" s="4"/>
      <c r="N59" s="4"/>
      <c r="O59" s="4"/>
    </row>
    <row r="60" customFormat="false" ht="15" hidden="false" customHeight="true" outlineLevel="0" collapsed="false">
      <c r="A60" s="4"/>
      <c r="B60" s="4"/>
      <c r="C60" s="4"/>
      <c r="D60" s="4"/>
      <c r="E60" s="4"/>
      <c r="F60" s="4"/>
      <c r="G60" s="4"/>
      <c r="H60" s="4"/>
      <c r="I60" s="4"/>
      <c r="J60" s="4"/>
      <c r="K60" s="12" t="str">
        <f aca="false">IF(COUNTA(D60:J60)=0,"",ROUND((COUNTIF(D60:J60,"High")*3+COUNTIF(D60:J60,"Medium")*2+COUNTIF(D60:J60,"Low"))/COUNTA(D60:J60),1))</f>
        <v/>
      </c>
      <c r="L60" s="12" t="str">
        <f aca="false">IF(K60="","",IF(K60&gt;=2.3,"High",IF(K60&gt;=1.5,"Medium","Low")))</f>
        <v/>
      </c>
      <c r="M60" s="4"/>
      <c r="N60" s="4"/>
      <c r="O60" s="4"/>
    </row>
    <row r="61" customFormat="false" ht="15" hidden="false" customHeight="true" outlineLevel="0" collapsed="false">
      <c r="A61" s="4"/>
      <c r="B61" s="4"/>
      <c r="C61" s="4"/>
      <c r="D61" s="4"/>
      <c r="E61" s="4"/>
      <c r="F61" s="4"/>
      <c r="G61" s="4"/>
      <c r="H61" s="4"/>
      <c r="I61" s="4"/>
      <c r="J61" s="4"/>
      <c r="K61" s="12" t="str">
        <f aca="false">IF(COUNTA(D61:J61)=0,"",ROUND((COUNTIF(D61:J61,"High")*3+COUNTIF(D61:J61,"Medium")*2+COUNTIF(D61:J61,"Low"))/COUNTA(D61:J61),1))</f>
        <v/>
      </c>
      <c r="L61" s="12" t="str">
        <f aca="false">IF(K61="","",IF(K61&gt;=2.3,"High",IF(K61&gt;=1.5,"Medium","Low")))</f>
        <v/>
      </c>
      <c r="M61" s="4"/>
      <c r="N61" s="4"/>
      <c r="O61" s="4"/>
    </row>
    <row r="62" customFormat="false" ht="15" hidden="false" customHeight="true" outlineLevel="0" collapsed="false">
      <c r="A62" s="4"/>
      <c r="B62" s="4"/>
      <c r="C62" s="4"/>
      <c r="D62" s="4"/>
      <c r="E62" s="4"/>
      <c r="F62" s="4"/>
      <c r="G62" s="4"/>
      <c r="H62" s="4"/>
      <c r="I62" s="4"/>
      <c r="J62" s="4"/>
      <c r="K62" s="12" t="str">
        <f aca="false">IF(COUNTA(D62:J62)=0,"",ROUND((COUNTIF(D62:J62,"High")*3+COUNTIF(D62:J62,"Medium")*2+COUNTIF(D62:J62,"Low"))/COUNTA(D62:J62),1))</f>
        <v/>
      </c>
      <c r="L62" s="12" t="str">
        <f aca="false">IF(K62="","",IF(K62&gt;=2.3,"High",IF(K62&gt;=1.5,"Medium","Low")))</f>
        <v/>
      </c>
      <c r="M62" s="4"/>
      <c r="N62" s="4"/>
      <c r="O62" s="4"/>
    </row>
    <row r="63" customFormat="false" ht="15" hidden="false" customHeight="true" outlineLevel="0" collapsed="false">
      <c r="A63" s="4"/>
      <c r="B63" s="4"/>
      <c r="C63" s="4"/>
      <c r="D63" s="4"/>
      <c r="E63" s="4"/>
      <c r="F63" s="4"/>
      <c r="G63" s="4"/>
      <c r="H63" s="4"/>
      <c r="I63" s="4"/>
      <c r="J63" s="4"/>
      <c r="K63" s="12" t="str">
        <f aca="false">IF(COUNTA(D63:J63)=0,"",ROUND((COUNTIF(D63:J63,"High")*3+COUNTIF(D63:J63,"Medium")*2+COUNTIF(D63:J63,"Low"))/COUNTA(D63:J63),1))</f>
        <v/>
      </c>
      <c r="L63" s="12" t="str">
        <f aca="false">IF(K63="","",IF(K63&gt;=2.3,"High",IF(K63&gt;=1.5,"Medium","Low")))</f>
        <v/>
      </c>
      <c r="M63" s="4"/>
      <c r="N63" s="4"/>
      <c r="O63" s="4"/>
    </row>
    <row r="64" customFormat="false" ht="15" hidden="false" customHeight="true" outlineLevel="0" collapsed="false">
      <c r="A64" s="4"/>
      <c r="B64" s="4"/>
      <c r="C64" s="4"/>
      <c r="D64" s="4"/>
      <c r="E64" s="4"/>
      <c r="F64" s="4"/>
      <c r="G64" s="4"/>
      <c r="H64" s="4"/>
      <c r="I64" s="4"/>
      <c r="J64" s="4"/>
      <c r="K64" s="12" t="str">
        <f aca="false">IF(COUNTA(D64:J64)=0,"",ROUND((COUNTIF(D64:J64,"High")*3+COUNTIF(D64:J64,"Medium")*2+COUNTIF(D64:J64,"Low"))/COUNTA(D64:J64),1))</f>
        <v/>
      </c>
      <c r="L64" s="12" t="str">
        <f aca="false">IF(K64="","",IF(K64&gt;=2.3,"High",IF(K64&gt;=1.5,"Medium","Low")))</f>
        <v/>
      </c>
      <c r="M64" s="4"/>
      <c r="N64" s="4"/>
      <c r="O64" s="4"/>
    </row>
    <row r="65" customFormat="false" ht="15" hidden="false" customHeight="true" outlineLevel="0" collapsed="false">
      <c r="A65" s="4"/>
      <c r="B65" s="4"/>
      <c r="C65" s="4"/>
      <c r="D65" s="4"/>
      <c r="E65" s="4"/>
      <c r="F65" s="4"/>
      <c r="G65" s="4"/>
      <c r="H65" s="4"/>
      <c r="I65" s="4"/>
      <c r="J65" s="4"/>
      <c r="K65" s="12" t="str">
        <f aca="false">IF(COUNTA(D65:J65)=0,"",ROUND((COUNTIF(D65:J65,"High")*3+COUNTIF(D65:J65,"Medium")*2+COUNTIF(D65:J65,"Low"))/COUNTA(D65:J65),1))</f>
        <v/>
      </c>
      <c r="L65" s="12" t="str">
        <f aca="false">IF(K65="","",IF(K65&gt;=2.3,"High",IF(K65&gt;=1.5,"Medium","Low")))</f>
        <v/>
      </c>
      <c r="M65" s="4"/>
      <c r="N65" s="4"/>
      <c r="O65" s="4"/>
    </row>
    <row r="66" customFormat="false" ht="15" hidden="false" customHeight="true" outlineLevel="0" collapsed="false">
      <c r="A66" s="4"/>
      <c r="B66" s="4"/>
      <c r="C66" s="4"/>
      <c r="D66" s="4"/>
      <c r="E66" s="4"/>
      <c r="F66" s="4"/>
      <c r="G66" s="4"/>
      <c r="H66" s="4"/>
      <c r="I66" s="4"/>
      <c r="J66" s="4"/>
      <c r="K66" s="12" t="str">
        <f aca="false">IF(COUNTA(D66:J66)=0,"",ROUND((COUNTIF(D66:J66,"High")*3+COUNTIF(D66:J66,"Medium")*2+COUNTIF(D66:J66,"Low"))/COUNTA(D66:J66),1))</f>
        <v/>
      </c>
      <c r="L66" s="12" t="str">
        <f aca="false">IF(K66="","",IF(K66&gt;=2.3,"High",IF(K66&gt;=1.5,"Medium","Low")))</f>
        <v/>
      </c>
      <c r="M66" s="4"/>
      <c r="N66" s="4"/>
      <c r="O66" s="4"/>
    </row>
    <row r="67" customFormat="false" ht="15" hidden="false" customHeight="true" outlineLevel="0" collapsed="false">
      <c r="A67" s="4"/>
      <c r="B67" s="4"/>
      <c r="C67" s="4"/>
      <c r="D67" s="4"/>
      <c r="E67" s="4"/>
      <c r="F67" s="4"/>
      <c r="G67" s="4"/>
      <c r="H67" s="4"/>
      <c r="I67" s="4"/>
      <c r="J67" s="4"/>
      <c r="K67" s="12" t="str">
        <f aca="false">IF(COUNTA(D67:J67)=0,"",ROUND((COUNTIF(D67:J67,"High")*3+COUNTIF(D67:J67,"Medium")*2+COUNTIF(D67:J67,"Low"))/COUNTA(D67:J67),1))</f>
        <v/>
      </c>
      <c r="L67" s="12" t="str">
        <f aca="false">IF(K67="","",IF(K67&gt;=2.3,"High",IF(K67&gt;=1.5,"Medium","Low")))</f>
        <v/>
      </c>
      <c r="M67" s="4"/>
      <c r="N67" s="4"/>
      <c r="O67" s="4"/>
    </row>
    <row r="68" customFormat="false" ht="15" hidden="false" customHeight="true" outlineLevel="0" collapsed="false">
      <c r="A68" s="4"/>
      <c r="B68" s="4"/>
      <c r="C68" s="4"/>
      <c r="D68" s="4"/>
      <c r="E68" s="4"/>
      <c r="F68" s="4"/>
      <c r="G68" s="4"/>
      <c r="H68" s="4"/>
      <c r="I68" s="4"/>
      <c r="J68" s="4"/>
      <c r="K68" s="12" t="str">
        <f aca="false">IF(COUNTA(D68:J68)=0,"",ROUND((COUNTIF(D68:J68,"High")*3+COUNTIF(D68:J68,"Medium")*2+COUNTIF(D68:J68,"Low"))/COUNTA(D68:J68),1))</f>
        <v/>
      </c>
      <c r="L68" s="12" t="str">
        <f aca="false">IF(K68="","",IF(K68&gt;=2.3,"High",IF(K68&gt;=1.5,"Medium","Low")))</f>
        <v/>
      </c>
      <c r="M68" s="4"/>
      <c r="N68" s="4"/>
      <c r="O68" s="4"/>
    </row>
    <row r="69" customFormat="false" ht="15" hidden="false" customHeight="true" outlineLevel="0" collapsed="false">
      <c r="A69" s="4"/>
      <c r="B69" s="4"/>
      <c r="C69" s="4"/>
      <c r="D69" s="4"/>
      <c r="E69" s="4"/>
      <c r="F69" s="4"/>
      <c r="G69" s="4"/>
      <c r="H69" s="4"/>
      <c r="I69" s="4"/>
      <c r="J69" s="4"/>
      <c r="K69" s="12" t="str">
        <f aca="false">IF(COUNTA(D69:J69)=0,"",ROUND((COUNTIF(D69:J69,"High")*3+COUNTIF(D69:J69,"Medium")*2+COUNTIF(D69:J69,"Low"))/COUNTA(D69:J69),1))</f>
        <v/>
      </c>
      <c r="L69" s="12" t="str">
        <f aca="false">IF(K69="","",IF(K69&gt;=2.3,"High",IF(K69&gt;=1.5,"Medium","Low")))</f>
        <v/>
      </c>
      <c r="M69" s="4"/>
      <c r="N69" s="4"/>
      <c r="O69" s="4"/>
    </row>
    <row r="70" customFormat="false" ht="15" hidden="false" customHeight="true" outlineLevel="0" collapsed="false">
      <c r="A70" s="4"/>
      <c r="B70" s="4"/>
      <c r="C70" s="4"/>
      <c r="D70" s="4"/>
      <c r="E70" s="4"/>
      <c r="F70" s="4"/>
      <c r="G70" s="4"/>
      <c r="H70" s="4"/>
      <c r="I70" s="4"/>
      <c r="J70" s="4"/>
      <c r="K70" s="12" t="str">
        <f aca="false">IF(COUNTA(D70:J70)=0,"",ROUND((COUNTIF(D70:J70,"High")*3+COUNTIF(D70:J70,"Medium")*2+COUNTIF(D70:J70,"Low"))/COUNTA(D70:J70),1))</f>
        <v/>
      </c>
      <c r="L70" s="12" t="str">
        <f aca="false">IF(K70="","",IF(K70&gt;=2.3,"High",IF(K70&gt;=1.5,"Medium","Low")))</f>
        <v/>
      </c>
      <c r="M70" s="4"/>
      <c r="N70" s="4"/>
      <c r="O70" s="4"/>
    </row>
    <row r="71" customFormat="false" ht="15" hidden="false" customHeight="true" outlineLevel="0" collapsed="false">
      <c r="A71" s="4"/>
      <c r="B71" s="4"/>
      <c r="C71" s="4"/>
      <c r="D71" s="4"/>
      <c r="E71" s="4"/>
      <c r="F71" s="4"/>
      <c r="G71" s="4"/>
      <c r="H71" s="4"/>
      <c r="I71" s="4"/>
      <c r="J71" s="4"/>
      <c r="K71" s="12" t="str">
        <f aca="false">IF(COUNTA(D71:J71)=0,"",ROUND((COUNTIF(D71:J71,"High")*3+COUNTIF(D71:J71,"Medium")*2+COUNTIF(D71:J71,"Low"))/COUNTA(D71:J71),1))</f>
        <v/>
      </c>
      <c r="L71" s="12" t="str">
        <f aca="false">IF(K71="","",IF(K71&gt;=2.3,"High",IF(K71&gt;=1.5,"Medium","Low")))</f>
        <v/>
      </c>
      <c r="M71" s="4"/>
      <c r="N71" s="4"/>
      <c r="O71" s="4"/>
    </row>
    <row r="72" customFormat="false" ht="15" hidden="false" customHeight="true" outlineLevel="0" collapsed="false">
      <c r="A72" s="4"/>
      <c r="B72" s="4"/>
      <c r="C72" s="4"/>
      <c r="D72" s="4"/>
      <c r="E72" s="4"/>
      <c r="F72" s="4"/>
      <c r="G72" s="4"/>
      <c r="H72" s="4"/>
      <c r="I72" s="4"/>
      <c r="J72" s="4"/>
      <c r="K72" s="12" t="str">
        <f aca="false">IF(COUNTA(D72:J72)=0,"",ROUND((COUNTIF(D72:J72,"High")*3+COUNTIF(D72:J72,"Medium")*2+COUNTIF(D72:J72,"Low"))/COUNTA(D72:J72),1))</f>
        <v/>
      </c>
      <c r="L72" s="12" t="str">
        <f aca="false">IF(K72="","",IF(K72&gt;=2.3,"High",IF(K72&gt;=1.5,"Medium","Low")))</f>
        <v/>
      </c>
      <c r="M72" s="4"/>
      <c r="N72" s="4"/>
      <c r="O72" s="4"/>
    </row>
    <row r="73" customFormat="false" ht="15" hidden="false" customHeight="true" outlineLevel="0" collapsed="false">
      <c r="A73" s="4"/>
      <c r="B73" s="4"/>
      <c r="C73" s="4"/>
      <c r="D73" s="4"/>
      <c r="E73" s="4"/>
      <c r="F73" s="4"/>
      <c r="G73" s="4"/>
      <c r="H73" s="4"/>
      <c r="I73" s="4"/>
      <c r="J73" s="4"/>
      <c r="K73" s="12" t="str">
        <f aca="false">IF(COUNTA(D73:J73)=0,"",ROUND((COUNTIF(D73:J73,"High")*3+COUNTIF(D73:J73,"Medium")*2+COUNTIF(D73:J73,"Low"))/COUNTA(D73:J73),1))</f>
        <v/>
      </c>
      <c r="L73" s="12" t="str">
        <f aca="false">IF(K73="","",IF(K73&gt;=2.3,"High",IF(K73&gt;=1.5,"Medium","Low")))</f>
        <v/>
      </c>
      <c r="M73" s="4"/>
      <c r="N73" s="4"/>
      <c r="O73" s="4"/>
    </row>
    <row r="74" customFormat="false" ht="15" hidden="false" customHeight="true" outlineLevel="0" collapsed="false">
      <c r="A74" s="4"/>
      <c r="B74" s="4"/>
      <c r="C74" s="4"/>
      <c r="D74" s="4"/>
      <c r="E74" s="4"/>
      <c r="F74" s="4"/>
      <c r="G74" s="4"/>
      <c r="H74" s="4"/>
      <c r="I74" s="4"/>
      <c r="J74" s="4"/>
      <c r="K74" s="12" t="str">
        <f aca="false">IF(COUNTA(D74:J74)=0,"",ROUND((COUNTIF(D74:J74,"High")*3+COUNTIF(D74:J74,"Medium")*2+COUNTIF(D74:J74,"Low"))/COUNTA(D74:J74),1))</f>
        <v/>
      </c>
      <c r="L74" s="12" t="str">
        <f aca="false">IF(K74="","",IF(K74&gt;=2.3,"High",IF(K74&gt;=1.5,"Medium","Low")))</f>
        <v/>
      </c>
      <c r="M74" s="4"/>
      <c r="N74" s="4"/>
      <c r="O74" s="4"/>
    </row>
    <row r="75" customFormat="false" ht="15" hidden="false" customHeight="true" outlineLevel="0" collapsed="false">
      <c r="A75" s="4"/>
      <c r="B75" s="4"/>
      <c r="C75" s="4"/>
      <c r="D75" s="4"/>
      <c r="E75" s="4"/>
      <c r="F75" s="4"/>
      <c r="G75" s="4"/>
      <c r="H75" s="4"/>
      <c r="I75" s="4"/>
      <c r="J75" s="4"/>
      <c r="K75" s="12" t="str">
        <f aca="false">IF(COUNTA(D75:J75)=0,"",ROUND((COUNTIF(D75:J75,"High")*3+COUNTIF(D75:J75,"Medium")*2+COUNTIF(D75:J75,"Low"))/COUNTA(D75:J75),1))</f>
        <v/>
      </c>
      <c r="L75" s="12" t="str">
        <f aca="false">IF(K75="","",IF(K75&gt;=2.3,"High",IF(K75&gt;=1.5,"Medium","Low")))</f>
        <v/>
      </c>
      <c r="M75" s="4"/>
      <c r="N75" s="4"/>
      <c r="O75" s="4"/>
    </row>
    <row r="76" customFormat="false" ht="15" hidden="false" customHeight="true" outlineLevel="0" collapsed="false">
      <c r="A76" s="4"/>
      <c r="B76" s="4"/>
      <c r="C76" s="4"/>
      <c r="D76" s="4"/>
      <c r="E76" s="4"/>
      <c r="F76" s="4"/>
      <c r="G76" s="4"/>
      <c r="H76" s="4"/>
      <c r="I76" s="4"/>
      <c r="J76" s="4"/>
      <c r="K76" s="12" t="str">
        <f aca="false">IF(COUNTA(D76:J76)=0,"",ROUND((COUNTIF(D76:J76,"High")*3+COUNTIF(D76:J76,"Medium")*2+COUNTIF(D76:J76,"Low"))/COUNTA(D76:J76),1))</f>
        <v/>
      </c>
      <c r="L76" s="12" t="str">
        <f aca="false">IF(K76="","",IF(K76&gt;=2.3,"High",IF(K76&gt;=1.5,"Medium","Low")))</f>
        <v/>
      </c>
      <c r="M76" s="4"/>
      <c r="N76" s="4"/>
      <c r="O76" s="4"/>
    </row>
    <row r="77" customFormat="false" ht="15" hidden="false" customHeight="true" outlineLevel="0" collapsed="false">
      <c r="A77" s="4"/>
      <c r="B77" s="4"/>
      <c r="C77" s="4"/>
      <c r="D77" s="4"/>
      <c r="E77" s="4"/>
      <c r="F77" s="4"/>
      <c r="G77" s="4"/>
      <c r="H77" s="4"/>
      <c r="I77" s="4"/>
      <c r="J77" s="4"/>
      <c r="K77" s="12" t="str">
        <f aca="false">IF(COUNTA(D77:J77)=0,"",ROUND((COUNTIF(D77:J77,"High")*3+COUNTIF(D77:J77,"Medium")*2+COUNTIF(D77:J77,"Low"))/COUNTA(D77:J77),1))</f>
        <v/>
      </c>
      <c r="L77" s="12" t="str">
        <f aca="false">IF(K77="","",IF(K77&gt;=2.3,"High",IF(K77&gt;=1.5,"Medium","Low")))</f>
        <v/>
      </c>
      <c r="M77" s="4"/>
      <c r="N77" s="4"/>
      <c r="O77" s="4"/>
    </row>
    <row r="78" customFormat="false" ht="15" hidden="false" customHeight="true" outlineLevel="0" collapsed="false">
      <c r="A78" s="4"/>
      <c r="B78" s="4"/>
      <c r="C78" s="4"/>
      <c r="D78" s="4"/>
      <c r="E78" s="4"/>
      <c r="F78" s="4"/>
      <c r="G78" s="4"/>
      <c r="H78" s="4"/>
      <c r="I78" s="4"/>
      <c r="J78" s="4"/>
      <c r="K78" s="12" t="str">
        <f aca="false">IF(COUNTA(D78:J78)=0,"",ROUND((COUNTIF(D78:J78,"High")*3+COUNTIF(D78:J78,"Medium")*2+COUNTIF(D78:J78,"Low"))/COUNTA(D78:J78),1))</f>
        <v/>
      </c>
      <c r="L78" s="12" t="str">
        <f aca="false">IF(K78="","",IF(K78&gt;=2.3,"High",IF(K78&gt;=1.5,"Medium","Low")))</f>
        <v/>
      </c>
      <c r="M78" s="4"/>
      <c r="N78" s="4"/>
      <c r="O78" s="4"/>
    </row>
    <row r="79" customFormat="false" ht="15" hidden="false" customHeight="true" outlineLevel="0" collapsed="false">
      <c r="A79" s="4"/>
      <c r="B79" s="4"/>
      <c r="C79" s="4"/>
      <c r="D79" s="4"/>
      <c r="E79" s="4"/>
      <c r="F79" s="4"/>
      <c r="G79" s="4"/>
      <c r="H79" s="4"/>
      <c r="I79" s="4"/>
      <c r="J79" s="4"/>
      <c r="K79" s="12" t="str">
        <f aca="false">IF(COUNTA(D79:J79)=0,"",ROUND((COUNTIF(D79:J79,"High")*3+COUNTIF(D79:J79,"Medium")*2+COUNTIF(D79:J79,"Low"))/COUNTA(D79:J79),1))</f>
        <v/>
      </c>
      <c r="L79" s="12" t="str">
        <f aca="false">IF(K79="","",IF(K79&gt;=2.3,"High",IF(K79&gt;=1.5,"Medium","Low")))</f>
        <v/>
      </c>
      <c r="M79" s="4"/>
      <c r="N79" s="4"/>
      <c r="O79" s="4"/>
    </row>
    <row r="80" customFormat="false" ht="15" hidden="false" customHeight="true" outlineLevel="0" collapsed="false">
      <c r="A80" s="4"/>
      <c r="B80" s="4"/>
      <c r="C80" s="4"/>
      <c r="D80" s="4"/>
      <c r="E80" s="4"/>
      <c r="F80" s="4"/>
      <c r="G80" s="4"/>
      <c r="H80" s="4"/>
      <c r="I80" s="4"/>
      <c r="J80" s="4"/>
      <c r="K80" s="12" t="str">
        <f aca="false">IF(COUNTA(D80:J80)=0,"",ROUND((COUNTIF(D80:J80,"High")*3+COUNTIF(D80:J80,"Medium")*2+COUNTIF(D80:J80,"Low"))/COUNTA(D80:J80),1))</f>
        <v/>
      </c>
      <c r="L80" s="12" t="str">
        <f aca="false">IF(K80="","",IF(K80&gt;=2.3,"High",IF(K80&gt;=1.5,"Medium","Low")))</f>
        <v/>
      </c>
      <c r="M80" s="4"/>
      <c r="N80" s="4"/>
      <c r="O80" s="4"/>
    </row>
    <row r="81" customFormat="false" ht="15" hidden="false" customHeight="true" outlineLevel="0" collapsed="false">
      <c r="A81" s="4"/>
      <c r="B81" s="4"/>
      <c r="C81" s="4"/>
      <c r="D81" s="4"/>
      <c r="E81" s="4"/>
      <c r="F81" s="4"/>
      <c r="G81" s="4"/>
      <c r="H81" s="4"/>
      <c r="I81" s="4"/>
      <c r="J81" s="4"/>
      <c r="K81" s="12" t="str">
        <f aca="false">IF(COUNTA(D81:J81)=0,"",ROUND((COUNTIF(D81:J81,"High")*3+COUNTIF(D81:J81,"Medium")*2+COUNTIF(D81:J81,"Low"))/COUNTA(D81:J81),1))</f>
        <v/>
      </c>
      <c r="L81" s="12" t="str">
        <f aca="false">IF(K81="","",IF(K81&gt;=2.3,"High",IF(K81&gt;=1.5,"Medium","Low")))</f>
        <v/>
      </c>
      <c r="M81" s="4"/>
      <c r="N81" s="4"/>
      <c r="O81" s="4"/>
    </row>
    <row r="82" customFormat="false" ht="15" hidden="false" customHeight="true" outlineLevel="0" collapsed="false">
      <c r="A82" s="4"/>
      <c r="B82" s="4"/>
      <c r="C82" s="4"/>
      <c r="D82" s="4"/>
      <c r="E82" s="4"/>
      <c r="F82" s="4"/>
      <c r="G82" s="4"/>
      <c r="H82" s="4"/>
      <c r="I82" s="4"/>
      <c r="J82" s="4"/>
      <c r="K82" s="12" t="str">
        <f aca="false">IF(COUNTA(D82:J82)=0,"",ROUND((COUNTIF(D82:J82,"High")*3+COUNTIF(D82:J82,"Medium")*2+COUNTIF(D82:J82,"Low"))/COUNTA(D82:J82),1))</f>
        <v/>
      </c>
      <c r="L82" s="12" t="str">
        <f aca="false">IF(K82="","",IF(K82&gt;=2.3,"High",IF(K82&gt;=1.5,"Medium","Low")))</f>
        <v/>
      </c>
      <c r="M82" s="4"/>
      <c r="N82" s="4"/>
      <c r="O82" s="4"/>
    </row>
    <row r="83" customFormat="false" ht="15" hidden="false" customHeight="true" outlineLevel="0" collapsed="false">
      <c r="A83" s="4"/>
      <c r="B83" s="4"/>
      <c r="C83" s="4"/>
      <c r="D83" s="4"/>
      <c r="E83" s="4"/>
      <c r="F83" s="4"/>
      <c r="G83" s="4"/>
      <c r="H83" s="4"/>
      <c r="I83" s="4"/>
      <c r="J83" s="4"/>
      <c r="K83" s="12" t="str">
        <f aca="false">IF(COUNTA(D83:J83)=0,"",ROUND((COUNTIF(D83:J83,"High")*3+COUNTIF(D83:J83,"Medium")*2+COUNTIF(D83:J83,"Low"))/COUNTA(D83:J83),1))</f>
        <v/>
      </c>
      <c r="L83" s="12" t="str">
        <f aca="false">IF(K83="","",IF(K83&gt;=2.3,"High",IF(K83&gt;=1.5,"Medium","Low")))</f>
        <v/>
      </c>
      <c r="M83" s="4"/>
      <c r="N83" s="4"/>
      <c r="O83" s="4"/>
    </row>
    <row r="84" customFormat="false" ht="15" hidden="false" customHeight="true" outlineLevel="0" collapsed="false">
      <c r="A84" s="4"/>
      <c r="B84" s="4"/>
      <c r="C84" s="4"/>
      <c r="D84" s="4"/>
      <c r="E84" s="4"/>
      <c r="F84" s="4"/>
      <c r="G84" s="4"/>
      <c r="H84" s="4"/>
      <c r="I84" s="4"/>
      <c r="J84" s="4"/>
      <c r="K84" s="12" t="str">
        <f aca="false">IF(COUNTA(D84:J84)=0,"",ROUND((COUNTIF(D84:J84,"High")*3+COUNTIF(D84:J84,"Medium")*2+COUNTIF(D84:J84,"Low"))/COUNTA(D84:J84),1))</f>
        <v/>
      </c>
      <c r="L84" s="12" t="str">
        <f aca="false">IF(K84="","",IF(K84&gt;=2.3,"High",IF(K84&gt;=1.5,"Medium","Low")))</f>
        <v/>
      </c>
      <c r="M84" s="4"/>
      <c r="N84" s="4"/>
      <c r="O84" s="4"/>
    </row>
    <row r="85" customFormat="false" ht="15" hidden="false" customHeight="true" outlineLevel="0" collapsed="false">
      <c r="A85" s="4"/>
      <c r="B85" s="4"/>
      <c r="C85" s="4"/>
      <c r="D85" s="4"/>
      <c r="E85" s="4"/>
      <c r="F85" s="4"/>
      <c r="G85" s="4"/>
      <c r="H85" s="4"/>
      <c r="I85" s="4"/>
      <c r="J85" s="4"/>
      <c r="K85" s="12" t="str">
        <f aca="false">IF(COUNTA(D85:J85)=0,"",ROUND((COUNTIF(D85:J85,"High")*3+COUNTIF(D85:J85,"Medium")*2+COUNTIF(D85:J85,"Low"))/COUNTA(D85:J85),1))</f>
        <v/>
      </c>
      <c r="L85" s="12" t="str">
        <f aca="false">IF(K85="","",IF(K85&gt;=2.3,"High",IF(K85&gt;=1.5,"Medium","Low")))</f>
        <v/>
      </c>
      <c r="M85" s="4"/>
      <c r="N85" s="4"/>
      <c r="O85" s="4"/>
    </row>
    <row r="86" customFormat="false" ht="15" hidden="false" customHeight="true" outlineLevel="0" collapsed="false">
      <c r="A86" s="4"/>
      <c r="B86" s="4"/>
      <c r="C86" s="4"/>
      <c r="D86" s="4"/>
      <c r="E86" s="4"/>
      <c r="F86" s="4"/>
      <c r="G86" s="4"/>
      <c r="H86" s="4"/>
      <c r="I86" s="4"/>
      <c r="J86" s="4"/>
      <c r="K86" s="12" t="str">
        <f aca="false">IF(COUNTA(D86:J86)=0,"",ROUND((COUNTIF(D86:J86,"High")*3+COUNTIF(D86:J86,"Medium")*2+COUNTIF(D86:J86,"Low"))/COUNTA(D86:J86),1))</f>
        <v/>
      </c>
      <c r="L86" s="12" t="str">
        <f aca="false">IF(K86="","",IF(K86&gt;=2.3,"High",IF(K86&gt;=1.5,"Medium","Low")))</f>
        <v/>
      </c>
      <c r="M86" s="4"/>
      <c r="N86" s="4"/>
      <c r="O86" s="4"/>
    </row>
    <row r="87" customFormat="false" ht="15" hidden="false" customHeight="true" outlineLevel="0" collapsed="false">
      <c r="A87" s="4"/>
      <c r="B87" s="4"/>
      <c r="C87" s="4"/>
      <c r="D87" s="4"/>
      <c r="E87" s="4"/>
      <c r="F87" s="4"/>
      <c r="G87" s="4"/>
      <c r="H87" s="4"/>
      <c r="I87" s="4"/>
      <c r="J87" s="4"/>
      <c r="K87" s="12" t="str">
        <f aca="false">IF(COUNTA(D87:J87)=0,"",ROUND((COUNTIF(D87:J87,"High")*3+COUNTIF(D87:J87,"Medium")*2+COUNTIF(D87:J87,"Low"))/COUNTA(D87:J87),1))</f>
        <v/>
      </c>
      <c r="L87" s="12" t="str">
        <f aca="false">IF(K87="","",IF(K87&gt;=2.3,"High",IF(K87&gt;=1.5,"Medium","Low")))</f>
        <v/>
      </c>
      <c r="M87" s="4"/>
      <c r="N87" s="4"/>
      <c r="O87" s="4"/>
    </row>
    <row r="88" customFormat="false" ht="15" hidden="false" customHeight="true" outlineLevel="0" collapsed="false">
      <c r="A88" s="4"/>
      <c r="B88" s="4"/>
      <c r="C88" s="4"/>
      <c r="D88" s="4"/>
      <c r="E88" s="4"/>
      <c r="F88" s="4"/>
      <c r="G88" s="4"/>
      <c r="H88" s="4"/>
      <c r="I88" s="4"/>
      <c r="J88" s="4"/>
      <c r="K88" s="12" t="str">
        <f aca="false">IF(COUNTA(D88:J88)=0,"",ROUND((COUNTIF(D88:J88,"High")*3+COUNTIF(D88:J88,"Medium")*2+COUNTIF(D88:J88,"Low"))/COUNTA(D88:J88),1))</f>
        <v/>
      </c>
      <c r="L88" s="12" t="str">
        <f aca="false">IF(K88="","",IF(K88&gt;=2.3,"High",IF(K88&gt;=1.5,"Medium","Low")))</f>
        <v/>
      </c>
      <c r="M88" s="4"/>
      <c r="N88" s="4"/>
      <c r="O88" s="4"/>
    </row>
    <row r="89" customFormat="false" ht="15" hidden="false" customHeight="true" outlineLevel="0" collapsed="false">
      <c r="A89" s="4"/>
      <c r="B89" s="4"/>
      <c r="C89" s="4"/>
      <c r="D89" s="4"/>
      <c r="E89" s="4"/>
      <c r="F89" s="4"/>
      <c r="G89" s="4"/>
      <c r="H89" s="4"/>
      <c r="I89" s="4"/>
      <c r="J89" s="4"/>
      <c r="K89" s="12" t="str">
        <f aca="false">IF(COUNTA(D89:J89)=0,"",ROUND((COUNTIF(D89:J89,"High")*3+COUNTIF(D89:J89,"Medium")*2+COUNTIF(D89:J89,"Low"))/COUNTA(D89:J89),1))</f>
        <v/>
      </c>
      <c r="L89" s="12" t="str">
        <f aca="false">IF(K89="","",IF(K89&gt;=2.3,"High",IF(K89&gt;=1.5,"Medium","Low")))</f>
        <v/>
      </c>
      <c r="M89" s="4"/>
      <c r="N89" s="4"/>
      <c r="O89" s="4"/>
    </row>
    <row r="90" customFormat="false" ht="15" hidden="false" customHeight="true" outlineLevel="0" collapsed="false">
      <c r="A90" s="4"/>
      <c r="B90" s="4"/>
      <c r="C90" s="4"/>
      <c r="D90" s="4"/>
      <c r="E90" s="4"/>
      <c r="F90" s="4"/>
      <c r="G90" s="4"/>
      <c r="H90" s="4"/>
      <c r="I90" s="4"/>
      <c r="J90" s="4"/>
      <c r="K90" s="12" t="str">
        <f aca="false">IF(COUNTA(D90:J90)=0,"",ROUND((COUNTIF(D90:J90,"High")*3+COUNTIF(D90:J90,"Medium")*2+COUNTIF(D90:J90,"Low"))/COUNTA(D90:J90),1))</f>
        <v/>
      </c>
      <c r="L90" s="12" t="str">
        <f aca="false">IF(K90="","",IF(K90&gt;=2.3,"High",IF(K90&gt;=1.5,"Medium","Low")))</f>
        <v/>
      </c>
      <c r="M90" s="4"/>
      <c r="N90" s="4"/>
      <c r="O90" s="4"/>
    </row>
    <row r="91" customFormat="false" ht="15" hidden="false" customHeight="true" outlineLevel="0" collapsed="false">
      <c r="A91" s="4"/>
      <c r="B91" s="4"/>
      <c r="C91" s="4"/>
      <c r="D91" s="4"/>
      <c r="E91" s="4"/>
      <c r="F91" s="4"/>
      <c r="G91" s="4"/>
      <c r="H91" s="4"/>
      <c r="I91" s="4"/>
      <c r="J91" s="4"/>
      <c r="K91" s="12" t="str">
        <f aca="false">IF(COUNTA(D91:J91)=0,"",ROUND((COUNTIF(D91:J91,"High")*3+COUNTIF(D91:J91,"Medium")*2+COUNTIF(D91:J91,"Low"))/COUNTA(D91:J91),1))</f>
        <v/>
      </c>
      <c r="L91" s="12" t="str">
        <f aca="false">IF(K91="","",IF(K91&gt;=2.3,"High",IF(K91&gt;=1.5,"Medium","Low")))</f>
        <v/>
      </c>
      <c r="M91" s="4"/>
      <c r="N91" s="4"/>
      <c r="O91" s="4"/>
    </row>
    <row r="92" customFormat="false" ht="15" hidden="false" customHeight="true" outlineLevel="0" collapsed="false">
      <c r="A92" s="4"/>
      <c r="B92" s="4"/>
      <c r="C92" s="4"/>
      <c r="D92" s="4"/>
      <c r="E92" s="4"/>
      <c r="F92" s="4"/>
      <c r="G92" s="4"/>
      <c r="H92" s="4"/>
      <c r="I92" s="4"/>
      <c r="J92" s="4"/>
      <c r="K92" s="12" t="str">
        <f aca="false">IF(COUNTA(D92:J92)=0,"",ROUND((COUNTIF(D92:J92,"High")*3+COUNTIF(D92:J92,"Medium")*2+COUNTIF(D92:J92,"Low"))/COUNTA(D92:J92),1))</f>
        <v/>
      </c>
      <c r="L92" s="12" t="str">
        <f aca="false">IF(K92="","",IF(K92&gt;=2.3,"High",IF(K92&gt;=1.5,"Medium","Low")))</f>
        <v/>
      </c>
      <c r="M92" s="4"/>
      <c r="N92" s="4"/>
      <c r="O92" s="4"/>
    </row>
    <row r="93" customFormat="false" ht="15" hidden="false" customHeight="true" outlineLevel="0" collapsed="false">
      <c r="A93" s="4"/>
      <c r="B93" s="4"/>
      <c r="C93" s="4"/>
      <c r="D93" s="4"/>
      <c r="E93" s="4"/>
      <c r="F93" s="4"/>
      <c r="G93" s="4"/>
      <c r="H93" s="4"/>
      <c r="I93" s="4"/>
      <c r="J93" s="4"/>
      <c r="K93" s="12" t="str">
        <f aca="false">IF(COUNTA(D93:J93)=0,"",ROUND((COUNTIF(D93:J93,"High")*3+COUNTIF(D93:J93,"Medium")*2+COUNTIF(D93:J93,"Low"))/COUNTA(D93:J93),1))</f>
        <v/>
      </c>
      <c r="L93" s="12" t="str">
        <f aca="false">IF(K93="","",IF(K93&gt;=2.3,"High",IF(K93&gt;=1.5,"Medium","Low")))</f>
        <v/>
      </c>
      <c r="M93" s="4"/>
      <c r="N93" s="4"/>
      <c r="O93" s="4"/>
    </row>
    <row r="94" customFormat="false" ht="15" hidden="false" customHeight="true" outlineLevel="0" collapsed="false">
      <c r="A94" s="4"/>
      <c r="B94" s="4"/>
      <c r="C94" s="4"/>
      <c r="D94" s="4"/>
      <c r="E94" s="4"/>
      <c r="F94" s="4"/>
      <c r="G94" s="4"/>
      <c r="H94" s="4"/>
      <c r="I94" s="4"/>
      <c r="J94" s="4"/>
      <c r="K94" s="12" t="str">
        <f aca="false">IF(COUNTA(D94:J94)=0,"",ROUND((COUNTIF(D94:J94,"High")*3+COUNTIF(D94:J94,"Medium")*2+COUNTIF(D94:J94,"Low"))/COUNTA(D94:J94),1))</f>
        <v/>
      </c>
      <c r="L94" s="12" t="str">
        <f aca="false">IF(K94="","",IF(K94&gt;=2.3,"High",IF(K94&gt;=1.5,"Medium","Low")))</f>
        <v/>
      </c>
      <c r="M94" s="4"/>
      <c r="N94" s="4"/>
      <c r="O94" s="4"/>
    </row>
    <row r="95" customFormat="false" ht="15" hidden="false" customHeight="true" outlineLevel="0" collapsed="false">
      <c r="A95" s="4"/>
      <c r="B95" s="4"/>
      <c r="C95" s="4"/>
      <c r="D95" s="4"/>
      <c r="E95" s="4"/>
      <c r="F95" s="4"/>
      <c r="G95" s="4"/>
      <c r="H95" s="4"/>
      <c r="I95" s="4"/>
      <c r="J95" s="4"/>
      <c r="K95" s="12" t="str">
        <f aca="false">IF(COUNTA(D95:J95)=0,"",ROUND((COUNTIF(D95:J95,"High")*3+COUNTIF(D95:J95,"Medium")*2+COUNTIF(D95:J95,"Low"))/COUNTA(D95:J95),1))</f>
        <v/>
      </c>
      <c r="L95" s="12" t="str">
        <f aca="false">IF(K95="","",IF(K95&gt;=2.3,"High",IF(K95&gt;=1.5,"Medium","Low")))</f>
        <v/>
      </c>
      <c r="M95" s="4"/>
      <c r="N95" s="4"/>
      <c r="O95" s="4"/>
    </row>
    <row r="96" customFormat="false" ht="15" hidden="false" customHeight="true" outlineLevel="0" collapsed="false">
      <c r="A96" s="4"/>
      <c r="B96" s="4"/>
      <c r="C96" s="4"/>
      <c r="D96" s="4"/>
      <c r="E96" s="4"/>
      <c r="F96" s="4"/>
      <c r="G96" s="4"/>
      <c r="H96" s="4"/>
      <c r="I96" s="4"/>
      <c r="J96" s="4"/>
      <c r="K96" s="12" t="str">
        <f aca="false">IF(COUNTA(D96:J96)=0,"",ROUND((COUNTIF(D96:J96,"High")*3+COUNTIF(D96:J96,"Medium")*2+COUNTIF(D96:J96,"Low"))/COUNTA(D96:J96),1))</f>
        <v/>
      </c>
      <c r="L96" s="12" t="str">
        <f aca="false">IF(K96="","",IF(K96&gt;=2.3,"High",IF(K96&gt;=1.5,"Medium","Low")))</f>
        <v/>
      </c>
      <c r="M96" s="4"/>
      <c r="N96" s="4"/>
      <c r="O96" s="4"/>
    </row>
    <row r="97" customFormat="false" ht="15" hidden="false" customHeight="true" outlineLevel="0" collapsed="false">
      <c r="A97" s="4"/>
      <c r="B97" s="4"/>
      <c r="C97" s="4"/>
      <c r="D97" s="4"/>
      <c r="E97" s="4"/>
      <c r="F97" s="4"/>
      <c r="G97" s="4"/>
      <c r="H97" s="4"/>
      <c r="I97" s="4"/>
      <c r="J97" s="4"/>
      <c r="K97" s="12" t="str">
        <f aca="false">IF(COUNTA(D97:J97)=0,"",ROUND((COUNTIF(D97:J97,"High")*3+COUNTIF(D97:J97,"Medium")*2+COUNTIF(D97:J97,"Low"))/COUNTA(D97:J97),1))</f>
        <v/>
      </c>
      <c r="L97" s="12" t="str">
        <f aca="false">IF(K97="","",IF(K97&gt;=2.3,"High",IF(K97&gt;=1.5,"Medium","Low")))</f>
        <v/>
      </c>
      <c r="M97" s="4"/>
      <c r="N97" s="4"/>
      <c r="O97" s="4"/>
    </row>
    <row r="98" customFormat="false" ht="15" hidden="false" customHeight="true" outlineLevel="0" collapsed="false">
      <c r="A98" s="4"/>
      <c r="B98" s="4"/>
      <c r="C98" s="4"/>
      <c r="D98" s="4"/>
      <c r="E98" s="4"/>
      <c r="F98" s="4"/>
      <c r="G98" s="4"/>
      <c r="H98" s="4"/>
      <c r="I98" s="4"/>
      <c r="J98" s="4"/>
      <c r="K98" s="12" t="str">
        <f aca="false">IF(COUNTA(D98:J98)=0,"",ROUND((COUNTIF(D98:J98,"High")*3+COUNTIF(D98:J98,"Medium")*2+COUNTIF(D98:J98,"Low"))/COUNTA(D98:J98),1))</f>
        <v/>
      </c>
      <c r="L98" s="12" t="str">
        <f aca="false">IF(K98="","",IF(K98&gt;=2.3,"High",IF(K98&gt;=1.5,"Medium","Low")))</f>
        <v/>
      </c>
      <c r="M98" s="4"/>
      <c r="N98" s="4"/>
      <c r="O98" s="4"/>
    </row>
    <row r="99" customFormat="false" ht="15" hidden="false" customHeight="true" outlineLevel="0" collapsed="false">
      <c r="A99" s="4"/>
      <c r="B99" s="4"/>
      <c r="C99" s="4"/>
      <c r="D99" s="4"/>
      <c r="E99" s="4"/>
      <c r="F99" s="4"/>
      <c r="G99" s="4"/>
      <c r="H99" s="4"/>
      <c r="I99" s="4"/>
      <c r="J99" s="4"/>
      <c r="K99" s="12" t="str">
        <f aca="false">IF(COUNTA(D99:J99)=0,"",ROUND((COUNTIF(D99:J99,"High")*3+COUNTIF(D99:J99,"Medium")*2+COUNTIF(D99:J99,"Low"))/COUNTA(D99:J99),1))</f>
        <v/>
      </c>
      <c r="L99" s="12" t="str">
        <f aca="false">IF(K99="","",IF(K99&gt;=2.3,"High",IF(K99&gt;=1.5,"Medium","Low")))</f>
        <v/>
      </c>
      <c r="M99" s="4"/>
      <c r="N99" s="4"/>
      <c r="O99" s="4"/>
    </row>
    <row r="100" customFormat="false" ht="15" hidden="false" customHeight="true" outlineLevel="0" collapsed="false">
      <c r="A100" s="4"/>
      <c r="B100" s="4"/>
      <c r="C100" s="4"/>
      <c r="D100" s="4"/>
      <c r="E100" s="4"/>
      <c r="F100" s="4"/>
      <c r="G100" s="4"/>
      <c r="H100" s="4"/>
      <c r="I100" s="4"/>
      <c r="J100" s="4"/>
      <c r="K100" s="12" t="str">
        <f aca="false">IF(COUNTA(D100:J100)=0,"",ROUND((COUNTIF(D100:J100,"High")*3+COUNTIF(D100:J100,"Medium")*2+COUNTIF(D100:J100,"Low"))/COUNTA(D100:J100),1))</f>
        <v/>
      </c>
      <c r="L100" s="12" t="str">
        <f aca="false">IF(K100="","",IF(K100&gt;=2.3,"High",IF(K100&gt;=1.5,"Medium","Low")))</f>
        <v/>
      </c>
      <c r="M100" s="4"/>
      <c r="N100" s="4"/>
      <c r="O100" s="4"/>
    </row>
    <row r="101" customFormat="false" ht="15" hidden="false" customHeight="true" outlineLevel="0" collapsed="false">
      <c r="A101" s="4"/>
      <c r="B101" s="4"/>
      <c r="C101" s="4"/>
      <c r="D101" s="4"/>
      <c r="E101" s="4"/>
      <c r="F101" s="4"/>
      <c r="G101" s="4"/>
      <c r="H101" s="4"/>
      <c r="I101" s="4"/>
      <c r="J101" s="4"/>
      <c r="K101" s="12" t="str">
        <f aca="false">IF(COUNTA(D101:J101)=0,"",ROUND((COUNTIF(D101:J101,"High")*3+COUNTIF(D101:J101,"Medium")*2+COUNTIF(D101:J101,"Low"))/COUNTA(D101:J101),1))</f>
        <v/>
      </c>
      <c r="L101" s="12" t="str">
        <f aca="false">IF(K101="","",IF(K101&gt;=2.3,"High",IF(K101&gt;=1.5,"Medium","Low")))</f>
        <v/>
      </c>
      <c r="M101" s="4"/>
      <c r="N101" s="4"/>
      <c r="O101" s="4"/>
    </row>
    <row r="102" customFormat="false" ht="15" hidden="false" customHeight="true" outlineLevel="0" collapsed="false">
      <c r="A102" s="4"/>
      <c r="B102" s="4"/>
      <c r="C102" s="4"/>
      <c r="D102" s="4"/>
      <c r="E102" s="4"/>
      <c r="F102" s="4"/>
      <c r="G102" s="4"/>
      <c r="H102" s="4"/>
      <c r="I102" s="4"/>
      <c r="J102" s="4"/>
      <c r="K102" s="12" t="str">
        <f aca="false">IF(COUNTA(D102:J102)=0,"",ROUND((COUNTIF(D102:J102,"High")*3+COUNTIF(D102:J102,"Medium")*2+COUNTIF(D102:J102,"Low"))/COUNTA(D102:J102),1))</f>
        <v/>
      </c>
      <c r="L102" s="12" t="str">
        <f aca="false">IF(K102="","",IF(K102&gt;=2.3,"High",IF(K102&gt;=1.5,"Medium","Low")))</f>
        <v/>
      </c>
      <c r="M102" s="4"/>
      <c r="N102" s="4"/>
      <c r="O102" s="4"/>
    </row>
    <row r="103" customFormat="false" ht="15" hidden="false" customHeight="true" outlineLevel="0" collapsed="false">
      <c r="A103" s="4"/>
      <c r="B103" s="4"/>
      <c r="C103" s="4"/>
      <c r="D103" s="4"/>
      <c r="E103" s="4"/>
      <c r="F103" s="4"/>
      <c r="G103" s="4"/>
      <c r="H103" s="4"/>
      <c r="I103" s="4"/>
      <c r="J103" s="4"/>
      <c r="K103" s="12" t="str">
        <f aca="false">IF(COUNTA(D103:J103)=0,"",ROUND((COUNTIF(D103:J103,"High")*3+COUNTIF(D103:J103,"Medium")*2+COUNTIF(D103:J103,"Low"))/COUNTA(D103:J103),1))</f>
        <v/>
      </c>
      <c r="L103" s="12" t="str">
        <f aca="false">IF(K103="","",IF(K103&gt;=2.3,"High",IF(K103&gt;=1.5,"Medium","Low")))</f>
        <v/>
      </c>
      <c r="M103" s="4"/>
      <c r="N103" s="4"/>
      <c r="O103" s="4"/>
    </row>
    <row r="104" customFormat="false" ht="15" hidden="false" customHeight="true" outlineLevel="0" collapsed="false">
      <c r="A104" s="4"/>
      <c r="B104" s="4"/>
      <c r="C104" s="4"/>
      <c r="D104" s="4"/>
      <c r="E104" s="4"/>
      <c r="F104" s="4"/>
      <c r="G104" s="4"/>
      <c r="H104" s="4"/>
      <c r="I104" s="4"/>
      <c r="J104" s="4"/>
      <c r="K104" s="12" t="str">
        <f aca="false">IF(COUNTA(D104:J104)=0,"",ROUND((COUNTIF(D104:J104,"High")*3+COUNTIF(D104:J104,"Medium")*2+COUNTIF(D104:J104,"Low"))/COUNTA(D104:J104),1))</f>
        <v/>
      </c>
      <c r="L104" s="12" t="str">
        <f aca="false">IF(K104="","",IF(K104&gt;=2.3,"High",IF(K104&gt;=1.5,"Medium","Low")))</f>
        <v/>
      </c>
      <c r="M104" s="4"/>
      <c r="N104" s="4"/>
      <c r="O104" s="4"/>
    </row>
    <row r="105" customFormat="false" ht="15" hidden="false" customHeight="true" outlineLevel="0" collapsed="false">
      <c r="A105" s="4"/>
      <c r="B105" s="4"/>
      <c r="C105" s="4"/>
      <c r="D105" s="4"/>
      <c r="E105" s="4"/>
      <c r="F105" s="4"/>
      <c r="G105" s="4"/>
      <c r="H105" s="4"/>
      <c r="I105" s="4"/>
      <c r="J105" s="4"/>
      <c r="K105" s="12" t="str">
        <f aca="false">IF(COUNTA(D105:J105)=0,"",ROUND((COUNTIF(D105:J105,"High")*3+COUNTIF(D105:J105,"Medium")*2+COUNTIF(D105:J105,"Low"))/COUNTA(D105:J105),1))</f>
        <v/>
      </c>
      <c r="L105" s="12" t="str">
        <f aca="false">IF(K105="","",IF(K105&gt;=2.3,"High",IF(K105&gt;=1.5,"Medium","Low")))</f>
        <v/>
      </c>
      <c r="M105" s="4"/>
      <c r="N105" s="4"/>
      <c r="O105" s="4"/>
    </row>
    <row r="106" customFormat="false" ht="15" hidden="false" customHeight="true" outlineLevel="0" collapsed="false">
      <c r="A106" s="4"/>
      <c r="B106" s="4"/>
      <c r="C106" s="4"/>
      <c r="D106" s="4"/>
      <c r="E106" s="4"/>
      <c r="F106" s="4"/>
      <c r="G106" s="4"/>
      <c r="H106" s="4"/>
      <c r="I106" s="4"/>
      <c r="J106" s="4"/>
      <c r="K106" s="12" t="str">
        <f aca="false">IF(COUNTA(D106:J106)=0,"",ROUND((COUNTIF(D106:J106,"High")*3+COUNTIF(D106:J106,"Medium")*2+COUNTIF(D106:J106,"Low"))/COUNTA(D106:J106),1))</f>
        <v/>
      </c>
      <c r="L106" s="12" t="str">
        <f aca="false">IF(K106="","",IF(K106&gt;=2.3,"High",IF(K106&gt;=1.5,"Medium","Low")))</f>
        <v/>
      </c>
      <c r="M106" s="4"/>
      <c r="N106" s="4"/>
      <c r="O106" s="4"/>
    </row>
    <row r="107" customFormat="false" ht="15" hidden="false" customHeight="true" outlineLevel="0" collapsed="false">
      <c r="A107" s="4"/>
      <c r="B107" s="4"/>
      <c r="C107" s="4"/>
      <c r="D107" s="4"/>
      <c r="E107" s="4"/>
      <c r="F107" s="4"/>
      <c r="G107" s="4"/>
      <c r="H107" s="4"/>
      <c r="I107" s="4"/>
      <c r="J107" s="4"/>
      <c r="K107" s="12" t="str">
        <f aca="false">IF(COUNTA(D107:J107)=0,"",ROUND((COUNTIF(D107:J107,"High")*3+COUNTIF(D107:J107,"Medium")*2+COUNTIF(D107:J107,"Low"))/COUNTA(D107:J107),1))</f>
        <v/>
      </c>
      <c r="L107" s="12" t="str">
        <f aca="false">IF(K107="","",IF(K107&gt;=2.3,"High",IF(K107&gt;=1.5,"Medium","Low")))</f>
        <v/>
      </c>
      <c r="M107" s="4"/>
      <c r="N107" s="4"/>
      <c r="O107" s="4"/>
    </row>
    <row r="108" customFormat="false" ht="15" hidden="false" customHeight="true" outlineLevel="0" collapsed="false">
      <c r="A108" s="4"/>
      <c r="B108" s="4"/>
      <c r="C108" s="4"/>
      <c r="D108" s="4"/>
      <c r="E108" s="4"/>
      <c r="F108" s="4"/>
      <c r="G108" s="4"/>
      <c r="H108" s="4"/>
      <c r="I108" s="4"/>
      <c r="J108" s="4"/>
      <c r="K108" s="12" t="str">
        <f aca="false">IF(COUNTA(D108:J108)=0,"",ROUND((COUNTIF(D108:J108,"High")*3+COUNTIF(D108:J108,"Medium")*2+COUNTIF(D108:J108,"Low"))/COUNTA(D108:J108),1))</f>
        <v/>
      </c>
      <c r="L108" s="12" t="str">
        <f aca="false">IF(K108="","",IF(K108&gt;=2.3,"High",IF(K108&gt;=1.5,"Medium","Low")))</f>
        <v/>
      </c>
      <c r="M108" s="4"/>
      <c r="N108" s="4"/>
      <c r="O108" s="4"/>
    </row>
    <row r="109" customFormat="false" ht="15" hidden="false" customHeight="true" outlineLevel="0" collapsed="false">
      <c r="A109" s="4"/>
      <c r="B109" s="4"/>
      <c r="C109" s="4"/>
      <c r="D109" s="4"/>
      <c r="E109" s="4"/>
      <c r="F109" s="4"/>
      <c r="G109" s="4"/>
      <c r="H109" s="4"/>
      <c r="I109" s="4"/>
      <c r="J109" s="4"/>
      <c r="K109" s="12" t="str">
        <f aca="false">IF(COUNTA(D109:J109)=0,"",ROUND((COUNTIF(D109:J109,"High")*3+COUNTIF(D109:J109,"Medium")*2+COUNTIF(D109:J109,"Low"))/COUNTA(D109:J109),1))</f>
        <v/>
      </c>
      <c r="L109" s="12" t="str">
        <f aca="false">IF(K109="","",IF(K109&gt;=2.3,"High",IF(K109&gt;=1.5,"Medium","Low")))</f>
        <v/>
      </c>
      <c r="M109" s="4"/>
      <c r="N109" s="4"/>
      <c r="O109" s="4"/>
    </row>
    <row r="110" customFormat="false" ht="15" hidden="false" customHeight="true" outlineLevel="0" collapsed="false">
      <c r="A110" s="4"/>
      <c r="B110" s="4"/>
      <c r="C110" s="4"/>
      <c r="D110" s="4"/>
      <c r="E110" s="4"/>
      <c r="F110" s="4"/>
      <c r="G110" s="4"/>
      <c r="H110" s="4"/>
      <c r="I110" s="4"/>
      <c r="J110" s="4"/>
      <c r="K110" s="12" t="str">
        <f aca="false">IF(COUNTA(D110:J110)=0,"",ROUND((COUNTIF(D110:J110,"High")*3+COUNTIF(D110:J110,"Medium")*2+COUNTIF(D110:J110,"Low"))/COUNTA(D110:J110),1))</f>
        <v/>
      </c>
      <c r="L110" s="12" t="str">
        <f aca="false">IF(K110="","",IF(K110&gt;=2.3,"High",IF(K110&gt;=1.5,"Medium","Low")))</f>
        <v/>
      </c>
      <c r="M110" s="4"/>
      <c r="N110" s="4"/>
      <c r="O110" s="4"/>
    </row>
    <row r="111" customFormat="false" ht="15" hidden="false" customHeight="true" outlineLevel="0" collapsed="false">
      <c r="A111" s="4"/>
      <c r="B111" s="4"/>
      <c r="C111" s="4"/>
      <c r="D111" s="4"/>
      <c r="E111" s="4"/>
      <c r="F111" s="4"/>
      <c r="G111" s="4"/>
      <c r="H111" s="4"/>
      <c r="I111" s="4"/>
      <c r="J111" s="4"/>
      <c r="K111" s="12" t="str">
        <f aca="false">IF(COUNTA(D111:J111)=0,"",ROUND((COUNTIF(D111:J111,"High")*3+COUNTIF(D111:J111,"Medium")*2+COUNTIF(D111:J111,"Low"))/COUNTA(D111:J111),1))</f>
        <v/>
      </c>
      <c r="L111" s="12" t="str">
        <f aca="false">IF(K111="","",IF(K111&gt;=2.3,"High",IF(K111&gt;=1.5,"Medium","Low")))</f>
        <v/>
      </c>
      <c r="M111" s="4"/>
      <c r="N111" s="4"/>
      <c r="O111" s="4"/>
    </row>
    <row r="112" customFormat="false" ht="15" hidden="false" customHeight="true" outlineLevel="0" collapsed="false">
      <c r="A112" s="4"/>
      <c r="B112" s="4"/>
      <c r="C112" s="4"/>
      <c r="D112" s="4"/>
      <c r="E112" s="4"/>
      <c r="F112" s="4"/>
      <c r="G112" s="4"/>
      <c r="H112" s="4"/>
      <c r="I112" s="4"/>
      <c r="J112" s="4"/>
      <c r="K112" s="12" t="str">
        <f aca="false">IF(COUNTA(D112:J112)=0,"",ROUND((COUNTIF(D112:J112,"High")*3+COUNTIF(D112:J112,"Medium")*2+COUNTIF(D112:J112,"Low"))/COUNTA(D112:J112),1))</f>
        <v/>
      </c>
      <c r="L112" s="12" t="str">
        <f aca="false">IF(K112="","",IF(K112&gt;=2.3,"High",IF(K112&gt;=1.5,"Medium","Low")))</f>
        <v/>
      </c>
      <c r="M112" s="4"/>
      <c r="N112" s="4"/>
      <c r="O112" s="4"/>
    </row>
    <row r="113" customFormat="false" ht="15" hidden="false" customHeight="true" outlineLevel="0" collapsed="false">
      <c r="A113" s="4"/>
      <c r="B113" s="4"/>
      <c r="C113" s="4"/>
      <c r="D113" s="4"/>
      <c r="E113" s="4"/>
      <c r="F113" s="4"/>
      <c r="G113" s="4"/>
      <c r="H113" s="4"/>
      <c r="I113" s="4"/>
      <c r="J113" s="4"/>
      <c r="K113" s="12" t="str">
        <f aca="false">IF(COUNTA(D113:J113)=0,"",ROUND((COUNTIF(D113:J113,"High")*3+COUNTIF(D113:J113,"Medium")*2+COUNTIF(D113:J113,"Low"))/COUNTA(D113:J113),1))</f>
        <v/>
      </c>
      <c r="L113" s="12" t="str">
        <f aca="false">IF(K113="","",IF(K113&gt;=2.3,"High",IF(K113&gt;=1.5,"Medium","Low")))</f>
        <v/>
      </c>
      <c r="M113" s="4"/>
      <c r="N113" s="4"/>
      <c r="O113" s="4"/>
    </row>
    <row r="114" customFormat="false" ht="15" hidden="false" customHeight="true" outlineLevel="0" collapsed="false">
      <c r="A114" s="4"/>
      <c r="B114" s="4"/>
      <c r="C114" s="4"/>
      <c r="D114" s="4"/>
      <c r="E114" s="4"/>
      <c r="F114" s="4"/>
      <c r="G114" s="4"/>
      <c r="H114" s="4"/>
      <c r="I114" s="4"/>
      <c r="J114" s="4"/>
      <c r="K114" s="12" t="str">
        <f aca="false">IF(COUNTA(D114:J114)=0,"",ROUND((COUNTIF(D114:J114,"High")*3+COUNTIF(D114:J114,"Medium")*2+COUNTIF(D114:J114,"Low"))/COUNTA(D114:J114),1))</f>
        <v/>
      </c>
      <c r="L114" s="12" t="str">
        <f aca="false">IF(K114="","",IF(K114&gt;=2.3,"High",IF(K114&gt;=1.5,"Medium","Low")))</f>
        <v/>
      </c>
      <c r="M114" s="4"/>
      <c r="N114" s="4"/>
      <c r="O114" s="4"/>
    </row>
    <row r="115" customFormat="false" ht="15" hidden="false" customHeight="true" outlineLevel="0" collapsed="false">
      <c r="A115" s="4"/>
      <c r="B115" s="4"/>
      <c r="C115" s="4"/>
      <c r="D115" s="4"/>
      <c r="E115" s="4"/>
      <c r="F115" s="4"/>
      <c r="G115" s="4"/>
      <c r="H115" s="4"/>
      <c r="I115" s="4"/>
      <c r="J115" s="4"/>
      <c r="K115" s="12" t="str">
        <f aca="false">IF(COUNTA(D115:J115)=0,"",ROUND((COUNTIF(D115:J115,"High")*3+COUNTIF(D115:J115,"Medium")*2+COUNTIF(D115:J115,"Low"))/COUNTA(D115:J115),1))</f>
        <v/>
      </c>
      <c r="L115" s="12" t="str">
        <f aca="false">IF(K115="","",IF(K115&gt;=2.3,"High",IF(K115&gt;=1.5,"Medium","Low")))</f>
        <v/>
      </c>
      <c r="M115" s="4"/>
      <c r="N115" s="4"/>
      <c r="O115" s="4"/>
    </row>
    <row r="116" customFormat="false" ht="15" hidden="false" customHeight="true" outlineLevel="0" collapsed="false">
      <c r="A116" s="4"/>
      <c r="B116" s="4"/>
      <c r="C116" s="4"/>
      <c r="D116" s="4"/>
      <c r="E116" s="4"/>
      <c r="F116" s="4"/>
      <c r="G116" s="4"/>
      <c r="H116" s="4"/>
      <c r="I116" s="4"/>
      <c r="J116" s="4"/>
      <c r="K116" s="12" t="str">
        <f aca="false">IF(COUNTA(D116:J116)=0,"",ROUND((COUNTIF(D116:J116,"High")*3+COUNTIF(D116:J116,"Medium")*2+COUNTIF(D116:J116,"Low"))/COUNTA(D116:J116),1))</f>
        <v/>
      </c>
      <c r="L116" s="12" t="str">
        <f aca="false">IF(K116="","",IF(K116&gt;=2.3,"High",IF(K116&gt;=1.5,"Medium","Low")))</f>
        <v/>
      </c>
      <c r="M116" s="4"/>
      <c r="N116" s="4"/>
      <c r="O116" s="4"/>
    </row>
    <row r="117" customFormat="false" ht="15" hidden="false" customHeight="true" outlineLevel="0" collapsed="false">
      <c r="A117" s="4"/>
      <c r="B117" s="4"/>
      <c r="C117" s="4"/>
      <c r="D117" s="4"/>
      <c r="E117" s="4"/>
      <c r="F117" s="4"/>
      <c r="G117" s="4"/>
      <c r="H117" s="4"/>
      <c r="I117" s="4"/>
      <c r="J117" s="4"/>
      <c r="K117" s="12" t="str">
        <f aca="false">IF(COUNTA(D117:J117)=0,"",ROUND((COUNTIF(D117:J117,"High")*3+COUNTIF(D117:J117,"Medium")*2+COUNTIF(D117:J117,"Low"))/COUNTA(D117:J117),1))</f>
        <v/>
      </c>
      <c r="L117" s="12" t="str">
        <f aca="false">IF(K117="","",IF(K117&gt;=2.3,"High",IF(K117&gt;=1.5,"Medium","Low")))</f>
        <v/>
      </c>
      <c r="M117" s="4"/>
      <c r="N117" s="4"/>
      <c r="O117" s="4"/>
    </row>
    <row r="118" customFormat="false" ht="15" hidden="false" customHeight="true" outlineLevel="0" collapsed="false">
      <c r="A118" s="4"/>
      <c r="B118" s="4"/>
      <c r="C118" s="4"/>
      <c r="D118" s="4"/>
      <c r="E118" s="4"/>
      <c r="F118" s="4"/>
      <c r="G118" s="4"/>
      <c r="H118" s="4"/>
      <c r="I118" s="4"/>
      <c r="J118" s="4"/>
      <c r="K118" s="12" t="str">
        <f aca="false">IF(COUNTA(D118:J118)=0,"",ROUND((COUNTIF(D118:J118,"High")*3+COUNTIF(D118:J118,"Medium")*2+COUNTIF(D118:J118,"Low"))/COUNTA(D118:J118),1))</f>
        <v/>
      </c>
      <c r="L118" s="12" t="str">
        <f aca="false">IF(K118="","",IF(K118&gt;=2.3,"High",IF(K118&gt;=1.5,"Medium","Low")))</f>
        <v/>
      </c>
      <c r="M118" s="4"/>
      <c r="N118" s="4"/>
      <c r="O118" s="4"/>
    </row>
    <row r="119" customFormat="false" ht="15" hidden="false" customHeight="true" outlineLevel="0" collapsed="false">
      <c r="A119" s="4"/>
      <c r="B119" s="4"/>
      <c r="C119" s="4"/>
      <c r="D119" s="4"/>
      <c r="E119" s="4"/>
      <c r="F119" s="4"/>
      <c r="G119" s="4"/>
      <c r="H119" s="4"/>
      <c r="I119" s="4"/>
      <c r="J119" s="4"/>
      <c r="K119" s="12" t="str">
        <f aca="false">IF(COUNTA(D119:J119)=0,"",ROUND((COUNTIF(D119:J119,"High")*3+COUNTIF(D119:J119,"Medium")*2+COUNTIF(D119:J119,"Low"))/COUNTA(D119:J119),1))</f>
        <v/>
      </c>
      <c r="L119" s="12" t="str">
        <f aca="false">IF(K119="","",IF(K119&gt;=2.3,"High",IF(K119&gt;=1.5,"Medium","Low")))</f>
        <v/>
      </c>
      <c r="M119" s="4"/>
      <c r="N119" s="4"/>
      <c r="O119" s="4"/>
    </row>
    <row r="120" customFormat="false" ht="15" hidden="false" customHeight="true" outlineLevel="0" collapsed="false">
      <c r="A120" s="4"/>
      <c r="B120" s="4"/>
      <c r="C120" s="4"/>
      <c r="D120" s="4"/>
      <c r="E120" s="4"/>
      <c r="F120" s="4"/>
      <c r="G120" s="4"/>
      <c r="H120" s="4"/>
      <c r="I120" s="4"/>
      <c r="J120" s="4"/>
      <c r="K120" s="12" t="str">
        <f aca="false">IF(COUNTA(D120:J120)=0,"",ROUND((COUNTIF(D120:J120,"High")*3+COUNTIF(D120:J120,"Medium")*2+COUNTIF(D120:J120,"Low"))/COUNTA(D120:J120),1))</f>
        <v/>
      </c>
      <c r="L120" s="12" t="str">
        <f aca="false">IF(K120="","",IF(K120&gt;=2.3,"High",IF(K120&gt;=1.5,"Medium","Low")))</f>
        <v/>
      </c>
      <c r="M120" s="4"/>
      <c r="N120" s="4"/>
      <c r="O120" s="4"/>
    </row>
    <row r="121" customFormat="false" ht="15" hidden="false" customHeight="true" outlineLevel="0" collapsed="false">
      <c r="A121" s="4"/>
      <c r="B121" s="4"/>
      <c r="C121" s="4"/>
      <c r="D121" s="4"/>
      <c r="E121" s="4"/>
      <c r="F121" s="4"/>
      <c r="G121" s="4"/>
      <c r="H121" s="4"/>
      <c r="I121" s="4"/>
      <c r="J121" s="4"/>
      <c r="K121" s="12" t="str">
        <f aca="false">IF(COUNTA(D121:J121)=0,"",ROUND((COUNTIF(D121:J121,"High")*3+COUNTIF(D121:J121,"Medium")*2+COUNTIF(D121:J121,"Low"))/COUNTA(D121:J121),1))</f>
        <v/>
      </c>
      <c r="L121" s="12" t="str">
        <f aca="false">IF(K121="","",IF(K121&gt;=2.3,"High",IF(K121&gt;=1.5,"Medium","Low")))</f>
        <v/>
      </c>
      <c r="M121" s="4"/>
      <c r="N121" s="4"/>
      <c r="O121" s="4"/>
    </row>
    <row r="122" customFormat="false" ht="15" hidden="false" customHeight="true" outlineLevel="0" collapsed="false">
      <c r="A122" s="4"/>
      <c r="B122" s="4"/>
      <c r="C122" s="4"/>
      <c r="D122" s="4"/>
      <c r="E122" s="4"/>
      <c r="F122" s="4"/>
      <c r="G122" s="4"/>
      <c r="H122" s="4"/>
      <c r="I122" s="4"/>
      <c r="J122" s="4"/>
      <c r="K122" s="12" t="str">
        <f aca="false">IF(COUNTA(D122:J122)=0,"",ROUND((COUNTIF(D122:J122,"High")*3+COUNTIF(D122:J122,"Medium")*2+COUNTIF(D122:J122,"Low"))/COUNTA(D122:J122),1))</f>
        <v/>
      </c>
      <c r="L122" s="12" t="str">
        <f aca="false">IF(K122="","",IF(K122&gt;=2.3,"High",IF(K122&gt;=1.5,"Medium","Low")))</f>
        <v/>
      </c>
      <c r="M122" s="4"/>
      <c r="N122" s="4"/>
      <c r="O122" s="4"/>
    </row>
  </sheetData>
  <mergeCells count="1">
    <mergeCell ref="A1:O1"/>
  </mergeCells>
  <conditionalFormatting sqref="D3:J122">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"Low"</formula>
    </cfRule>
  </conditionalFormatting>
  <conditionalFormatting sqref="L3:L122">
    <cfRule type="cellIs" priority="5" operator="equal" aboveAverage="0" equalAverage="0" bottom="0" percent="0" rank="0" text="" dxfId="0">
      <formula>"High"</formula>
    </cfRule>
    <cfRule type="cellIs" priority="6" operator="equal" aboveAverage="0" equalAverage="0" bottom="0" percent="0" rank="0" text="" dxfId="1">
      <formula>"Medium"</formula>
    </cfRule>
    <cfRule type="cellIs" priority="7" operator="equal" aboveAverage="0" equalAverage="0" bottom="0" percent="0" rank="0" text="" dxfId="2">
      <formula>"Low"</formula>
    </cfRule>
  </conditionalFormatting>
  <dataValidations count="5">
    <dataValidation allowBlank="true" errorStyle="stop" operator="between" showDropDown="false" showErrorMessage="false" showInputMessage="false" sqref="A3:A122" type="list">
      <formula1>"CH-01,CH-02,CH-03,CH-04"</formula1>
      <formula2>0</formula2>
    </dataValidation>
    <dataValidation allowBlank="true" errorStyle="stop" operator="between" showDropDown="false" showErrorMessage="false" showInputMessage="false" sqref="B3:B122" type="list">
      <formula1>"AUD-01,AUD-02,AUD-03,AUD-04,AUD-05,AUD-06,AUD-07"</formula1>
      <formula2>0</formula2>
    </dataValidation>
    <dataValidation allowBlank="true" errorStyle="stop" operator="between" showDropDown="false" showErrorMessage="false" showInputMessage="false" sqref="D3:J122" type="list">
      <formula1>"High,Medium,Low"</formula1>
      <formula2>0</formula2>
    </dataValidation>
    <dataValidation allowBlank="true" errorStyle="stop" operator="between" showDropDown="false" showErrorMessage="false" showInputMessage="false" sqref="M3:M122" type="list">
      <formula1>"Before Go-Live,During Testing,At Go-Live,Post-Stabilization"</formula1>
      <formula2>0</formula2>
    </dataValidation>
    <dataValidation allowBlank="true" errorStyle="stop" operator="between" showDropDown="false" showErrorMessage="false" showInputMessage="false" sqref="N3:N122" type="list">
      <formula1>"One-Time,Sustained"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2"/>
    <col collapsed="false" customWidth="true" hidden="false" outlineLevel="0" max="3" min="3" style="1" width="30"/>
    <col collapsed="false" customWidth="true" hidden="false" outlineLevel="0" max="4" min="4" style="1" width="26"/>
    <col collapsed="false" customWidth="true" hidden="false" outlineLevel="0" max="6" min="5" style="1" width="30"/>
    <col collapsed="false" customWidth="true" hidden="false" outlineLevel="0" max="7" min="7" style="1" width="24"/>
    <col collapsed="false" customWidth="true" hidden="false" outlineLevel="0" max="8" min="8" style="1" width="34"/>
    <col collapsed="false" customWidth="true" hidden="false" outlineLevel="0" max="9" min="9" style="1" width="16"/>
    <col collapsed="false" customWidth="true" hidden="false" outlineLevel="0" max="10" min="10" style="1" width="12"/>
    <col collapsed="false" customWidth="true" hidden="false" outlineLevel="0" max="11" min="11" style="1" width="13"/>
  </cols>
  <sheetData>
    <row r="1" customFormat="false" ht="25.5" hidden="false" customHeight="true" outlineLevel="0" collapsed="false">
      <c r="A1" s="2" t="s">
        <v>143</v>
      </c>
      <c r="B1" s="2"/>
      <c r="C1" s="2"/>
      <c r="D1" s="2"/>
      <c r="E1" s="2"/>
      <c r="F1" s="2"/>
      <c r="G1" s="2"/>
      <c r="H1" s="2"/>
      <c r="I1" s="2"/>
      <c r="J1" s="2"/>
      <c r="K1" s="2"/>
    </row>
    <row r="2" customFormat="false" ht="30" hidden="false" customHeight="true" outlineLevel="0" collapsed="false">
      <c r="A2" s="7" t="s">
        <v>103</v>
      </c>
      <c r="B2" s="7" t="s">
        <v>104</v>
      </c>
      <c r="C2" s="7" t="s">
        <v>144</v>
      </c>
      <c r="D2" s="7" t="s">
        <v>145</v>
      </c>
      <c r="E2" s="7" t="s">
        <v>146</v>
      </c>
      <c r="F2" s="7" t="s">
        <v>147</v>
      </c>
      <c r="G2" s="7" t="s">
        <v>148</v>
      </c>
      <c r="H2" s="7" t="s">
        <v>149</v>
      </c>
      <c r="I2" s="7" t="s">
        <v>7</v>
      </c>
      <c r="J2" s="7" t="s">
        <v>150</v>
      </c>
      <c r="K2" s="7" t="s">
        <v>86</v>
      </c>
    </row>
    <row r="3" customFormat="false" ht="45.75" hidden="false" customHeight="true" outlineLevel="0" collapsed="false">
      <c r="A3" s="9" t="s">
        <v>123</v>
      </c>
      <c r="B3" s="9" t="s">
        <v>124</v>
      </c>
      <c r="C3" s="9" t="s">
        <v>151</v>
      </c>
      <c r="D3" s="9" t="s">
        <v>152</v>
      </c>
      <c r="E3" s="9" t="s">
        <v>153</v>
      </c>
      <c r="F3" s="9" t="s">
        <v>154</v>
      </c>
      <c r="G3" s="9" t="s">
        <v>155</v>
      </c>
      <c r="H3" s="9" t="s">
        <v>156</v>
      </c>
      <c r="I3" s="9" t="s">
        <v>8</v>
      </c>
      <c r="J3" s="9" t="s">
        <v>157</v>
      </c>
      <c r="K3" s="9" t="s">
        <v>158</v>
      </c>
    </row>
    <row r="4" customFormat="false" ht="15" hidden="false" customHeight="true" outlineLevel="0" collapsed="false">
      <c r="A4" s="4"/>
      <c r="B4" s="4"/>
      <c r="C4" s="4"/>
      <c r="D4" s="4"/>
      <c r="E4" s="4"/>
      <c r="F4" s="4"/>
      <c r="G4" s="4"/>
      <c r="H4" s="4"/>
      <c r="I4" s="4"/>
      <c r="J4" s="4"/>
      <c r="K4" s="4"/>
    </row>
    <row r="5" customFormat="false" ht="15" hidden="false" customHeight="true" outlineLevel="0" collapsed="false">
      <c r="A5" s="4"/>
      <c r="B5" s="4"/>
      <c r="C5" s="4"/>
      <c r="D5" s="4"/>
      <c r="E5" s="4"/>
      <c r="F5" s="4"/>
      <c r="G5" s="4"/>
      <c r="H5" s="4"/>
      <c r="I5" s="4"/>
      <c r="J5" s="4"/>
      <c r="K5" s="4"/>
    </row>
    <row r="6" customFormat="false" ht="15" hidden="false" customHeight="true" outlineLevel="0" collapsed="false">
      <c r="A6" s="4"/>
      <c r="B6" s="4"/>
      <c r="C6" s="4"/>
      <c r="D6" s="4"/>
      <c r="E6" s="4"/>
      <c r="F6" s="4"/>
      <c r="G6" s="4"/>
      <c r="H6" s="4"/>
      <c r="I6" s="4"/>
      <c r="J6" s="4"/>
      <c r="K6" s="4"/>
    </row>
    <row r="7" customFormat="false" ht="15" hidden="false" customHeight="true" outlineLevel="0" collapsed="false">
      <c r="A7" s="4"/>
      <c r="B7" s="4"/>
      <c r="C7" s="4"/>
      <c r="D7" s="4"/>
      <c r="E7" s="4"/>
      <c r="F7" s="4"/>
      <c r="G7" s="4"/>
      <c r="H7" s="4"/>
      <c r="I7" s="4"/>
      <c r="J7" s="4"/>
      <c r="K7" s="4"/>
    </row>
    <row r="8" customFormat="false" ht="15" hidden="false" customHeight="true" outlineLevel="0" collapsed="false">
      <c r="A8" s="4"/>
      <c r="B8" s="4"/>
      <c r="C8" s="4"/>
      <c r="D8" s="4"/>
      <c r="E8" s="4"/>
      <c r="F8" s="4"/>
      <c r="G8" s="4"/>
      <c r="H8" s="4"/>
      <c r="I8" s="4"/>
      <c r="J8" s="4"/>
      <c r="K8" s="4"/>
    </row>
    <row r="9" customFormat="false" ht="15" hidden="false" customHeight="true" outlineLevel="0" collapsed="false">
      <c r="A9" s="4"/>
      <c r="B9" s="4"/>
      <c r="C9" s="4"/>
      <c r="D9" s="4"/>
      <c r="E9" s="4"/>
      <c r="F9" s="4"/>
      <c r="G9" s="4"/>
      <c r="H9" s="4"/>
      <c r="I9" s="4"/>
      <c r="J9" s="4"/>
      <c r="K9" s="4"/>
    </row>
    <row r="10" customFormat="false" ht="15" hidden="false" customHeight="true" outlineLevel="0" collapsed="false">
      <c r="A10" s="4"/>
      <c r="B10" s="4"/>
      <c r="C10" s="4"/>
      <c r="D10" s="4"/>
      <c r="E10" s="4"/>
      <c r="F10" s="4"/>
      <c r="G10" s="4"/>
      <c r="H10" s="4"/>
      <c r="I10" s="4"/>
      <c r="J10" s="4"/>
      <c r="K10" s="4"/>
    </row>
    <row r="11" customFormat="false" ht="15" hidden="false" customHeight="true" outlineLevel="0" collapsed="false">
      <c r="A11" s="4"/>
      <c r="B11" s="4"/>
      <c r="C11" s="4"/>
      <c r="D11" s="4"/>
      <c r="E11" s="4"/>
      <c r="F11" s="4"/>
      <c r="G11" s="4"/>
      <c r="H11" s="4"/>
      <c r="I11" s="4"/>
      <c r="J11" s="4"/>
      <c r="K11" s="4"/>
    </row>
    <row r="12" customFormat="false" ht="15" hidden="false" customHeight="true" outlineLevel="0" collapsed="false">
      <c r="A12" s="4"/>
      <c r="B12" s="4"/>
      <c r="C12" s="4"/>
      <c r="D12" s="4"/>
      <c r="E12" s="4"/>
      <c r="F12" s="4"/>
      <c r="G12" s="4"/>
      <c r="H12" s="4"/>
      <c r="I12" s="4"/>
      <c r="J12" s="4"/>
      <c r="K12" s="4"/>
    </row>
    <row r="13" customFormat="false" ht="15" hidden="false" customHeight="true" outlineLevel="0" collapsed="false">
      <c r="A13" s="4"/>
      <c r="B13" s="4"/>
      <c r="C13" s="4"/>
      <c r="D13" s="4"/>
      <c r="E13" s="4"/>
      <c r="F13" s="4"/>
      <c r="G13" s="4"/>
      <c r="H13" s="4"/>
      <c r="I13" s="4"/>
      <c r="J13" s="4"/>
      <c r="K13" s="4"/>
    </row>
    <row r="14" customFormat="false" ht="15" hidden="false" customHeight="true" outlineLevel="0" collapsed="false">
      <c r="A14" s="4"/>
      <c r="B14" s="4"/>
      <c r="C14" s="4"/>
      <c r="D14" s="4"/>
      <c r="E14" s="4"/>
      <c r="F14" s="4"/>
      <c r="G14" s="4"/>
      <c r="H14" s="4"/>
      <c r="I14" s="4"/>
      <c r="J14" s="4"/>
      <c r="K14" s="4"/>
    </row>
    <row r="15" customFormat="false" ht="15" hidden="false" customHeight="true" outlineLevel="0" collapsed="false">
      <c r="A15" s="4"/>
      <c r="B15" s="4"/>
      <c r="C15" s="4"/>
      <c r="D15" s="4"/>
      <c r="E15" s="4"/>
      <c r="F15" s="4"/>
      <c r="G15" s="4"/>
      <c r="H15" s="4"/>
      <c r="I15" s="4"/>
      <c r="J15" s="4"/>
      <c r="K15" s="4"/>
    </row>
    <row r="16" customFormat="false" ht="15" hidden="false" customHeight="true" outlineLevel="0" collapsed="false">
      <c r="A16" s="4"/>
      <c r="B16" s="4"/>
      <c r="C16" s="4"/>
      <c r="D16" s="4"/>
      <c r="E16" s="4"/>
      <c r="F16" s="4"/>
      <c r="G16" s="4"/>
      <c r="H16" s="4"/>
      <c r="I16" s="4"/>
      <c r="J16" s="4"/>
      <c r="K16" s="4"/>
    </row>
    <row r="17" customFormat="false" ht="15" hidden="false" customHeight="true" outlineLevel="0" collapsed="false">
      <c r="A17" s="4"/>
      <c r="B17" s="4"/>
      <c r="C17" s="4"/>
      <c r="D17" s="4"/>
      <c r="E17" s="4"/>
      <c r="F17" s="4"/>
      <c r="G17" s="4"/>
      <c r="H17" s="4"/>
      <c r="I17" s="4"/>
      <c r="J17" s="4"/>
      <c r="K17" s="4"/>
    </row>
    <row r="18" customFormat="false" ht="15" hidden="false" customHeight="true" outlineLevel="0" collapsed="false">
      <c r="A18" s="4"/>
      <c r="B18" s="4"/>
      <c r="C18" s="4"/>
      <c r="D18" s="4"/>
      <c r="E18" s="4"/>
      <c r="F18" s="4"/>
      <c r="G18" s="4"/>
      <c r="H18" s="4"/>
      <c r="I18" s="4"/>
      <c r="J18" s="4"/>
      <c r="K18" s="4"/>
    </row>
    <row r="19" customFormat="false" ht="15" hidden="false" customHeight="true" outlineLevel="0" collapsed="false">
      <c r="A19" s="4"/>
      <c r="B19" s="4"/>
      <c r="C19" s="4"/>
      <c r="D19" s="4"/>
      <c r="E19" s="4"/>
      <c r="F19" s="4"/>
      <c r="G19" s="4"/>
      <c r="H19" s="4"/>
      <c r="I19" s="4"/>
      <c r="J19" s="4"/>
      <c r="K19" s="4"/>
    </row>
    <row r="20" customFormat="false" ht="15" hidden="false" customHeight="true" outlineLevel="0" collapsed="false">
      <c r="A20" s="4"/>
      <c r="B20" s="4"/>
      <c r="C20" s="4"/>
      <c r="D20" s="4"/>
      <c r="E20" s="4"/>
      <c r="F20" s="4"/>
      <c r="G20" s="4"/>
      <c r="H20" s="4"/>
      <c r="I20" s="4"/>
      <c r="J20" s="4"/>
      <c r="K20" s="4"/>
    </row>
    <row r="21" customFormat="false" ht="15" hidden="false" customHeight="true" outlineLevel="0" collapsed="false">
      <c r="A21" s="4"/>
      <c r="B21" s="4"/>
      <c r="C21" s="4"/>
      <c r="D21" s="4"/>
      <c r="E21" s="4"/>
      <c r="F21" s="4"/>
      <c r="G21" s="4"/>
      <c r="H21" s="4"/>
      <c r="I21" s="4"/>
      <c r="J21" s="4"/>
      <c r="K21" s="4"/>
    </row>
    <row r="22" customFormat="false" ht="15" hidden="false" customHeight="true" outlineLevel="0" collapsed="false">
      <c r="A22" s="4"/>
      <c r="B22" s="4"/>
      <c r="C22" s="4"/>
      <c r="D22" s="4"/>
      <c r="E22" s="4"/>
      <c r="F22" s="4"/>
      <c r="G22" s="4"/>
      <c r="H22" s="4"/>
      <c r="I22" s="4"/>
      <c r="J22" s="4"/>
      <c r="K22" s="4"/>
    </row>
    <row r="23" customFormat="false" ht="15" hidden="false" customHeight="true" outlineLevel="0" collapsed="false">
      <c r="A23" s="4"/>
      <c r="B23" s="4"/>
      <c r="C23" s="4"/>
      <c r="D23" s="4"/>
      <c r="E23" s="4"/>
      <c r="F23" s="4"/>
      <c r="G23" s="4"/>
      <c r="H23" s="4"/>
      <c r="I23" s="4"/>
      <c r="J23" s="4"/>
      <c r="K23" s="4"/>
    </row>
    <row r="24" customFormat="false" ht="15" hidden="false" customHeight="true" outlineLevel="0" collapsed="false">
      <c r="A24" s="4"/>
      <c r="B24" s="4"/>
      <c r="C24" s="4"/>
      <c r="D24" s="4"/>
      <c r="E24" s="4"/>
      <c r="F24" s="4"/>
      <c r="G24" s="4"/>
      <c r="H24" s="4"/>
      <c r="I24" s="4"/>
      <c r="J24" s="4"/>
      <c r="K24" s="4"/>
    </row>
    <row r="25" customFormat="false" ht="15" hidden="false" customHeight="true" outlineLevel="0" collapsed="false">
      <c r="A25" s="4"/>
      <c r="B25" s="4"/>
      <c r="C25" s="4"/>
      <c r="D25" s="4"/>
      <c r="E25" s="4"/>
      <c r="F25" s="4"/>
      <c r="G25" s="4"/>
      <c r="H25" s="4"/>
      <c r="I25" s="4"/>
      <c r="J25" s="4"/>
      <c r="K25" s="4"/>
    </row>
    <row r="26" customFormat="false" ht="15" hidden="false" customHeight="true" outlineLevel="0" collapsed="false">
      <c r="A26" s="4"/>
      <c r="B26" s="4"/>
      <c r="C26" s="4"/>
      <c r="D26" s="4"/>
      <c r="E26" s="4"/>
      <c r="F26" s="4"/>
      <c r="G26" s="4"/>
      <c r="H26" s="4"/>
      <c r="I26" s="4"/>
      <c r="J26" s="4"/>
      <c r="K26" s="4"/>
    </row>
    <row r="27" customFormat="false" ht="15" hidden="false" customHeight="true" outlineLevel="0" collapsed="false">
      <c r="A27" s="4"/>
      <c r="B27" s="4"/>
      <c r="C27" s="4"/>
      <c r="D27" s="4"/>
      <c r="E27" s="4"/>
      <c r="F27" s="4"/>
      <c r="G27" s="4"/>
      <c r="H27" s="4"/>
      <c r="I27" s="4"/>
      <c r="J27" s="4"/>
      <c r="K27" s="4"/>
    </row>
    <row r="28" customFormat="false" ht="15" hidden="false" customHeight="true" outlineLevel="0" collapsed="false">
      <c r="A28" s="4"/>
      <c r="B28" s="4"/>
      <c r="C28" s="4"/>
      <c r="D28" s="4"/>
      <c r="E28" s="4"/>
      <c r="F28" s="4"/>
      <c r="G28" s="4"/>
      <c r="H28" s="4"/>
      <c r="I28" s="4"/>
      <c r="J28" s="4"/>
      <c r="K28" s="4"/>
    </row>
    <row r="29" customFormat="false" ht="15" hidden="false" customHeight="true" outlineLevel="0" collapsed="false">
      <c r="A29" s="4"/>
      <c r="B29" s="4"/>
      <c r="C29" s="4"/>
      <c r="D29" s="4"/>
      <c r="E29" s="4"/>
      <c r="F29" s="4"/>
      <c r="G29" s="4"/>
      <c r="H29" s="4"/>
      <c r="I29" s="4"/>
      <c r="J29" s="4"/>
      <c r="K29" s="4"/>
    </row>
    <row r="30" customFormat="false" ht="15" hidden="false" customHeight="true" outlineLevel="0" collapsed="false">
      <c r="A30" s="4"/>
      <c r="B30" s="4"/>
      <c r="C30" s="4"/>
      <c r="D30" s="4"/>
      <c r="E30" s="4"/>
      <c r="F30" s="4"/>
      <c r="G30" s="4"/>
      <c r="H30" s="4"/>
      <c r="I30" s="4"/>
      <c r="J30" s="4"/>
      <c r="K30" s="4"/>
    </row>
    <row r="31" customFormat="false" ht="15" hidden="false" customHeight="true" outlineLevel="0" collapsed="false">
      <c r="A31" s="4"/>
      <c r="B31" s="4"/>
      <c r="C31" s="4"/>
      <c r="D31" s="4"/>
      <c r="E31" s="4"/>
      <c r="F31" s="4"/>
      <c r="G31" s="4"/>
      <c r="H31" s="4"/>
      <c r="I31" s="4"/>
      <c r="J31" s="4"/>
      <c r="K31" s="4"/>
    </row>
    <row r="32" customFormat="false" ht="15" hidden="false" customHeight="true" outlineLevel="0" collapsed="false">
      <c r="A32" s="4"/>
      <c r="B32" s="4"/>
      <c r="C32" s="4"/>
      <c r="D32" s="4"/>
      <c r="E32" s="4"/>
      <c r="F32" s="4"/>
      <c r="G32" s="4"/>
      <c r="H32" s="4"/>
      <c r="I32" s="4"/>
      <c r="J32" s="4"/>
      <c r="K32" s="4"/>
    </row>
    <row r="33" customFormat="false" ht="15" hidden="false" customHeight="true" outlineLevel="0" collapsed="false">
      <c r="A33" s="4"/>
      <c r="B33" s="4"/>
      <c r="C33" s="4"/>
      <c r="D33" s="4"/>
      <c r="E33" s="4"/>
      <c r="F33" s="4"/>
      <c r="G33" s="4"/>
      <c r="H33" s="4"/>
      <c r="I33" s="4"/>
      <c r="J33" s="4"/>
      <c r="K33" s="4"/>
    </row>
    <row r="34" customFormat="false" ht="15" hidden="false" customHeight="true" outlineLevel="0" collapsed="false">
      <c r="A34" s="4"/>
      <c r="B34" s="4"/>
      <c r="C34" s="4"/>
      <c r="D34" s="4"/>
      <c r="E34" s="4"/>
      <c r="F34" s="4"/>
      <c r="G34" s="4"/>
      <c r="H34" s="4"/>
      <c r="I34" s="4"/>
      <c r="J34" s="4"/>
      <c r="K34" s="4"/>
    </row>
    <row r="35" customFormat="false" ht="15" hidden="false" customHeight="true" outlineLevel="0" collapsed="false">
      <c r="A35" s="4"/>
      <c r="B35" s="4"/>
      <c r="C35" s="4"/>
      <c r="D35" s="4"/>
      <c r="E35" s="4"/>
      <c r="F35" s="4"/>
      <c r="G35" s="4"/>
      <c r="H35" s="4"/>
      <c r="I35" s="4"/>
      <c r="J35" s="4"/>
      <c r="K35" s="4"/>
    </row>
    <row r="36" customFormat="false" ht="15" hidden="false" customHeight="true" outlineLevel="0" collapsed="false">
      <c r="A36" s="4"/>
      <c r="B36" s="4"/>
      <c r="C36" s="4"/>
      <c r="D36" s="4"/>
      <c r="E36" s="4"/>
      <c r="F36" s="4"/>
      <c r="G36" s="4"/>
      <c r="H36" s="4"/>
      <c r="I36" s="4"/>
      <c r="J36" s="4"/>
      <c r="K36" s="4"/>
    </row>
    <row r="37" customFormat="false" ht="15" hidden="false" customHeight="true" outlineLevel="0" collapsed="false">
      <c r="A37" s="4"/>
      <c r="B37" s="4"/>
      <c r="C37" s="4"/>
      <c r="D37" s="4"/>
      <c r="E37" s="4"/>
      <c r="F37" s="4"/>
      <c r="G37" s="4"/>
      <c r="H37" s="4"/>
      <c r="I37" s="4"/>
      <c r="J37" s="4"/>
      <c r="K37" s="4"/>
    </row>
    <row r="38" customFormat="false" ht="15" hidden="false" customHeight="true" outlineLevel="0" collapsed="false">
      <c r="A38" s="4"/>
      <c r="B38" s="4"/>
      <c r="C38" s="4"/>
      <c r="D38" s="4"/>
      <c r="E38" s="4"/>
      <c r="F38" s="4"/>
      <c r="G38" s="4"/>
      <c r="H38" s="4"/>
      <c r="I38" s="4"/>
      <c r="J38" s="4"/>
      <c r="K38" s="4"/>
    </row>
    <row r="39" customFormat="false" ht="15" hidden="false" customHeight="true" outlineLevel="0" collapsed="false">
      <c r="A39" s="4"/>
      <c r="B39" s="4"/>
      <c r="C39" s="4"/>
      <c r="D39" s="4"/>
      <c r="E39" s="4"/>
      <c r="F39" s="4"/>
      <c r="G39" s="4"/>
      <c r="H39" s="4"/>
      <c r="I39" s="4"/>
      <c r="J39" s="4"/>
      <c r="K39" s="4"/>
    </row>
    <row r="40" customFormat="false" ht="15" hidden="false" customHeight="true" outlineLevel="0" collapsed="false">
      <c r="A40" s="4"/>
      <c r="B40" s="4"/>
      <c r="C40" s="4"/>
      <c r="D40" s="4"/>
      <c r="E40" s="4"/>
      <c r="F40" s="4"/>
      <c r="G40" s="4"/>
      <c r="H40" s="4"/>
      <c r="I40" s="4"/>
      <c r="J40" s="4"/>
      <c r="K40" s="4"/>
    </row>
    <row r="41" customFormat="false" ht="15" hidden="false" customHeight="true" outlineLevel="0" collapsed="false">
      <c r="A41" s="4"/>
      <c r="B41" s="4"/>
      <c r="C41" s="4"/>
      <c r="D41" s="4"/>
      <c r="E41" s="4"/>
      <c r="F41" s="4"/>
      <c r="G41" s="4"/>
      <c r="H41" s="4"/>
      <c r="I41" s="4"/>
      <c r="J41" s="4"/>
      <c r="K41" s="4"/>
    </row>
    <row r="42" customFormat="false" ht="15" hidden="false" customHeight="true" outlineLevel="0" collapsed="false">
      <c r="A42" s="4"/>
      <c r="B42" s="4"/>
      <c r="C42" s="4"/>
      <c r="D42" s="4"/>
      <c r="E42" s="4"/>
      <c r="F42" s="4"/>
      <c r="G42" s="4"/>
      <c r="H42" s="4"/>
      <c r="I42" s="4"/>
      <c r="J42" s="4"/>
      <c r="K42" s="4"/>
    </row>
    <row r="43" customFormat="false" ht="15" hidden="false" customHeight="true" outlineLevel="0" collapsed="false">
      <c r="A43" s="4"/>
      <c r="B43" s="4"/>
      <c r="C43" s="4"/>
      <c r="D43" s="4"/>
      <c r="E43" s="4"/>
      <c r="F43" s="4"/>
      <c r="G43" s="4"/>
      <c r="H43" s="4"/>
      <c r="I43" s="4"/>
      <c r="J43" s="4"/>
      <c r="K43" s="4"/>
    </row>
    <row r="44" customFormat="false" ht="15" hidden="false" customHeight="true" outlineLevel="0" collapsed="false">
      <c r="A44" s="4"/>
      <c r="B44" s="4"/>
      <c r="C44" s="4"/>
      <c r="D44" s="4"/>
      <c r="E44" s="4"/>
      <c r="F44" s="4"/>
      <c r="G44" s="4"/>
      <c r="H44" s="4"/>
      <c r="I44" s="4"/>
      <c r="J44" s="4"/>
      <c r="K44" s="4"/>
    </row>
    <row r="45" customFormat="false" ht="15" hidden="false" customHeight="true" outlineLevel="0" collapsed="false">
      <c r="A45" s="4"/>
      <c r="B45" s="4"/>
      <c r="C45" s="4"/>
      <c r="D45" s="4"/>
      <c r="E45" s="4"/>
      <c r="F45" s="4"/>
      <c r="G45" s="4"/>
      <c r="H45" s="4"/>
      <c r="I45" s="4"/>
      <c r="J45" s="4"/>
      <c r="K45" s="4"/>
    </row>
    <row r="46" customFormat="false" ht="15" hidden="false" customHeight="true" outlineLevel="0" collapsed="false">
      <c r="A46" s="4"/>
      <c r="B46" s="4"/>
      <c r="C46" s="4"/>
      <c r="D46" s="4"/>
      <c r="E46" s="4"/>
      <c r="F46" s="4"/>
      <c r="G46" s="4"/>
      <c r="H46" s="4"/>
      <c r="I46" s="4"/>
      <c r="J46" s="4"/>
      <c r="K46" s="4"/>
    </row>
    <row r="47" customFormat="false" ht="15" hidden="false" customHeight="true" outlineLevel="0" collapsed="false">
      <c r="A47" s="4"/>
      <c r="B47" s="4"/>
      <c r="C47" s="4"/>
      <c r="D47" s="4"/>
      <c r="E47" s="4"/>
      <c r="F47" s="4"/>
      <c r="G47" s="4"/>
      <c r="H47" s="4"/>
      <c r="I47" s="4"/>
      <c r="J47" s="4"/>
      <c r="K47" s="4"/>
    </row>
    <row r="48" customFormat="false" ht="15" hidden="false" customHeight="true" outlineLevel="0" collapsed="false">
      <c r="A48" s="4"/>
      <c r="B48" s="4"/>
      <c r="C48" s="4"/>
      <c r="D48" s="4"/>
      <c r="E48" s="4"/>
      <c r="F48" s="4"/>
      <c r="G48" s="4"/>
      <c r="H48" s="4"/>
      <c r="I48" s="4"/>
      <c r="J48" s="4"/>
      <c r="K48" s="4"/>
    </row>
    <row r="49" customFormat="false" ht="15" hidden="false" customHeight="true" outlineLevel="0" collapsed="false">
      <c r="A49" s="4"/>
      <c r="B49" s="4"/>
      <c r="C49" s="4"/>
      <c r="D49" s="4"/>
      <c r="E49" s="4"/>
      <c r="F49" s="4"/>
      <c r="G49" s="4"/>
      <c r="H49" s="4"/>
      <c r="I49" s="4"/>
      <c r="J49" s="4"/>
      <c r="K49" s="4"/>
    </row>
    <row r="50" customFormat="false" ht="15" hidden="false" customHeight="true" outlineLevel="0" collapsed="false">
      <c r="A50" s="4"/>
      <c r="B50" s="4"/>
      <c r="C50" s="4"/>
      <c r="D50" s="4"/>
      <c r="E50" s="4"/>
      <c r="F50" s="4"/>
      <c r="G50" s="4"/>
      <c r="H50" s="4"/>
      <c r="I50" s="4"/>
      <c r="J50" s="4"/>
      <c r="K50" s="4"/>
    </row>
    <row r="51" customFormat="false" ht="15" hidden="false" customHeight="true" outlineLevel="0" collapsed="false">
      <c r="A51" s="4"/>
      <c r="B51" s="4"/>
      <c r="C51" s="4"/>
      <c r="D51" s="4"/>
      <c r="E51" s="4"/>
      <c r="F51" s="4"/>
      <c r="G51" s="4"/>
      <c r="H51" s="4"/>
      <c r="I51" s="4"/>
      <c r="J51" s="4"/>
      <c r="K51" s="4"/>
    </row>
    <row r="52" customFormat="false" ht="15" hidden="false" customHeight="true" outlineLevel="0" collapsed="false">
      <c r="A52" s="4"/>
      <c r="B52" s="4"/>
      <c r="C52" s="4"/>
      <c r="D52" s="4"/>
      <c r="E52" s="4"/>
      <c r="F52" s="4"/>
      <c r="G52" s="4"/>
      <c r="H52" s="4"/>
      <c r="I52" s="4"/>
      <c r="J52" s="4"/>
      <c r="K52" s="4"/>
    </row>
    <row r="53" customFormat="false" ht="15" hidden="false" customHeight="true" outlineLevel="0" collapsed="false">
      <c r="A53" s="4"/>
      <c r="B53" s="4"/>
      <c r="C53" s="4"/>
      <c r="D53" s="4"/>
      <c r="E53" s="4"/>
      <c r="F53" s="4"/>
      <c r="G53" s="4"/>
      <c r="H53" s="4"/>
      <c r="I53" s="4"/>
      <c r="J53" s="4"/>
      <c r="K53" s="4"/>
    </row>
    <row r="54" customFormat="false" ht="15" hidden="false" customHeight="true" outlineLevel="0" collapsed="false">
      <c r="A54" s="4"/>
      <c r="B54" s="4"/>
      <c r="C54" s="4"/>
      <c r="D54" s="4"/>
      <c r="E54" s="4"/>
      <c r="F54" s="4"/>
      <c r="G54" s="4"/>
      <c r="H54" s="4"/>
      <c r="I54" s="4"/>
      <c r="J54" s="4"/>
      <c r="K54" s="4"/>
    </row>
    <row r="55" customFormat="false" ht="15" hidden="false" customHeight="true" outlineLevel="0" collapsed="false">
      <c r="A55" s="4"/>
      <c r="B55" s="4"/>
      <c r="C55" s="4"/>
      <c r="D55" s="4"/>
      <c r="E55" s="4"/>
      <c r="F55" s="4"/>
      <c r="G55" s="4"/>
      <c r="H55" s="4"/>
      <c r="I55" s="4"/>
      <c r="J55" s="4"/>
      <c r="K55" s="4"/>
    </row>
    <row r="56" customFormat="false" ht="15" hidden="false" customHeight="true" outlineLevel="0" collapsed="false">
      <c r="A56" s="4"/>
      <c r="B56" s="4"/>
      <c r="C56" s="4"/>
      <c r="D56" s="4"/>
      <c r="E56" s="4"/>
      <c r="F56" s="4"/>
      <c r="G56" s="4"/>
      <c r="H56" s="4"/>
      <c r="I56" s="4"/>
      <c r="J56" s="4"/>
      <c r="K56" s="4"/>
    </row>
    <row r="57" customFormat="false" ht="15" hidden="false" customHeight="true" outlineLevel="0" collapsed="false">
      <c r="A57" s="4"/>
      <c r="B57" s="4"/>
      <c r="C57" s="4"/>
      <c r="D57" s="4"/>
      <c r="E57" s="4"/>
      <c r="F57" s="4"/>
      <c r="G57" s="4"/>
      <c r="H57" s="4"/>
      <c r="I57" s="4"/>
      <c r="J57" s="4"/>
      <c r="K57" s="4"/>
    </row>
    <row r="58" customFormat="false" ht="15" hidden="false" customHeight="true" outlineLevel="0" collapsed="false">
      <c r="A58" s="4"/>
      <c r="B58" s="4"/>
      <c r="C58" s="4"/>
      <c r="D58" s="4"/>
      <c r="E58" s="4"/>
      <c r="F58" s="4"/>
      <c r="G58" s="4"/>
      <c r="H58" s="4"/>
      <c r="I58" s="4"/>
      <c r="J58" s="4"/>
      <c r="K58" s="4"/>
    </row>
    <row r="59" customFormat="false" ht="15" hidden="false" customHeight="true" outlineLevel="0" collapsed="false">
      <c r="A59" s="4"/>
      <c r="B59" s="4"/>
      <c r="C59" s="4"/>
      <c r="D59" s="4"/>
      <c r="E59" s="4"/>
      <c r="F59" s="4"/>
      <c r="G59" s="4"/>
      <c r="H59" s="4"/>
      <c r="I59" s="4"/>
      <c r="J59" s="4"/>
      <c r="K59" s="4"/>
    </row>
    <row r="60" customFormat="false" ht="15" hidden="false" customHeight="true" outlineLevel="0" collapsed="false">
      <c r="A60" s="4"/>
      <c r="B60" s="4"/>
      <c r="C60" s="4"/>
      <c r="D60" s="4"/>
      <c r="E60" s="4"/>
      <c r="F60" s="4"/>
      <c r="G60" s="4"/>
      <c r="H60" s="4"/>
      <c r="I60" s="4"/>
      <c r="J60" s="4"/>
      <c r="K60" s="4"/>
    </row>
    <row r="61" customFormat="false" ht="15" hidden="false" customHeight="true" outlineLevel="0" collapsed="false">
      <c r="A61" s="4"/>
      <c r="B61" s="4"/>
      <c r="C61" s="4"/>
      <c r="D61" s="4"/>
      <c r="E61" s="4"/>
      <c r="F61" s="4"/>
      <c r="G61" s="4"/>
      <c r="H61" s="4"/>
      <c r="I61" s="4"/>
      <c r="J61" s="4"/>
      <c r="K61" s="4"/>
    </row>
    <row r="62" customFormat="false" ht="15" hidden="false" customHeight="true" outlineLevel="0" collapsed="false">
      <c r="A62" s="4"/>
      <c r="B62" s="4"/>
      <c r="C62" s="4"/>
      <c r="D62" s="4"/>
      <c r="E62" s="4"/>
      <c r="F62" s="4"/>
      <c r="G62" s="4"/>
      <c r="H62" s="4"/>
      <c r="I62" s="4"/>
      <c r="J62" s="4"/>
      <c r="K62" s="4"/>
    </row>
    <row r="63" customFormat="false" ht="15" hidden="false" customHeight="true" outlineLevel="0" collapsed="false">
      <c r="A63" s="4"/>
      <c r="B63" s="4"/>
      <c r="C63" s="4"/>
      <c r="D63" s="4"/>
      <c r="E63" s="4"/>
      <c r="F63" s="4"/>
      <c r="G63" s="4"/>
      <c r="H63" s="4"/>
      <c r="I63" s="4"/>
      <c r="J63" s="4"/>
      <c r="K63" s="4"/>
    </row>
    <row r="64" customFormat="false" ht="15" hidden="false" customHeight="true" outlineLevel="0" collapsed="false">
      <c r="A64" s="4"/>
      <c r="B64" s="4"/>
      <c r="C64" s="4"/>
      <c r="D64" s="4"/>
      <c r="E64" s="4"/>
      <c r="F64" s="4"/>
      <c r="G64" s="4"/>
      <c r="H64" s="4"/>
      <c r="I64" s="4"/>
      <c r="J64" s="4"/>
      <c r="K64" s="4"/>
    </row>
    <row r="65" customFormat="false" ht="15" hidden="false" customHeight="true" outlineLevel="0" collapsed="false">
      <c r="A65" s="4"/>
      <c r="B65" s="4"/>
      <c r="C65" s="4"/>
      <c r="D65" s="4"/>
      <c r="E65" s="4"/>
      <c r="F65" s="4"/>
      <c r="G65" s="4"/>
      <c r="H65" s="4"/>
      <c r="I65" s="4"/>
      <c r="J65" s="4"/>
      <c r="K65" s="4"/>
    </row>
    <row r="66" customFormat="false" ht="15" hidden="false" customHeight="true" outlineLevel="0" collapsed="false">
      <c r="A66" s="4"/>
      <c r="B66" s="4"/>
      <c r="C66" s="4"/>
      <c r="D66" s="4"/>
      <c r="E66" s="4"/>
      <c r="F66" s="4"/>
      <c r="G66" s="4"/>
      <c r="H66" s="4"/>
      <c r="I66" s="4"/>
      <c r="J66" s="4"/>
      <c r="K66" s="4"/>
    </row>
    <row r="67" customFormat="false" ht="15" hidden="false" customHeight="true" outlineLevel="0" collapsed="false">
      <c r="A67" s="4"/>
      <c r="B67" s="4"/>
      <c r="C67" s="4"/>
      <c r="D67" s="4"/>
      <c r="E67" s="4"/>
      <c r="F67" s="4"/>
      <c r="G67" s="4"/>
      <c r="H67" s="4"/>
      <c r="I67" s="4"/>
      <c r="J67" s="4"/>
      <c r="K67" s="4"/>
    </row>
    <row r="68" customFormat="false" ht="15" hidden="false" customHeight="true" outlineLevel="0" collapsed="false">
      <c r="A68" s="4"/>
      <c r="B68" s="4"/>
      <c r="C68" s="4"/>
      <c r="D68" s="4"/>
      <c r="E68" s="4"/>
      <c r="F68" s="4"/>
      <c r="G68" s="4"/>
      <c r="H68" s="4"/>
      <c r="I68" s="4"/>
      <c r="J68" s="4"/>
      <c r="K68" s="4"/>
    </row>
    <row r="69" customFormat="false" ht="15" hidden="false" customHeight="true" outlineLevel="0" collapsed="false">
      <c r="A69" s="4"/>
      <c r="B69" s="4"/>
      <c r="C69" s="4"/>
      <c r="D69" s="4"/>
      <c r="E69" s="4"/>
      <c r="F69" s="4"/>
      <c r="G69" s="4"/>
      <c r="H69" s="4"/>
      <c r="I69" s="4"/>
      <c r="J69" s="4"/>
      <c r="K69" s="4"/>
    </row>
    <row r="70" customFormat="false" ht="15" hidden="false" customHeight="true" outlineLevel="0" collapsed="false">
      <c r="A70" s="4"/>
      <c r="B70" s="4"/>
      <c r="C70" s="4"/>
      <c r="D70" s="4"/>
      <c r="E70" s="4"/>
      <c r="F70" s="4"/>
      <c r="G70" s="4"/>
      <c r="H70" s="4"/>
      <c r="I70" s="4"/>
      <c r="J70" s="4"/>
      <c r="K70" s="4"/>
    </row>
    <row r="71" customFormat="false" ht="15" hidden="false" customHeight="true" outlineLevel="0" collapsed="false">
      <c r="A71" s="4"/>
      <c r="B71" s="4"/>
      <c r="C71" s="4"/>
      <c r="D71" s="4"/>
      <c r="E71" s="4"/>
      <c r="F71" s="4"/>
      <c r="G71" s="4"/>
      <c r="H71" s="4"/>
      <c r="I71" s="4"/>
      <c r="J71" s="4"/>
      <c r="K71" s="4"/>
    </row>
    <row r="72" customFormat="false" ht="15" hidden="false" customHeight="true" outlineLevel="0" collapsed="false">
      <c r="A72" s="4"/>
      <c r="B72" s="4"/>
      <c r="C72" s="4"/>
      <c r="D72" s="4"/>
      <c r="E72" s="4"/>
      <c r="F72" s="4"/>
      <c r="G72" s="4"/>
      <c r="H72" s="4"/>
      <c r="I72" s="4"/>
      <c r="J72" s="4"/>
      <c r="K72" s="4"/>
    </row>
    <row r="73" customFormat="false" ht="15" hidden="false" customHeight="true" outlineLevel="0" collapsed="false">
      <c r="A73" s="4"/>
      <c r="B73" s="4"/>
      <c r="C73" s="4"/>
      <c r="D73" s="4"/>
      <c r="E73" s="4"/>
      <c r="F73" s="4"/>
      <c r="G73" s="4"/>
      <c r="H73" s="4"/>
      <c r="I73" s="4"/>
      <c r="J73" s="4"/>
      <c r="K73" s="4"/>
    </row>
    <row r="74" customFormat="false" ht="15" hidden="false" customHeight="true" outlineLevel="0" collapsed="false">
      <c r="A74" s="4"/>
      <c r="B74" s="4"/>
      <c r="C74" s="4"/>
      <c r="D74" s="4"/>
      <c r="E74" s="4"/>
      <c r="F74" s="4"/>
      <c r="G74" s="4"/>
      <c r="H74" s="4"/>
      <c r="I74" s="4"/>
      <c r="J74" s="4"/>
      <c r="K74" s="4"/>
    </row>
    <row r="75" customFormat="false" ht="15" hidden="false" customHeight="true" outlineLevel="0" collapsed="false">
      <c r="A75" s="4"/>
      <c r="B75" s="4"/>
      <c r="C75" s="4"/>
      <c r="D75" s="4"/>
      <c r="E75" s="4"/>
      <c r="F75" s="4"/>
      <c r="G75" s="4"/>
      <c r="H75" s="4"/>
      <c r="I75" s="4"/>
      <c r="J75" s="4"/>
      <c r="K75" s="4"/>
    </row>
    <row r="76" customFormat="false" ht="15" hidden="false" customHeight="true" outlineLevel="0" collapsed="false">
      <c r="A76" s="4"/>
      <c r="B76" s="4"/>
      <c r="C76" s="4"/>
      <c r="D76" s="4"/>
      <c r="E76" s="4"/>
      <c r="F76" s="4"/>
      <c r="G76" s="4"/>
      <c r="H76" s="4"/>
      <c r="I76" s="4"/>
      <c r="J76" s="4"/>
      <c r="K76" s="4"/>
    </row>
    <row r="77" customFormat="false" ht="15" hidden="false" customHeight="true" outlineLevel="0" collapsed="false">
      <c r="A77" s="4"/>
      <c r="B77" s="4"/>
      <c r="C77" s="4"/>
      <c r="D77" s="4"/>
      <c r="E77" s="4"/>
      <c r="F77" s="4"/>
      <c r="G77" s="4"/>
      <c r="H77" s="4"/>
      <c r="I77" s="4"/>
      <c r="J77" s="4"/>
      <c r="K77" s="4"/>
    </row>
    <row r="78" customFormat="false" ht="15" hidden="false" customHeight="true" outlineLevel="0" collapsed="false">
      <c r="A78" s="4"/>
      <c r="B78" s="4"/>
      <c r="C78" s="4"/>
      <c r="D78" s="4"/>
      <c r="E78" s="4"/>
      <c r="F78" s="4"/>
      <c r="G78" s="4"/>
      <c r="H78" s="4"/>
      <c r="I78" s="4"/>
      <c r="J78" s="4"/>
      <c r="K78" s="4"/>
    </row>
    <row r="79" customFormat="false" ht="15" hidden="false" customHeight="true" outlineLevel="0" collapsed="false">
      <c r="A79" s="4"/>
      <c r="B79" s="4"/>
      <c r="C79" s="4"/>
      <c r="D79" s="4"/>
      <c r="E79" s="4"/>
      <c r="F79" s="4"/>
      <c r="G79" s="4"/>
      <c r="H79" s="4"/>
      <c r="I79" s="4"/>
      <c r="J79" s="4"/>
      <c r="K79" s="4"/>
    </row>
    <row r="80" customFormat="false" ht="15" hidden="false" customHeight="true" outlineLevel="0" collapsed="false">
      <c r="A80" s="4"/>
      <c r="B80" s="4"/>
      <c r="C80" s="4"/>
      <c r="D80" s="4"/>
      <c r="E80" s="4"/>
      <c r="F80" s="4"/>
      <c r="G80" s="4"/>
      <c r="H80" s="4"/>
      <c r="I80" s="4"/>
      <c r="J80" s="4"/>
      <c r="K80" s="4"/>
    </row>
    <row r="81" customFormat="false" ht="15" hidden="false" customHeight="true" outlineLevel="0" collapsed="false">
      <c r="A81" s="4"/>
      <c r="B81" s="4"/>
      <c r="C81" s="4"/>
      <c r="D81" s="4"/>
      <c r="E81" s="4"/>
      <c r="F81" s="4"/>
      <c r="G81" s="4"/>
      <c r="H81" s="4"/>
      <c r="I81" s="4"/>
      <c r="J81" s="4"/>
      <c r="K81" s="4"/>
    </row>
    <row r="82" customFormat="false" ht="15" hidden="false" customHeight="true" outlineLevel="0" collapsed="false">
      <c r="A82" s="4"/>
      <c r="B82" s="4"/>
      <c r="C82" s="4"/>
      <c r="D82" s="4"/>
      <c r="E82" s="4"/>
      <c r="F82" s="4"/>
      <c r="G82" s="4"/>
      <c r="H82" s="4"/>
      <c r="I82" s="4"/>
      <c r="J82" s="4"/>
      <c r="K82" s="4"/>
    </row>
    <row r="83" customFormat="false" ht="15" hidden="false" customHeight="true" outlineLevel="0" collapsed="false">
      <c r="A83" s="4"/>
      <c r="B83" s="4"/>
      <c r="C83" s="4"/>
      <c r="D83" s="4"/>
      <c r="E83" s="4"/>
      <c r="F83" s="4"/>
      <c r="G83" s="4"/>
      <c r="H83" s="4"/>
      <c r="I83" s="4"/>
      <c r="J83" s="4"/>
      <c r="K83" s="4"/>
    </row>
    <row r="84" customFormat="false" ht="15" hidden="false" customHeight="true" outlineLevel="0" collapsed="false">
      <c r="A84" s="4"/>
      <c r="B84" s="4"/>
      <c r="C84" s="4"/>
      <c r="D84" s="4"/>
      <c r="E84" s="4"/>
      <c r="F84" s="4"/>
      <c r="G84" s="4"/>
      <c r="H84" s="4"/>
      <c r="I84" s="4"/>
      <c r="J84" s="4"/>
      <c r="K84" s="4"/>
    </row>
    <row r="85" customFormat="false" ht="15" hidden="false" customHeight="true" outlineLevel="0" collapsed="false">
      <c r="A85" s="4"/>
      <c r="B85" s="4"/>
      <c r="C85" s="4"/>
      <c r="D85" s="4"/>
      <c r="E85" s="4"/>
      <c r="F85" s="4"/>
      <c r="G85" s="4"/>
      <c r="H85" s="4"/>
      <c r="I85" s="4"/>
      <c r="J85" s="4"/>
      <c r="K85" s="4"/>
    </row>
    <row r="86" customFormat="false" ht="15" hidden="false" customHeight="true" outlineLevel="0" collapsed="false">
      <c r="A86" s="4"/>
      <c r="B86" s="4"/>
      <c r="C86" s="4"/>
      <c r="D86" s="4"/>
      <c r="E86" s="4"/>
      <c r="F86" s="4"/>
      <c r="G86" s="4"/>
      <c r="H86" s="4"/>
      <c r="I86" s="4"/>
      <c r="J86" s="4"/>
      <c r="K86" s="4"/>
    </row>
    <row r="87" customFormat="false" ht="15" hidden="false" customHeight="true" outlineLevel="0" collapsed="false">
      <c r="A87" s="4"/>
      <c r="B87" s="4"/>
      <c r="C87" s="4"/>
      <c r="D87" s="4"/>
      <c r="E87" s="4"/>
      <c r="F87" s="4"/>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row r="101" customFormat="false" ht="15" hidden="false" customHeight="true" outlineLevel="0" collapsed="false">
      <c r="A101" s="4"/>
      <c r="B101" s="4"/>
      <c r="C101" s="4"/>
      <c r="D101" s="4"/>
      <c r="E101" s="4"/>
      <c r="F101" s="4"/>
      <c r="G101" s="4"/>
      <c r="H101" s="4"/>
      <c r="I101" s="4"/>
      <c r="J101" s="4"/>
      <c r="K101" s="4"/>
    </row>
    <row r="102" customFormat="false" ht="15" hidden="false" customHeight="true" outlineLevel="0" collapsed="false">
      <c r="A102" s="4"/>
      <c r="B102" s="4"/>
      <c r="C102" s="4"/>
      <c r="D102" s="4"/>
      <c r="E102" s="4"/>
      <c r="F102" s="4"/>
      <c r="G102" s="4"/>
      <c r="H102" s="4"/>
      <c r="I102" s="4"/>
      <c r="J102" s="4"/>
      <c r="K102" s="4"/>
    </row>
    <row r="103" customFormat="false" ht="15" hidden="false" customHeight="true" outlineLevel="0" collapsed="false">
      <c r="A103" s="4"/>
      <c r="B103" s="4"/>
      <c r="C103" s="4"/>
      <c r="D103" s="4"/>
      <c r="E103" s="4"/>
      <c r="F103" s="4"/>
      <c r="G103" s="4"/>
      <c r="H103" s="4"/>
      <c r="I103" s="4"/>
      <c r="J103" s="4"/>
      <c r="K103" s="4"/>
    </row>
    <row r="104" customFormat="false" ht="15" hidden="false" customHeight="true" outlineLevel="0" collapsed="false">
      <c r="A104" s="4"/>
      <c r="B104" s="4"/>
      <c r="C104" s="4"/>
      <c r="D104" s="4"/>
      <c r="E104" s="4"/>
      <c r="F104" s="4"/>
      <c r="G104" s="4"/>
      <c r="H104" s="4"/>
      <c r="I104" s="4"/>
      <c r="J104" s="4"/>
      <c r="K104" s="4"/>
    </row>
    <row r="105" customFormat="false" ht="15" hidden="false" customHeight="true" outlineLevel="0" collapsed="false">
      <c r="A105" s="4"/>
      <c r="B105" s="4"/>
      <c r="C105" s="4"/>
      <c r="D105" s="4"/>
      <c r="E105" s="4"/>
      <c r="F105" s="4"/>
      <c r="G105" s="4"/>
      <c r="H105" s="4"/>
      <c r="I105" s="4"/>
      <c r="J105" s="4"/>
      <c r="K105" s="4"/>
    </row>
    <row r="106" customFormat="false" ht="15" hidden="false" customHeight="true" outlineLevel="0" collapsed="false">
      <c r="A106" s="4"/>
      <c r="B106" s="4"/>
      <c r="C106" s="4"/>
      <c r="D106" s="4"/>
      <c r="E106" s="4"/>
      <c r="F106" s="4"/>
      <c r="G106" s="4"/>
      <c r="H106" s="4"/>
      <c r="I106" s="4"/>
      <c r="J106" s="4"/>
      <c r="K106" s="4"/>
    </row>
    <row r="107" customFormat="false" ht="15" hidden="false" customHeight="true" outlineLevel="0" collapsed="false">
      <c r="A107" s="4"/>
      <c r="B107" s="4"/>
      <c r="C107" s="4"/>
      <c r="D107" s="4"/>
      <c r="E107" s="4"/>
      <c r="F107" s="4"/>
      <c r="G107" s="4"/>
      <c r="H107" s="4"/>
      <c r="I107" s="4"/>
      <c r="J107" s="4"/>
      <c r="K107" s="4"/>
    </row>
    <row r="108" customFormat="false" ht="15" hidden="false" customHeight="true" outlineLevel="0" collapsed="false">
      <c r="A108" s="4"/>
      <c r="B108" s="4"/>
      <c r="C108" s="4"/>
      <c r="D108" s="4"/>
      <c r="E108" s="4"/>
      <c r="F108" s="4"/>
      <c r="G108" s="4"/>
      <c r="H108" s="4"/>
      <c r="I108" s="4"/>
      <c r="J108" s="4"/>
      <c r="K108" s="4"/>
    </row>
    <row r="109" customFormat="false" ht="15" hidden="false" customHeight="true" outlineLevel="0" collapsed="false">
      <c r="A109" s="4"/>
      <c r="B109" s="4"/>
      <c r="C109" s="4"/>
      <c r="D109" s="4"/>
      <c r="E109" s="4"/>
      <c r="F109" s="4"/>
      <c r="G109" s="4"/>
      <c r="H109" s="4"/>
      <c r="I109" s="4"/>
      <c r="J109" s="4"/>
      <c r="K109" s="4"/>
    </row>
    <row r="110" customFormat="false" ht="15" hidden="false" customHeight="true" outlineLevel="0" collapsed="false">
      <c r="A110" s="4"/>
      <c r="B110" s="4"/>
      <c r="C110" s="4"/>
      <c r="D110" s="4"/>
      <c r="E110" s="4"/>
      <c r="F110" s="4"/>
      <c r="G110" s="4"/>
      <c r="H110" s="4"/>
      <c r="I110" s="4"/>
      <c r="J110" s="4"/>
      <c r="K110" s="4"/>
    </row>
    <row r="111" customFormat="false" ht="15" hidden="false" customHeight="true" outlineLevel="0" collapsed="false">
      <c r="A111" s="4"/>
      <c r="B111" s="4"/>
      <c r="C111" s="4"/>
      <c r="D111" s="4"/>
      <c r="E111" s="4"/>
      <c r="F111" s="4"/>
      <c r="G111" s="4"/>
      <c r="H111" s="4"/>
      <c r="I111" s="4"/>
      <c r="J111" s="4"/>
      <c r="K111" s="4"/>
    </row>
    <row r="112" customFormat="false" ht="15" hidden="false" customHeight="true" outlineLevel="0" collapsed="false">
      <c r="A112" s="4"/>
      <c r="B112" s="4"/>
      <c r="C112" s="4"/>
      <c r="D112" s="4"/>
      <c r="E112" s="4"/>
      <c r="F112" s="4"/>
      <c r="G112" s="4"/>
      <c r="H112" s="4"/>
      <c r="I112" s="4"/>
      <c r="J112" s="4"/>
      <c r="K112" s="4"/>
    </row>
    <row r="113" customFormat="false" ht="15" hidden="false" customHeight="true" outlineLevel="0" collapsed="false">
      <c r="A113" s="4"/>
      <c r="B113" s="4"/>
      <c r="C113" s="4"/>
      <c r="D113" s="4"/>
      <c r="E113" s="4"/>
      <c r="F113" s="4"/>
      <c r="G113" s="4"/>
      <c r="H113" s="4"/>
      <c r="I113" s="4"/>
      <c r="J113" s="4"/>
      <c r="K113" s="4"/>
    </row>
    <row r="114" customFormat="false" ht="15" hidden="false" customHeight="true" outlineLevel="0" collapsed="false">
      <c r="A114" s="4"/>
      <c r="B114" s="4"/>
      <c r="C114" s="4"/>
      <c r="D114" s="4"/>
      <c r="E114" s="4"/>
      <c r="F114" s="4"/>
      <c r="G114" s="4"/>
      <c r="H114" s="4"/>
      <c r="I114" s="4"/>
      <c r="J114" s="4"/>
      <c r="K114" s="4"/>
    </row>
    <row r="115" customFormat="false" ht="15" hidden="false" customHeight="true" outlineLevel="0" collapsed="false">
      <c r="A115" s="4"/>
      <c r="B115" s="4"/>
      <c r="C115" s="4"/>
      <c r="D115" s="4"/>
      <c r="E115" s="4"/>
      <c r="F115" s="4"/>
      <c r="G115" s="4"/>
      <c r="H115" s="4"/>
      <c r="I115" s="4"/>
      <c r="J115" s="4"/>
      <c r="K115" s="4"/>
    </row>
    <row r="116" customFormat="false" ht="15" hidden="false" customHeight="true" outlineLevel="0" collapsed="false">
      <c r="A116" s="4"/>
      <c r="B116" s="4"/>
      <c r="C116" s="4"/>
      <c r="D116" s="4"/>
      <c r="E116" s="4"/>
      <c r="F116" s="4"/>
      <c r="G116" s="4"/>
      <c r="H116" s="4"/>
      <c r="I116" s="4"/>
      <c r="J116" s="4"/>
      <c r="K116" s="4"/>
    </row>
    <row r="117" customFormat="false" ht="15" hidden="false" customHeight="true" outlineLevel="0" collapsed="false">
      <c r="A117" s="4"/>
      <c r="B117" s="4"/>
      <c r="C117" s="4"/>
      <c r="D117" s="4"/>
      <c r="E117" s="4"/>
      <c r="F117" s="4"/>
      <c r="G117" s="4"/>
      <c r="H117" s="4"/>
      <c r="I117" s="4"/>
      <c r="J117" s="4"/>
      <c r="K117" s="4"/>
    </row>
    <row r="118" customFormat="false" ht="15" hidden="false" customHeight="true" outlineLevel="0" collapsed="false">
      <c r="A118" s="4"/>
      <c r="B118" s="4"/>
      <c r="C118" s="4"/>
      <c r="D118" s="4"/>
      <c r="E118" s="4"/>
      <c r="F118" s="4"/>
      <c r="G118" s="4"/>
      <c r="H118" s="4"/>
      <c r="I118" s="4"/>
      <c r="J118" s="4"/>
      <c r="K118" s="4"/>
    </row>
    <row r="119" customFormat="false" ht="15" hidden="false" customHeight="true" outlineLevel="0" collapsed="false">
      <c r="A119" s="4"/>
      <c r="B119" s="4"/>
      <c r="C119" s="4"/>
      <c r="D119" s="4"/>
      <c r="E119" s="4"/>
      <c r="F119" s="4"/>
      <c r="G119" s="4"/>
      <c r="H119" s="4"/>
      <c r="I119" s="4"/>
      <c r="J119" s="4"/>
      <c r="K119" s="4"/>
    </row>
    <row r="120" customFormat="false" ht="15" hidden="false" customHeight="true" outlineLevel="0" collapsed="false">
      <c r="A120" s="4"/>
      <c r="B120" s="4"/>
      <c r="C120" s="4"/>
      <c r="D120" s="4"/>
      <c r="E120" s="4"/>
      <c r="F120" s="4"/>
      <c r="G120" s="4"/>
      <c r="H120" s="4"/>
      <c r="I120" s="4"/>
      <c r="J120" s="4"/>
      <c r="K120" s="4"/>
    </row>
    <row r="121" customFormat="false" ht="15" hidden="false" customHeight="true" outlineLevel="0" collapsed="false">
      <c r="A121" s="4"/>
      <c r="B121" s="4"/>
      <c r="C121" s="4"/>
      <c r="D121" s="4"/>
      <c r="E121" s="4"/>
      <c r="F121" s="4"/>
      <c r="G121" s="4"/>
      <c r="H121" s="4"/>
      <c r="I121" s="4"/>
      <c r="J121" s="4"/>
      <c r="K121" s="4"/>
    </row>
    <row r="122" customFormat="false" ht="15" hidden="false" customHeight="true" outlineLevel="0" collapsed="false">
      <c r="A122" s="4"/>
      <c r="B122" s="4"/>
      <c r="C122" s="4"/>
      <c r="D122" s="4"/>
      <c r="E122" s="4"/>
      <c r="F122" s="4"/>
      <c r="G122" s="4"/>
      <c r="H122" s="4"/>
      <c r="I122" s="4"/>
      <c r="J122" s="4"/>
      <c r="K122" s="4"/>
    </row>
  </sheetData>
  <mergeCells count="1">
    <mergeCell ref="A1:K1"/>
  </mergeCells>
  <conditionalFormatting sqref="K3:K122">
    <cfRule type="cellIs" priority="2" operator="equal" aboveAverage="0" equalAverage="0" bottom="0" percent="0" rank="0" text="" dxfId="0">
      <formula>"At Risk"</formula>
    </cfRule>
    <cfRule type="cellIs" priority="3" operator="equal" aboveAverage="0" equalAverage="0" bottom="0" percent="0" rank="0" text="" dxfId="2">
      <formula>"Complete"</formula>
    </cfRule>
  </conditionalFormatting>
  <dataValidations count="3">
    <dataValidation allowBlank="true" errorStyle="stop" operator="between" showDropDown="false" showErrorMessage="false" showInputMessage="false" sqref="A3:A122" type="list">
      <formula1>"AUD-01,AUD-02,AUD-03,AUD-04,AUD-05,AUD-06,AUD-07"</formula1>
      <formula2>0</formula2>
    </dataValidation>
    <dataValidation allowBlank="true" errorStyle="stop" operator="between" showDropDown="false" showErrorMessage="false" showInputMessage="false" sqref="G3:G122" type="list">
      <formula1>"Initiation,Charter / Baseline,Design,Build / Test / Validation,Operational Readiness / Go-Live,Stabilization / Handoff,Closure"</formula1>
      <formula2>0</formula2>
    </dataValidation>
    <dataValidation allowBlank="true" errorStyle="stop" operator="between" showDropDown="false" showErrorMessage="false" showInputMessage="false" sqref="K3:K122" type="list">
      <formula1>"Not Started,In Progress,Complete,At Risk"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20"/>
    <col collapsed="false" customWidth="true" hidden="false" outlineLevel="0" max="4" min="4" style="1" width="40"/>
    <col collapsed="false" customWidth="true" hidden="false" outlineLevel="0" max="5" min="5" style="1" width="12"/>
    <col collapsed="false" customWidth="true" hidden="false" outlineLevel="0" max="6" min="6" style="1" width="15"/>
    <col collapsed="false" customWidth="true" hidden="false" outlineLevel="0" max="7" min="7" style="1" width="40"/>
    <col collapsed="false" customWidth="true" hidden="false" outlineLevel="0" max="8" min="8" style="1" width="18"/>
    <col collapsed="false" customWidth="true" hidden="false" outlineLevel="0" max="9" min="9" style="1" width="16"/>
    <col collapsed="false" customWidth="true" hidden="false" outlineLevel="0" max="10" min="10" style="1" width="12"/>
  </cols>
  <sheetData>
    <row r="1" customFormat="false" ht="25.5" hidden="false" customHeight="true" outlineLevel="0" collapsed="false">
      <c r="A1" s="2" t="s">
        <v>159</v>
      </c>
      <c r="B1" s="2"/>
      <c r="C1" s="2"/>
      <c r="D1" s="2"/>
      <c r="E1" s="2"/>
      <c r="F1" s="2"/>
      <c r="G1" s="2"/>
      <c r="H1" s="2"/>
      <c r="I1" s="2"/>
      <c r="J1" s="2"/>
    </row>
    <row r="2" customFormat="false" ht="30" hidden="false" customHeight="true" outlineLevel="0" collapsed="false">
      <c r="A2" s="7" t="s">
        <v>160</v>
      </c>
      <c r="B2" s="7" t="s">
        <v>104</v>
      </c>
      <c r="C2" s="7" t="s">
        <v>161</v>
      </c>
      <c r="D2" s="7" t="s">
        <v>81</v>
      </c>
      <c r="E2" s="7" t="s">
        <v>162</v>
      </c>
      <c r="F2" s="7" t="s">
        <v>163</v>
      </c>
      <c r="G2" s="7" t="s">
        <v>164</v>
      </c>
      <c r="H2" s="7" t="s">
        <v>165</v>
      </c>
      <c r="I2" s="7" t="s">
        <v>166</v>
      </c>
      <c r="J2" s="7" t="s">
        <v>86</v>
      </c>
    </row>
    <row r="3" customFormat="false" ht="34.5" hidden="false" customHeight="true" outlineLevel="0" collapsed="false">
      <c r="A3" s="9" t="s">
        <v>167</v>
      </c>
      <c r="B3" s="9" t="s">
        <v>124</v>
      </c>
      <c r="C3" s="9" t="s">
        <v>168</v>
      </c>
      <c r="D3" s="9" t="s">
        <v>169</v>
      </c>
      <c r="E3" s="9" t="s">
        <v>138</v>
      </c>
      <c r="F3" s="9" t="s">
        <v>138</v>
      </c>
      <c r="G3" s="9" t="s">
        <v>170</v>
      </c>
      <c r="H3" s="9" t="s">
        <v>171</v>
      </c>
      <c r="I3" s="9" t="s">
        <v>172</v>
      </c>
      <c r="J3" s="9" t="s">
        <v>173</v>
      </c>
    </row>
    <row r="4" customFormat="false" ht="15" hidden="false" customHeight="true" outlineLevel="0" collapsed="false">
      <c r="A4" s="4"/>
      <c r="B4" s="4"/>
      <c r="C4" s="4"/>
      <c r="D4" s="4"/>
      <c r="E4" s="4"/>
      <c r="F4" s="4"/>
      <c r="G4" s="4"/>
      <c r="H4" s="4"/>
      <c r="I4" s="4"/>
      <c r="J4" s="4"/>
    </row>
    <row r="5" customFormat="false" ht="15" hidden="false" customHeight="true" outlineLevel="0" collapsed="false">
      <c r="A5" s="4"/>
      <c r="B5" s="4"/>
      <c r="C5" s="4"/>
      <c r="D5" s="4"/>
      <c r="E5" s="4"/>
      <c r="F5" s="4"/>
      <c r="G5" s="4"/>
      <c r="H5" s="4"/>
      <c r="I5" s="4"/>
      <c r="J5" s="4"/>
    </row>
    <row r="6" customFormat="false" ht="15" hidden="false" customHeight="true" outlineLevel="0" collapsed="false">
      <c r="A6" s="4"/>
      <c r="B6" s="4"/>
      <c r="C6" s="4"/>
      <c r="D6" s="4"/>
      <c r="E6" s="4"/>
      <c r="F6" s="4"/>
      <c r="G6" s="4"/>
      <c r="H6" s="4"/>
      <c r="I6" s="4"/>
      <c r="J6" s="4"/>
    </row>
    <row r="7" customFormat="false" ht="15" hidden="false" customHeight="true" outlineLevel="0" collapsed="false">
      <c r="A7" s="4"/>
      <c r="B7" s="4"/>
      <c r="C7" s="4"/>
      <c r="D7" s="4"/>
      <c r="E7" s="4"/>
      <c r="F7" s="4"/>
      <c r="G7" s="4"/>
      <c r="H7" s="4"/>
      <c r="I7" s="4"/>
      <c r="J7" s="4"/>
    </row>
    <row r="8" customFormat="false" ht="15" hidden="false" customHeight="true" outlineLevel="0" collapsed="false">
      <c r="A8" s="4"/>
      <c r="B8" s="4"/>
      <c r="C8" s="4"/>
      <c r="D8" s="4"/>
      <c r="E8" s="4"/>
      <c r="F8" s="4"/>
      <c r="G8" s="4"/>
      <c r="H8" s="4"/>
      <c r="I8" s="4"/>
      <c r="J8" s="4"/>
    </row>
    <row r="9" customFormat="false" ht="15" hidden="false" customHeight="true" outlineLevel="0" collapsed="false">
      <c r="A9" s="4"/>
      <c r="B9" s="4"/>
      <c r="C9" s="4"/>
      <c r="D9" s="4"/>
      <c r="E9" s="4"/>
      <c r="F9" s="4"/>
      <c r="G9" s="4"/>
      <c r="H9" s="4"/>
      <c r="I9" s="4"/>
      <c r="J9" s="4"/>
    </row>
    <row r="10" customFormat="false" ht="15" hidden="false" customHeight="true" outlineLevel="0" collapsed="false">
      <c r="A10" s="4"/>
      <c r="B10" s="4"/>
      <c r="C10" s="4"/>
      <c r="D10" s="4"/>
      <c r="E10" s="4"/>
      <c r="F10" s="4"/>
      <c r="G10" s="4"/>
      <c r="H10" s="4"/>
      <c r="I10" s="4"/>
      <c r="J10" s="4"/>
    </row>
    <row r="11" customFormat="false" ht="15" hidden="false" customHeight="true" outlineLevel="0" collapsed="false">
      <c r="A11" s="4"/>
      <c r="B11" s="4"/>
      <c r="C11" s="4"/>
      <c r="D11" s="4"/>
      <c r="E11" s="4"/>
      <c r="F11" s="4"/>
      <c r="G11" s="4"/>
      <c r="H11" s="4"/>
      <c r="I11" s="4"/>
      <c r="J11" s="4"/>
    </row>
    <row r="12" customFormat="false" ht="15" hidden="false" customHeight="true" outlineLevel="0" collapsed="false">
      <c r="A12" s="4"/>
      <c r="B12" s="4"/>
      <c r="C12" s="4"/>
      <c r="D12" s="4"/>
      <c r="E12" s="4"/>
      <c r="F12" s="4"/>
      <c r="G12" s="4"/>
      <c r="H12" s="4"/>
      <c r="I12" s="4"/>
      <c r="J12" s="4"/>
    </row>
    <row r="13" customFormat="false" ht="15" hidden="false" customHeight="true" outlineLevel="0" collapsed="false">
      <c r="A13" s="4"/>
      <c r="B13" s="4"/>
      <c r="C13" s="4"/>
      <c r="D13" s="4"/>
      <c r="E13" s="4"/>
      <c r="F13" s="4"/>
      <c r="G13" s="4"/>
      <c r="H13" s="4"/>
      <c r="I13" s="4"/>
      <c r="J13" s="4"/>
    </row>
    <row r="14" customFormat="false" ht="15" hidden="false" customHeight="true" outlineLevel="0" collapsed="false">
      <c r="A14" s="4"/>
      <c r="B14" s="4"/>
      <c r="C14" s="4"/>
      <c r="D14" s="4"/>
      <c r="E14" s="4"/>
      <c r="F14" s="4"/>
      <c r="G14" s="4"/>
      <c r="H14" s="4"/>
      <c r="I14" s="4"/>
      <c r="J14" s="4"/>
    </row>
    <row r="15" customFormat="false" ht="15" hidden="false" customHeight="true" outlineLevel="0" collapsed="false">
      <c r="A15" s="4"/>
      <c r="B15" s="4"/>
      <c r="C15" s="4"/>
      <c r="D15" s="4"/>
      <c r="E15" s="4"/>
      <c r="F15" s="4"/>
      <c r="G15" s="4"/>
      <c r="H15" s="4"/>
      <c r="I15" s="4"/>
      <c r="J15" s="4"/>
    </row>
    <row r="16" customFormat="false" ht="15" hidden="false" customHeight="true" outlineLevel="0" collapsed="false">
      <c r="A16" s="4"/>
      <c r="B16" s="4"/>
      <c r="C16" s="4"/>
      <c r="D16" s="4"/>
      <c r="E16" s="4"/>
      <c r="F16" s="4"/>
      <c r="G16" s="4"/>
      <c r="H16" s="4"/>
      <c r="I16" s="4"/>
      <c r="J16" s="4"/>
    </row>
    <row r="17" customFormat="false" ht="15" hidden="false" customHeight="true" outlineLevel="0" collapsed="false">
      <c r="A17" s="4"/>
      <c r="B17" s="4"/>
      <c r="C17" s="4"/>
      <c r="D17" s="4"/>
      <c r="E17" s="4"/>
      <c r="F17" s="4"/>
      <c r="G17" s="4"/>
      <c r="H17" s="4"/>
      <c r="I17" s="4"/>
      <c r="J17" s="4"/>
    </row>
    <row r="18" customFormat="false" ht="15" hidden="false" customHeight="true" outlineLevel="0" collapsed="false">
      <c r="A18" s="4"/>
      <c r="B18" s="4"/>
      <c r="C18" s="4"/>
      <c r="D18" s="4"/>
      <c r="E18" s="4"/>
      <c r="F18" s="4"/>
      <c r="G18" s="4"/>
      <c r="H18" s="4"/>
      <c r="I18" s="4"/>
      <c r="J18" s="4"/>
    </row>
    <row r="19" customFormat="false" ht="15" hidden="false" customHeight="true" outlineLevel="0" collapsed="false">
      <c r="A19" s="4"/>
      <c r="B19" s="4"/>
      <c r="C19" s="4"/>
      <c r="D19" s="4"/>
      <c r="E19" s="4"/>
      <c r="F19" s="4"/>
      <c r="G19" s="4"/>
      <c r="H19" s="4"/>
      <c r="I19" s="4"/>
      <c r="J19" s="4"/>
    </row>
    <row r="20" customFormat="false" ht="15" hidden="false" customHeight="true" outlineLevel="0" collapsed="false">
      <c r="A20" s="4"/>
      <c r="B20" s="4"/>
      <c r="C20" s="4"/>
      <c r="D20" s="4"/>
      <c r="E20" s="4"/>
      <c r="F20" s="4"/>
      <c r="G20" s="4"/>
      <c r="H20" s="4"/>
      <c r="I20" s="4"/>
      <c r="J20" s="4"/>
    </row>
    <row r="21" customFormat="false" ht="15" hidden="false" customHeight="true" outlineLevel="0" collapsed="false">
      <c r="A21" s="4"/>
      <c r="B21" s="4"/>
      <c r="C21" s="4"/>
      <c r="D21" s="4"/>
      <c r="E21" s="4"/>
      <c r="F21" s="4"/>
      <c r="G21" s="4"/>
      <c r="H21" s="4"/>
      <c r="I21" s="4"/>
      <c r="J21" s="4"/>
    </row>
    <row r="22" customFormat="false" ht="15" hidden="false" customHeight="true" outlineLevel="0" collapsed="false">
      <c r="A22" s="4"/>
      <c r="B22" s="4"/>
      <c r="C22" s="4"/>
      <c r="D22" s="4"/>
      <c r="E22" s="4"/>
      <c r="F22" s="4"/>
      <c r="G22" s="4"/>
      <c r="H22" s="4"/>
      <c r="I22" s="4"/>
      <c r="J22" s="4"/>
    </row>
    <row r="23" customFormat="false" ht="15" hidden="false" customHeight="true" outlineLevel="0" collapsed="false">
      <c r="A23" s="4"/>
      <c r="B23" s="4"/>
      <c r="C23" s="4"/>
      <c r="D23" s="4"/>
      <c r="E23" s="4"/>
      <c r="F23" s="4"/>
      <c r="G23" s="4"/>
      <c r="H23" s="4"/>
      <c r="I23" s="4"/>
      <c r="J23" s="4"/>
    </row>
    <row r="24" customFormat="false" ht="15" hidden="false" customHeight="true" outlineLevel="0" collapsed="false">
      <c r="A24" s="4"/>
      <c r="B24" s="4"/>
      <c r="C24" s="4"/>
      <c r="D24" s="4"/>
      <c r="E24" s="4"/>
      <c r="F24" s="4"/>
      <c r="G24" s="4"/>
      <c r="H24" s="4"/>
      <c r="I24" s="4"/>
      <c r="J24" s="4"/>
    </row>
    <row r="25" customFormat="false" ht="15" hidden="false" customHeight="true" outlineLevel="0" collapsed="false">
      <c r="A25" s="4"/>
      <c r="B25" s="4"/>
      <c r="C25" s="4"/>
      <c r="D25" s="4"/>
      <c r="E25" s="4"/>
      <c r="F25" s="4"/>
      <c r="G25" s="4"/>
      <c r="H25" s="4"/>
      <c r="I25" s="4"/>
      <c r="J25" s="4"/>
    </row>
    <row r="26" customFormat="false" ht="15" hidden="false" customHeight="true" outlineLevel="0" collapsed="false">
      <c r="A26" s="4"/>
      <c r="B26" s="4"/>
      <c r="C26" s="4"/>
      <c r="D26" s="4"/>
      <c r="E26" s="4"/>
      <c r="F26" s="4"/>
      <c r="G26" s="4"/>
      <c r="H26" s="4"/>
      <c r="I26" s="4"/>
      <c r="J26" s="4"/>
    </row>
    <row r="27" customFormat="false" ht="15" hidden="false" customHeight="true" outlineLevel="0" collapsed="false">
      <c r="A27" s="4"/>
      <c r="B27" s="4"/>
      <c r="C27" s="4"/>
      <c r="D27" s="4"/>
      <c r="E27" s="4"/>
      <c r="F27" s="4"/>
      <c r="G27" s="4"/>
      <c r="H27" s="4"/>
      <c r="I27" s="4"/>
      <c r="J27" s="4"/>
    </row>
    <row r="28" customFormat="false" ht="15" hidden="false" customHeight="true" outlineLevel="0" collapsed="false">
      <c r="A28" s="4"/>
      <c r="B28" s="4"/>
      <c r="C28" s="4"/>
      <c r="D28" s="4"/>
      <c r="E28" s="4"/>
      <c r="F28" s="4"/>
      <c r="G28" s="4"/>
      <c r="H28" s="4"/>
      <c r="I28" s="4"/>
      <c r="J28" s="4"/>
    </row>
    <row r="29" customFormat="false" ht="15" hidden="false" customHeight="true" outlineLevel="0" collapsed="false">
      <c r="A29" s="4"/>
      <c r="B29" s="4"/>
      <c r="C29" s="4"/>
      <c r="D29" s="4"/>
      <c r="E29" s="4"/>
      <c r="F29" s="4"/>
      <c r="G29" s="4"/>
      <c r="H29" s="4"/>
      <c r="I29" s="4"/>
      <c r="J29" s="4"/>
    </row>
    <row r="30" customFormat="false" ht="15" hidden="false" customHeight="true" outlineLevel="0" collapsed="false">
      <c r="A30" s="4"/>
      <c r="B30" s="4"/>
      <c r="C30" s="4"/>
      <c r="D30" s="4"/>
      <c r="E30" s="4"/>
      <c r="F30" s="4"/>
      <c r="G30" s="4"/>
      <c r="H30" s="4"/>
      <c r="I30" s="4"/>
      <c r="J30" s="4"/>
    </row>
    <row r="31" customFormat="false" ht="15" hidden="false" customHeight="true" outlineLevel="0" collapsed="false">
      <c r="A31" s="4"/>
      <c r="B31" s="4"/>
      <c r="C31" s="4"/>
      <c r="D31" s="4"/>
      <c r="E31" s="4"/>
      <c r="F31" s="4"/>
      <c r="G31" s="4"/>
      <c r="H31" s="4"/>
      <c r="I31" s="4"/>
      <c r="J31" s="4"/>
    </row>
    <row r="32" customFormat="false" ht="15" hidden="false" customHeight="true" outlineLevel="0" collapsed="false">
      <c r="A32" s="4"/>
      <c r="B32" s="4"/>
      <c r="C32" s="4"/>
      <c r="D32" s="4"/>
      <c r="E32" s="4"/>
      <c r="F32" s="4"/>
      <c r="G32" s="4"/>
      <c r="H32" s="4"/>
      <c r="I32" s="4"/>
      <c r="J32" s="4"/>
    </row>
    <row r="33" customFormat="false" ht="15" hidden="false" customHeight="true" outlineLevel="0" collapsed="false">
      <c r="A33" s="4"/>
      <c r="B33" s="4"/>
      <c r="C33" s="4"/>
      <c r="D33" s="4"/>
      <c r="E33" s="4"/>
      <c r="F33" s="4"/>
      <c r="G33" s="4"/>
      <c r="H33" s="4"/>
      <c r="I33" s="4"/>
      <c r="J33" s="4"/>
    </row>
    <row r="34" customFormat="false" ht="15" hidden="false" customHeight="true" outlineLevel="0" collapsed="false">
      <c r="A34" s="4"/>
      <c r="B34" s="4"/>
      <c r="C34" s="4"/>
      <c r="D34" s="4"/>
      <c r="E34" s="4"/>
      <c r="F34" s="4"/>
      <c r="G34" s="4"/>
      <c r="H34" s="4"/>
      <c r="I34" s="4"/>
      <c r="J34" s="4"/>
    </row>
    <row r="35" customFormat="false" ht="15" hidden="false" customHeight="true" outlineLevel="0" collapsed="false">
      <c r="A35" s="4"/>
      <c r="B35" s="4"/>
      <c r="C35" s="4"/>
      <c r="D35" s="4"/>
      <c r="E35" s="4"/>
      <c r="F35" s="4"/>
      <c r="G35" s="4"/>
      <c r="H35" s="4"/>
      <c r="I35" s="4"/>
      <c r="J35" s="4"/>
    </row>
    <row r="36" customFormat="false" ht="15" hidden="false" customHeight="true" outlineLevel="0" collapsed="false">
      <c r="A36" s="4"/>
      <c r="B36" s="4"/>
      <c r="C36" s="4"/>
      <c r="D36" s="4"/>
      <c r="E36" s="4"/>
      <c r="F36" s="4"/>
      <c r="G36" s="4"/>
      <c r="H36" s="4"/>
      <c r="I36" s="4"/>
      <c r="J36" s="4"/>
    </row>
    <row r="37" customFormat="false" ht="15" hidden="false" customHeight="true" outlineLevel="0" collapsed="false">
      <c r="A37" s="4"/>
      <c r="B37" s="4"/>
      <c r="C37" s="4"/>
      <c r="D37" s="4"/>
      <c r="E37" s="4"/>
      <c r="F37" s="4"/>
      <c r="G37" s="4"/>
      <c r="H37" s="4"/>
      <c r="I37" s="4"/>
      <c r="J37" s="4"/>
    </row>
    <row r="38" customFormat="false" ht="15" hidden="false" customHeight="true" outlineLevel="0" collapsed="false">
      <c r="A38" s="4"/>
      <c r="B38" s="4"/>
      <c r="C38" s="4"/>
      <c r="D38" s="4"/>
      <c r="E38" s="4"/>
      <c r="F38" s="4"/>
      <c r="G38" s="4"/>
      <c r="H38" s="4"/>
      <c r="I38" s="4"/>
      <c r="J38" s="4"/>
    </row>
    <row r="39" customFormat="false" ht="15" hidden="false" customHeight="true" outlineLevel="0" collapsed="false">
      <c r="A39" s="4"/>
      <c r="B39" s="4"/>
      <c r="C39" s="4"/>
      <c r="D39" s="4"/>
      <c r="E39" s="4"/>
      <c r="F39" s="4"/>
      <c r="G39" s="4"/>
      <c r="H39" s="4"/>
      <c r="I39" s="4"/>
      <c r="J39" s="4"/>
    </row>
    <row r="40" customFormat="false" ht="15" hidden="false" customHeight="true" outlineLevel="0" collapsed="false">
      <c r="A40" s="4"/>
      <c r="B40" s="4"/>
      <c r="C40" s="4"/>
      <c r="D40" s="4"/>
      <c r="E40" s="4"/>
      <c r="F40" s="4"/>
      <c r="G40" s="4"/>
      <c r="H40" s="4"/>
      <c r="I40" s="4"/>
      <c r="J40" s="4"/>
    </row>
    <row r="41" customFormat="false" ht="15" hidden="false" customHeight="true" outlineLevel="0" collapsed="false">
      <c r="A41" s="4"/>
      <c r="B41" s="4"/>
      <c r="C41" s="4"/>
      <c r="D41" s="4"/>
      <c r="E41" s="4"/>
      <c r="F41" s="4"/>
      <c r="G41" s="4"/>
      <c r="H41" s="4"/>
      <c r="I41" s="4"/>
      <c r="J41" s="4"/>
    </row>
    <row r="42" customFormat="false" ht="15" hidden="false" customHeight="true" outlineLevel="0" collapsed="false">
      <c r="A42" s="4"/>
      <c r="B42" s="4"/>
      <c r="C42" s="4"/>
      <c r="D42" s="4"/>
      <c r="E42" s="4"/>
      <c r="F42" s="4"/>
      <c r="G42" s="4"/>
      <c r="H42" s="4"/>
      <c r="I42" s="4"/>
      <c r="J42" s="4"/>
    </row>
    <row r="43" customFormat="false" ht="15" hidden="false" customHeight="true" outlineLevel="0" collapsed="false">
      <c r="A43" s="4"/>
      <c r="B43" s="4"/>
      <c r="C43" s="4"/>
      <c r="D43" s="4"/>
      <c r="E43" s="4"/>
      <c r="F43" s="4"/>
      <c r="G43" s="4"/>
      <c r="H43" s="4"/>
      <c r="I43" s="4"/>
      <c r="J43" s="4"/>
    </row>
    <row r="44" customFormat="false" ht="15" hidden="false" customHeight="true" outlineLevel="0" collapsed="false">
      <c r="A44" s="4"/>
      <c r="B44" s="4"/>
      <c r="C44" s="4"/>
      <c r="D44" s="4"/>
      <c r="E44" s="4"/>
      <c r="F44" s="4"/>
      <c r="G44" s="4"/>
      <c r="H44" s="4"/>
      <c r="I44" s="4"/>
      <c r="J44" s="4"/>
    </row>
    <row r="45" customFormat="false" ht="15" hidden="false" customHeight="true" outlineLevel="0" collapsed="false">
      <c r="A45" s="4"/>
      <c r="B45" s="4"/>
      <c r="C45" s="4"/>
      <c r="D45" s="4"/>
      <c r="E45" s="4"/>
      <c r="F45" s="4"/>
      <c r="G45" s="4"/>
      <c r="H45" s="4"/>
      <c r="I45" s="4"/>
      <c r="J45" s="4"/>
    </row>
    <row r="46" customFormat="false" ht="15" hidden="false" customHeight="true" outlineLevel="0" collapsed="false">
      <c r="A46" s="4"/>
      <c r="B46" s="4"/>
      <c r="C46" s="4"/>
      <c r="D46" s="4"/>
      <c r="E46" s="4"/>
      <c r="F46" s="4"/>
      <c r="G46" s="4"/>
      <c r="H46" s="4"/>
      <c r="I46" s="4"/>
      <c r="J46" s="4"/>
    </row>
    <row r="47" customFormat="false" ht="15" hidden="false" customHeight="true" outlineLevel="0" collapsed="false">
      <c r="A47" s="4"/>
      <c r="B47" s="4"/>
      <c r="C47" s="4"/>
      <c r="D47" s="4"/>
      <c r="E47" s="4"/>
      <c r="F47" s="4"/>
      <c r="G47" s="4"/>
      <c r="H47" s="4"/>
      <c r="I47" s="4"/>
      <c r="J47" s="4"/>
    </row>
    <row r="48" customFormat="false" ht="15" hidden="false" customHeight="true" outlineLevel="0" collapsed="false">
      <c r="A48" s="4"/>
      <c r="B48" s="4"/>
      <c r="C48" s="4"/>
      <c r="D48" s="4"/>
      <c r="E48" s="4"/>
      <c r="F48" s="4"/>
      <c r="G48" s="4"/>
      <c r="H48" s="4"/>
      <c r="I48" s="4"/>
      <c r="J48" s="4"/>
    </row>
    <row r="49" customFormat="false" ht="15" hidden="false" customHeight="true" outlineLevel="0" collapsed="false">
      <c r="A49" s="4"/>
      <c r="B49" s="4"/>
      <c r="C49" s="4"/>
      <c r="D49" s="4"/>
      <c r="E49" s="4"/>
      <c r="F49" s="4"/>
      <c r="G49" s="4"/>
      <c r="H49" s="4"/>
      <c r="I49" s="4"/>
      <c r="J49" s="4"/>
    </row>
    <row r="50" customFormat="false" ht="15" hidden="false" customHeight="true" outlineLevel="0" collapsed="false">
      <c r="A50" s="4"/>
      <c r="B50" s="4"/>
      <c r="C50" s="4"/>
      <c r="D50" s="4"/>
      <c r="E50" s="4"/>
      <c r="F50" s="4"/>
      <c r="G50" s="4"/>
      <c r="H50" s="4"/>
      <c r="I50" s="4"/>
      <c r="J50" s="4"/>
    </row>
    <row r="51" customFormat="false" ht="15" hidden="false" customHeight="true" outlineLevel="0" collapsed="false">
      <c r="A51" s="4"/>
      <c r="B51" s="4"/>
      <c r="C51" s="4"/>
      <c r="D51" s="4"/>
      <c r="E51" s="4"/>
      <c r="F51" s="4"/>
      <c r="G51" s="4"/>
      <c r="H51" s="4"/>
      <c r="I51" s="4"/>
      <c r="J51" s="4"/>
    </row>
    <row r="52" customFormat="false" ht="15" hidden="false" customHeight="true" outlineLevel="0" collapsed="false">
      <c r="A52" s="4"/>
      <c r="B52" s="4"/>
      <c r="C52" s="4"/>
      <c r="D52" s="4"/>
      <c r="E52" s="4"/>
      <c r="F52" s="4"/>
      <c r="G52" s="4"/>
      <c r="H52" s="4"/>
      <c r="I52" s="4"/>
      <c r="J52" s="4"/>
    </row>
    <row r="53" customFormat="false" ht="15" hidden="false" customHeight="true" outlineLevel="0" collapsed="false">
      <c r="A53" s="4"/>
      <c r="B53" s="4"/>
      <c r="C53" s="4"/>
      <c r="D53" s="4"/>
      <c r="E53" s="4"/>
      <c r="F53" s="4"/>
      <c r="G53" s="4"/>
      <c r="H53" s="4"/>
      <c r="I53" s="4"/>
      <c r="J53" s="4"/>
    </row>
    <row r="54" customFormat="false" ht="15" hidden="false" customHeight="true" outlineLevel="0" collapsed="false">
      <c r="A54" s="4"/>
      <c r="B54" s="4"/>
      <c r="C54" s="4"/>
      <c r="D54" s="4"/>
      <c r="E54" s="4"/>
      <c r="F54" s="4"/>
      <c r="G54" s="4"/>
      <c r="H54" s="4"/>
      <c r="I54" s="4"/>
      <c r="J54" s="4"/>
    </row>
    <row r="55" customFormat="false" ht="15" hidden="false" customHeight="true" outlineLevel="0" collapsed="false">
      <c r="A55" s="4"/>
      <c r="B55" s="4"/>
      <c r="C55" s="4"/>
      <c r="D55" s="4"/>
      <c r="E55" s="4"/>
      <c r="F55" s="4"/>
      <c r="G55" s="4"/>
      <c r="H55" s="4"/>
      <c r="I55" s="4"/>
      <c r="J55" s="4"/>
    </row>
    <row r="56" customFormat="false" ht="15" hidden="false" customHeight="true" outlineLevel="0" collapsed="false">
      <c r="A56" s="4"/>
      <c r="B56" s="4"/>
      <c r="C56" s="4"/>
      <c r="D56" s="4"/>
      <c r="E56" s="4"/>
      <c r="F56" s="4"/>
      <c r="G56" s="4"/>
      <c r="H56" s="4"/>
      <c r="I56" s="4"/>
      <c r="J56" s="4"/>
    </row>
    <row r="57" customFormat="false" ht="15" hidden="false" customHeight="true" outlineLevel="0" collapsed="false">
      <c r="A57" s="4"/>
      <c r="B57" s="4"/>
      <c r="C57" s="4"/>
      <c r="D57" s="4"/>
      <c r="E57" s="4"/>
      <c r="F57" s="4"/>
      <c r="G57" s="4"/>
      <c r="H57" s="4"/>
      <c r="I57" s="4"/>
      <c r="J57" s="4"/>
    </row>
    <row r="58" customFormat="false" ht="15" hidden="false" customHeight="true" outlineLevel="0" collapsed="false">
      <c r="A58" s="4"/>
      <c r="B58" s="4"/>
      <c r="C58" s="4"/>
      <c r="D58" s="4"/>
      <c r="E58" s="4"/>
      <c r="F58" s="4"/>
      <c r="G58" s="4"/>
      <c r="H58" s="4"/>
      <c r="I58" s="4"/>
      <c r="J58" s="4"/>
    </row>
    <row r="59" customFormat="false" ht="15" hidden="false" customHeight="true" outlineLevel="0" collapsed="false">
      <c r="A59" s="4"/>
      <c r="B59" s="4"/>
      <c r="C59" s="4"/>
      <c r="D59" s="4"/>
      <c r="E59" s="4"/>
      <c r="F59" s="4"/>
      <c r="G59" s="4"/>
      <c r="H59" s="4"/>
      <c r="I59" s="4"/>
      <c r="J59" s="4"/>
    </row>
    <row r="60" customFormat="false" ht="15" hidden="false" customHeight="true" outlineLevel="0" collapsed="false">
      <c r="A60" s="4"/>
      <c r="B60" s="4"/>
      <c r="C60" s="4"/>
      <c r="D60" s="4"/>
      <c r="E60" s="4"/>
      <c r="F60" s="4"/>
      <c r="G60" s="4"/>
      <c r="H60" s="4"/>
      <c r="I60" s="4"/>
      <c r="J60" s="4"/>
    </row>
    <row r="61" customFormat="false" ht="15" hidden="false" customHeight="true" outlineLevel="0" collapsed="false">
      <c r="A61" s="4"/>
      <c r="B61" s="4"/>
      <c r="C61" s="4"/>
      <c r="D61" s="4"/>
      <c r="E61" s="4"/>
      <c r="F61" s="4"/>
      <c r="G61" s="4"/>
      <c r="H61" s="4"/>
      <c r="I61" s="4"/>
      <c r="J61" s="4"/>
    </row>
    <row r="62" customFormat="false" ht="15" hidden="false" customHeight="true" outlineLevel="0" collapsed="false">
      <c r="A62" s="4"/>
      <c r="B62" s="4"/>
      <c r="C62" s="4"/>
      <c r="D62" s="4"/>
      <c r="E62" s="4"/>
      <c r="F62" s="4"/>
      <c r="G62" s="4"/>
      <c r="H62" s="4"/>
      <c r="I62" s="4"/>
      <c r="J62" s="4"/>
    </row>
    <row r="63" customFormat="false" ht="15" hidden="false" customHeight="true" outlineLevel="0" collapsed="false">
      <c r="A63" s="4"/>
      <c r="B63" s="4"/>
      <c r="C63" s="4"/>
      <c r="D63" s="4"/>
      <c r="E63" s="4"/>
      <c r="F63" s="4"/>
      <c r="G63" s="4"/>
      <c r="H63" s="4"/>
      <c r="I63" s="4"/>
      <c r="J63" s="4"/>
    </row>
    <row r="64" customFormat="false" ht="15" hidden="false" customHeight="true" outlineLevel="0" collapsed="false">
      <c r="A64" s="4"/>
      <c r="B64" s="4"/>
      <c r="C64" s="4"/>
      <c r="D64" s="4"/>
      <c r="E64" s="4"/>
      <c r="F64" s="4"/>
      <c r="G64" s="4"/>
      <c r="H64" s="4"/>
      <c r="I64" s="4"/>
      <c r="J64" s="4"/>
    </row>
    <row r="65" customFormat="false" ht="15" hidden="false" customHeight="true" outlineLevel="0" collapsed="false">
      <c r="A65" s="4"/>
      <c r="B65" s="4"/>
      <c r="C65" s="4"/>
      <c r="D65" s="4"/>
      <c r="E65" s="4"/>
      <c r="F65" s="4"/>
      <c r="G65" s="4"/>
      <c r="H65" s="4"/>
      <c r="I65" s="4"/>
      <c r="J65" s="4"/>
    </row>
    <row r="66" customFormat="false" ht="15" hidden="false" customHeight="true" outlineLevel="0" collapsed="false">
      <c r="A66" s="4"/>
      <c r="B66" s="4"/>
      <c r="C66" s="4"/>
      <c r="D66" s="4"/>
      <c r="E66" s="4"/>
      <c r="F66" s="4"/>
      <c r="G66" s="4"/>
      <c r="H66" s="4"/>
      <c r="I66" s="4"/>
      <c r="J66" s="4"/>
    </row>
    <row r="67" customFormat="false" ht="15" hidden="false" customHeight="true" outlineLevel="0" collapsed="false">
      <c r="A67" s="4"/>
      <c r="B67" s="4"/>
      <c r="C67" s="4"/>
      <c r="D67" s="4"/>
      <c r="E67" s="4"/>
      <c r="F67" s="4"/>
      <c r="G67" s="4"/>
      <c r="H67" s="4"/>
      <c r="I67" s="4"/>
      <c r="J67" s="4"/>
    </row>
    <row r="68" customFormat="false" ht="15" hidden="false" customHeight="true" outlineLevel="0" collapsed="false">
      <c r="A68" s="4"/>
      <c r="B68" s="4"/>
      <c r="C68" s="4"/>
      <c r="D68" s="4"/>
      <c r="E68" s="4"/>
      <c r="F68" s="4"/>
      <c r="G68" s="4"/>
      <c r="H68" s="4"/>
      <c r="I68" s="4"/>
      <c r="J68" s="4"/>
    </row>
    <row r="69" customFormat="false" ht="15" hidden="false" customHeight="true" outlineLevel="0" collapsed="false">
      <c r="A69" s="4"/>
      <c r="B69" s="4"/>
      <c r="C69" s="4"/>
      <c r="D69" s="4"/>
      <c r="E69" s="4"/>
      <c r="F69" s="4"/>
      <c r="G69" s="4"/>
      <c r="H69" s="4"/>
      <c r="I69" s="4"/>
      <c r="J69" s="4"/>
    </row>
    <row r="70" customFormat="false" ht="15" hidden="false" customHeight="true" outlineLevel="0" collapsed="false">
      <c r="A70" s="4"/>
      <c r="B70" s="4"/>
      <c r="C70" s="4"/>
      <c r="D70" s="4"/>
      <c r="E70" s="4"/>
      <c r="F70" s="4"/>
      <c r="G70" s="4"/>
      <c r="H70" s="4"/>
      <c r="I70" s="4"/>
      <c r="J70" s="4"/>
    </row>
    <row r="71" customFormat="false" ht="15" hidden="false" customHeight="true" outlineLevel="0" collapsed="false">
      <c r="A71" s="4"/>
      <c r="B71" s="4"/>
      <c r="C71" s="4"/>
      <c r="D71" s="4"/>
      <c r="E71" s="4"/>
      <c r="F71" s="4"/>
      <c r="G71" s="4"/>
      <c r="H71" s="4"/>
      <c r="I71" s="4"/>
      <c r="J71" s="4"/>
    </row>
    <row r="72" customFormat="false" ht="15" hidden="false" customHeight="true" outlineLevel="0" collapsed="false">
      <c r="A72" s="4"/>
      <c r="B72" s="4"/>
      <c r="C72" s="4"/>
      <c r="D72" s="4"/>
      <c r="E72" s="4"/>
      <c r="F72" s="4"/>
      <c r="G72" s="4"/>
      <c r="H72" s="4"/>
      <c r="I72" s="4"/>
      <c r="J72" s="4"/>
    </row>
    <row r="73" customFormat="false" ht="15" hidden="false" customHeight="true" outlineLevel="0" collapsed="false">
      <c r="A73" s="4"/>
      <c r="B73" s="4"/>
      <c r="C73" s="4"/>
      <c r="D73" s="4"/>
      <c r="E73" s="4"/>
      <c r="F73" s="4"/>
      <c r="G73" s="4"/>
      <c r="H73" s="4"/>
      <c r="I73" s="4"/>
      <c r="J73" s="4"/>
    </row>
    <row r="74" customFormat="false" ht="15" hidden="false" customHeight="true" outlineLevel="0" collapsed="false">
      <c r="A74" s="4"/>
      <c r="B74" s="4"/>
      <c r="C74" s="4"/>
      <c r="D74" s="4"/>
      <c r="E74" s="4"/>
      <c r="F74" s="4"/>
      <c r="G74" s="4"/>
      <c r="H74" s="4"/>
      <c r="I74" s="4"/>
      <c r="J74" s="4"/>
    </row>
    <row r="75" customFormat="false" ht="15" hidden="false" customHeight="true" outlineLevel="0" collapsed="false">
      <c r="A75" s="4"/>
      <c r="B75" s="4"/>
      <c r="C75" s="4"/>
      <c r="D75" s="4"/>
      <c r="E75" s="4"/>
      <c r="F75" s="4"/>
      <c r="G75" s="4"/>
      <c r="H75" s="4"/>
      <c r="I75" s="4"/>
      <c r="J75" s="4"/>
    </row>
    <row r="76" customFormat="false" ht="15" hidden="false" customHeight="true" outlineLevel="0" collapsed="false">
      <c r="A76" s="4"/>
      <c r="B76" s="4"/>
      <c r="C76" s="4"/>
      <c r="D76" s="4"/>
      <c r="E76" s="4"/>
      <c r="F76" s="4"/>
      <c r="G76" s="4"/>
      <c r="H76" s="4"/>
      <c r="I76" s="4"/>
      <c r="J76" s="4"/>
    </row>
    <row r="77" customFormat="false" ht="15" hidden="false" customHeight="true" outlineLevel="0" collapsed="false">
      <c r="A77" s="4"/>
      <c r="B77" s="4"/>
      <c r="C77" s="4"/>
      <c r="D77" s="4"/>
      <c r="E77" s="4"/>
      <c r="F77" s="4"/>
      <c r="G77" s="4"/>
      <c r="H77" s="4"/>
      <c r="I77" s="4"/>
      <c r="J77" s="4"/>
    </row>
    <row r="78" customFormat="false" ht="15" hidden="false" customHeight="true" outlineLevel="0" collapsed="false">
      <c r="A78" s="4"/>
      <c r="B78" s="4"/>
      <c r="C78" s="4"/>
      <c r="D78" s="4"/>
      <c r="E78" s="4"/>
      <c r="F78" s="4"/>
      <c r="G78" s="4"/>
      <c r="H78" s="4"/>
      <c r="I78" s="4"/>
      <c r="J78" s="4"/>
    </row>
    <row r="79" customFormat="false" ht="15" hidden="false" customHeight="true" outlineLevel="0" collapsed="false">
      <c r="A79" s="4"/>
      <c r="B79" s="4"/>
      <c r="C79" s="4"/>
      <c r="D79" s="4"/>
      <c r="E79" s="4"/>
      <c r="F79" s="4"/>
      <c r="G79" s="4"/>
      <c r="H79" s="4"/>
      <c r="I79" s="4"/>
      <c r="J79" s="4"/>
    </row>
    <row r="80" customFormat="false" ht="15" hidden="false" customHeight="true" outlineLevel="0" collapsed="false">
      <c r="A80" s="4"/>
      <c r="B80" s="4"/>
      <c r="C80" s="4"/>
      <c r="D80" s="4"/>
      <c r="E80" s="4"/>
      <c r="F80" s="4"/>
      <c r="G80" s="4"/>
      <c r="H80" s="4"/>
      <c r="I80" s="4"/>
      <c r="J80" s="4"/>
    </row>
    <row r="81" customFormat="false" ht="15" hidden="false" customHeight="true" outlineLevel="0" collapsed="false">
      <c r="A81" s="4"/>
      <c r="B81" s="4"/>
      <c r="C81" s="4"/>
      <c r="D81" s="4"/>
      <c r="E81" s="4"/>
      <c r="F81" s="4"/>
      <c r="G81" s="4"/>
      <c r="H81" s="4"/>
      <c r="I81" s="4"/>
      <c r="J81" s="4"/>
    </row>
    <row r="82" customFormat="false" ht="15" hidden="false" customHeight="true" outlineLevel="0" collapsed="false">
      <c r="A82" s="4"/>
      <c r="B82" s="4"/>
      <c r="C82" s="4"/>
      <c r="D82" s="4"/>
      <c r="E82" s="4"/>
      <c r="F82" s="4"/>
      <c r="G82" s="4"/>
      <c r="H82" s="4"/>
      <c r="I82" s="4"/>
      <c r="J82" s="4"/>
    </row>
    <row r="83" customFormat="false" ht="15" hidden="false" customHeight="true" outlineLevel="0" collapsed="false">
      <c r="A83" s="4"/>
      <c r="B83" s="4"/>
      <c r="C83" s="4"/>
      <c r="D83" s="4"/>
      <c r="E83" s="4"/>
      <c r="F83" s="4"/>
      <c r="G83" s="4"/>
      <c r="H83" s="4"/>
      <c r="I83" s="4"/>
      <c r="J83" s="4"/>
    </row>
    <row r="84" customFormat="false" ht="15" hidden="false" customHeight="true" outlineLevel="0" collapsed="false">
      <c r="A84" s="4"/>
      <c r="B84" s="4"/>
      <c r="C84" s="4"/>
      <c r="D84" s="4"/>
      <c r="E84" s="4"/>
      <c r="F84" s="4"/>
      <c r="G84" s="4"/>
      <c r="H84" s="4"/>
      <c r="I84" s="4"/>
      <c r="J84" s="4"/>
    </row>
    <row r="85" customFormat="false" ht="15" hidden="false" customHeight="true" outlineLevel="0" collapsed="false">
      <c r="A85" s="4"/>
      <c r="B85" s="4"/>
      <c r="C85" s="4"/>
      <c r="D85" s="4"/>
      <c r="E85" s="4"/>
      <c r="F85" s="4"/>
      <c r="G85" s="4"/>
      <c r="H85" s="4"/>
      <c r="I85" s="4"/>
      <c r="J85" s="4"/>
    </row>
    <row r="86" customFormat="false" ht="15" hidden="false" customHeight="true" outlineLevel="0" collapsed="false">
      <c r="A86" s="4"/>
      <c r="B86" s="4"/>
      <c r="C86" s="4"/>
      <c r="D86" s="4"/>
      <c r="E86" s="4"/>
      <c r="F86" s="4"/>
      <c r="G86" s="4"/>
      <c r="H86" s="4"/>
      <c r="I86" s="4"/>
      <c r="J86" s="4"/>
    </row>
    <row r="87" customFormat="false" ht="15" hidden="false" customHeight="true" outlineLevel="0" collapsed="false">
      <c r="A87" s="4"/>
      <c r="B87" s="4"/>
      <c r="C87" s="4"/>
      <c r="D87" s="4"/>
      <c r="E87" s="4"/>
      <c r="F87" s="4"/>
      <c r="G87" s="4"/>
      <c r="H87" s="4"/>
      <c r="I87" s="4"/>
      <c r="J87" s="4"/>
    </row>
    <row r="88" customFormat="false" ht="15" hidden="false" customHeight="true" outlineLevel="0" collapsed="false">
      <c r="A88" s="4"/>
      <c r="B88" s="4"/>
      <c r="C88" s="4"/>
      <c r="D88" s="4"/>
      <c r="E88" s="4"/>
      <c r="F88" s="4"/>
      <c r="G88" s="4"/>
      <c r="H88" s="4"/>
      <c r="I88" s="4"/>
      <c r="J88" s="4"/>
    </row>
    <row r="89" customFormat="false" ht="15" hidden="false" customHeight="true" outlineLevel="0" collapsed="false">
      <c r="A89" s="4"/>
      <c r="B89" s="4"/>
      <c r="C89" s="4"/>
      <c r="D89" s="4"/>
      <c r="E89" s="4"/>
      <c r="F89" s="4"/>
      <c r="G89" s="4"/>
      <c r="H89" s="4"/>
      <c r="I89" s="4"/>
      <c r="J89" s="4"/>
    </row>
    <row r="90" customFormat="false" ht="15" hidden="false" customHeight="true" outlineLevel="0" collapsed="false">
      <c r="A90" s="4"/>
      <c r="B90" s="4"/>
      <c r="C90" s="4"/>
      <c r="D90" s="4"/>
      <c r="E90" s="4"/>
      <c r="F90" s="4"/>
      <c r="G90" s="4"/>
      <c r="H90" s="4"/>
      <c r="I90" s="4"/>
      <c r="J90" s="4"/>
    </row>
    <row r="91" customFormat="false" ht="15" hidden="false" customHeight="true" outlineLevel="0" collapsed="false">
      <c r="A91" s="4"/>
      <c r="B91" s="4"/>
      <c r="C91" s="4"/>
      <c r="D91" s="4"/>
      <c r="E91" s="4"/>
      <c r="F91" s="4"/>
      <c r="G91" s="4"/>
      <c r="H91" s="4"/>
      <c r="I91" s="4"/>
      <c r="J91" s="4"/>
    </row>
    <row r="92" customFormat="false" ht="15" hidden="false" customHeight="true" outlineLevel="0" collapsed="false">
      <c r="A92" s="4"/>
      <c r="B92" s="4"/>
      <c r="C92" s="4"/>
      <c r="D92" s="4"/>
      <c r="E92" s="4"/>
      <c r="F92" s="4"/>
      <c r="G92" s="4"/>
      <c r="H92" s="4"/>
      <c r="I92" s="4"/>
      <c r="J92" s="4"/>
    </row>
    <row r="93" customFormat="false" ht="15" hidden="false" customHeight="true" outlineLevel="0" collapsed="false">
      <c r="A93" s="4"/>
      <c r="B93" s="4"/>
      <c r="C93" s="4"/>
      <c r="D93" s="4"/>
      <c r="E93" s="4"/>
      <c r="F93" s="4"/>
      <c r="G93" s="4"/>
      <c r="H93" s="4"/>
      <c r="I93" s="4"/>
      <c r="J93" s="4"/>
    </row>
    <row r="94" customFormat="false" ht="15" hidden="false" customHeight="true" outlineLevel="0" collapsed="false">
      <c r="A94" s="4"/>
      <c r="B94" s="4"/>
      <c r="C94" s="4"/>
      <c r="D94" s="4"/>
      <c r="E94" s="4"/>
      <c r="F94" s="4"/>
      <c r="G94" s="4"/>
      <c r="H94" s="4"/>
      <c r="I94" s="4"/>
      <c r="J94" s="4"/>
    </row>
    <row r="95" customFormat="false" ht="15" hidden="false" customHeight="true" outlineLevel="0" collapsed="false">
      <c r="A95" s="4"/>
      <c r="B95" s="4"/>
      <c r="C95" s="4"/>
      <c r="D95" s="4"/>
      <c r="E95" s="4"/>
      <c r="F95" s="4"/>
      <c r="G95" s="4"/>
      <c r="H95" s="4"/>
      <c r="I95" s="4"/>
      <c r="J95" s="4"/>
    </row>
    <row r="96" customFormat="false" ht="15" hidden="false" customHeight="true" outlineLevel="0" collapsed="false">
      <c r="A96" s="4"/>
      <c r="B96" s="4"/>
      <c r="C96" s="4"/>
      <c r="D96" s="4"/>
      <c r="E96" s="4"/>
      <c r="F96" s="4"/>
      <c r="G96" s="4"/>
      <c r="H96" s="4"/>
      <c r="I96" s="4"/>
      <c r="J96" s="4"/>
    </row>
    <row r="97" customFormat="false" ht="15" hidden="false" customHeight="true" outlineLevel="0" collapsed="false">
      <c r="A97" s="4"/>
      <c r="B97" s="4"/>
      <c r="C97" s="4"/>
      <c r="D97" s="4"/>
      <c r="E97" s="4"/>
      <c r="F97" s="4"/>
      <c r="G97" s="4"/>
      <c r="H97" s="4"/>
      <c r="I97" s="4"/>
      <c r="J97" s="4"/>
    </row>
    <row r="98" customFormat="false" ht="15" hidden="false" customHeight="true" outlineLevel="0" collapsed="false">
      <c r="A98" s="4"/>
      <c r="B98" s="4"/>
      <c r="C98" s="4"/>
      <c r="D98" s="4"/>
      <c r="E98" s="4"/>
      <c r="F98" s="4"/>
      <c r="G98" s="4"/>
      <c r="H98" s="4"/>
      <c r="I98" s="4"/>
      <c r="J98" s="4"/>
    </row>
    <row r="99" customFormat="false" ht="15" hidden="false" customHeight="true" outlineLevel="0" collapsed="false">
      <c r="A99" s="4"/>
      <c r="B99" s="4"/>
      <c r="C99" s="4"/>
      <c r="D99" s="4"/>
      <c r="E99" s="4"/>
      <c r="F99" s="4"/>
      <c r="G99" s="4"/>
      <c r="H99" s="4"/>
      <c r="I99" s="4"/>
      <c r="J99" s="4"/>
    </row>
    <row r="100" customFormat="false" ht="15" hidden="false" customHeight="true" outlineLevel="0" collapsed="false">
      <c r="A100" s="4"/>
      <c r="B100" s="4"/>
      <c r="C100" s="4"/>
      <c r="D100" s="4"/>
      <c r="E100" s="4"/>
      <c r="F100" s="4"/>
      <c r="G100" s="4"/>
      <c r="H100" s="4"/>
      <c r="I100" s="4"/>
      <c r="J100" s="4"/>
    </row>
    <row r="101" customFormat="false" ht="15" hidden="false" customHeight="true" outlineLevel="0" collapsed="false">
      <c r="A101" s="4"/>
      <c r="B101" s="4"/>
      <c r="C101" s="4"/>
      <c r="D101" s="4"/>
      <c r="E101" s="4"/>
      <c r="F101" s="4"/>
      <c r="G101" s="4"/>
      <c r="H101" s="4"/>
      <c r="I101" s="4"/>
      <c r="J101" s="4"/>
    </row>
    <row r="102" customFormat="false" ht="15" hidden="false" customHeight="true" outlineLevel="0" collapsed="false">
      <c r="A102" s="4"/>
      <c r="B102" s="4"/>
      <c r="C102" s="4"/>
      <c r="D102" s="4"/>
      <c r="E102" s="4"/>
      <c r="F102" s="4"/>
      <c r="G102" s="4"/>
      <c r="H102" s="4"/>
      <c r="I102" s="4"/>
      <c r="J102" s="4"/>
    </row>
    <row r="103" customFormat="false" ht="15" hidden="false" customHeight="true" outlineLevel="0" collapsed="false">
      <c r="A103" s="4"/>
      <c r="B103" s="4"/>
      <c r="C103" s="4"/>
      <c r="D103" s="4"/>
      <c r="E103" s="4"/>
      <c r="F103" s="4"/>
      <c r="G103" s="4"/>
      <c r="H103" s="4"/>
      <c r="I103" s="4"/>
      <c r="J103" s="4"/>
    </row>
    <row r="104" customFormat="false" ht="15" hidden="false" customHeight="true" outlineLevel="0" collapsed="false">
      <c r="A104" s="4"/>
      <c r="B104" s="4"/>
      <c r="C104" s="4"/>
      <c r="D104" s="4"/>
      <c r="E104" s="4"/>
      <c r="F104" s="4"/>
      <c r="G104" s="4"/>
      <c r="H104" s="4"/>
      <c r="I104" s="4"/>
      <c r="J104" s="4"/>
    </row>
    <row r="105" customFormat="false" ht="15" hidden="false" customHeight="true" outlineLevel="0" collapsed="false">
      <c r="A105" s="4"/>
      <c r="B105" s="4"/>
      <c r="C105" s="4"/>
      <c r="D105" s="4"/>
      <c r="E105" s="4"/>
      <c r="F105" s="4"/>
      <c r="G105" s="4"/>
      <c r="H105" s="4"/>
      <c r="I105" s="4"/>
      <c r="J105" s="4"/>
    </row>
    <row r="106" customFormat="false" ht="15" hidden="false" customHeight="true" outlineLevel="0" collapsed="false">
      <c r="A106" s="4"/>
      <c r="B106" s="4"/>
      <c r="C106" s="4"/>
      <c r="D106" s="4"/>
      <c r="E106" s="4"/>
      <c r="F106" s="4"/>
      <c r="G106" s="4"/>
      <c r="H106" s="4"/>
      <c r="I106" s="4"/>
      <c r="J106" s="4"/>
    </row>
    <row r="107" customFormat="false" ht="15" hidden="false" customHeight="true" outlineLevel="0" collapsed="false">
      <c r="A107" s="4"/>
      <c r="B107" s="4"/>
      <c r="C107" s="4"/>
      <c r="D107" s="4"/>
      <c r="E107" s="4"/>
      <c r="F107" s="4"/>
      <c r="G107" s="4"/>
      <c r="H107" s="4"/>
      <c r="I107" s="4"/>
      <c r="J107" s="4"/>
    </row>
    <row r="108" customFormat="false" ht="15" hidden="false" customHeight="true" outlineLevel="0" collapsed="false">
      <c r="A108" s="4"/>
      <c r="B108" s="4"/>
      <c r="C108" s="4"/>
      <c r="D108" s="4"/>
      <c r="E108" s="4"/>
      <c r="F108" s="4"/>
      <c r="G108" s="4"/>
      <c r="H108" s="4"/>
      <c r="I108" s="4"/>
      <c r="J108" s="4"/>
    </row>
    <row r="109" customFormat="false" ht="15" hidden="false" customHeight="true" outlineLevel="0" collapsed="false">
      <c r="A109" s="4"/>
      <c r="B109" s="4"/>
      <c r="C109" s="4"/>
      <c r="D109" s="4"/>
      <c r="E109" s="4"/>
      <c r="F109" s="4"/>
      <c r="G109" s="4"/>
      <c r="H109" s="4"/>
      <c r="I109" s="4"/>
      <c r="J109" s="4"/>
    </row>
    <row r="110" customFormat="false" ht="15" hidden="false" customHeight="true" outlineLevel="0" collapsed="false">
      <c r="A110" s="4"/>
      <c r="B110" s="4"/>
      <c r="C110" s="4"/>
      <c r="D110" s="4"/>
      <c r="E110" s="4"/>
      <c r="F110" s="4"/>
      <c r="G110" s="4"/>
      <c r="H110" s="4"/>
      <c r="I110" s="4"/>
      <c r="J110" s="4"/>
    </row>
    <row r="111" customFormat="false" ht="15" hidden="false" customHeight="true" outlineLevel="0" collapsed="false">
      <c r="A111" s="4"/>
      <c r="B111" s="4"/>
      <c r="C111" s="4"/>
      <c r="D111" s="4"/>
      <c r="E111" s="4"/>
      <c r="F111" s="4"/>
      <c r="G111" s="4"/>
      <c r="H111" s="4"/>
      <c r="I111" s="4"/>
      <c r="J111" s="4"/>
    </row>
    <row r="112" customFormat="false" ht="15" hidden="false" customHeight="true" outlineLevel="0" collapsed="false">
      <c r="A112" s="4"/>
      <c r="B112" s="4"/>
      <c r="C112" s="4"/>
      <c r="D112" s="4"/>
      <c r="E112" s="4"/>
      <c r="F112" s="4"/>
      <c r="G112" s="4"/>
      <c r="H112" s="4"/>
      <c r="I112" s="4"/>
      <c r="J112" s="4"/>
    </row>
    <row r="113" customFormat="false" ht="15" hidden="false" customHeight="true" outlineLevel="0" collapsed="false">
      <c r="A113" s="4"/>
      <c r="B113" s="4"/>
      <c r="C113" s="4"/>
      <c r="D113" s="4"/>
      <c r="E113" s="4"/>
      <c r="F113" s="4"/>
      <c r="G113" s="4"/>
      <c r="H113" s="4"/>
      <c r="I113" s="4"/>
      <c r="J113" s="4"/>
    </row>
    <row r="114" customFormat="false" ht="15" hidden="false" customHeight="true" outlineLevel="0" collapsed="false">
      <c r="A114" s="4"/>
      <c r="B114" s="4"/>
      <c r="C114" s="4"/>
      <c r="D114" s="4"/>
      <c r="E114" s="4"/>
      <c r="F114" s="4"/>
      <c r="G114" s="4"/>
      <c r="H114" s="4"/>
      <c r="I114" s="4"/>
      <c r="J114" s="4"/>
    </row>
    <row r="115" customFormat="false" ht="15" hidden="false" customHeight="true" outlineLevel="0" collapsed="false">
      <c r="A115" s="4"/>
      <c r="B115" s="4"/>
      <c r="C115" s="4"/>
      <c r="D115" s="4"/>
      <c r="E115" s="4"/>
      <c r="F115" s="4"/>
      <c r="G115" s="4"/>
      <c r="H115" s="4"/>
      <c r="I115" s="4"/>
      <c r="J115" s="4"/>
    </row>
    <row r="116" customFormat="false" ht="15" hidden="false" customHeight="true" outlineLevel="0" collapsed="false">
      <c r="A116" s="4"/>
      <c r="B116" s="4"/>
      <c r="C116" s="4"/>
      <c r="D116" s="4"/>
      <c r="E116" s="4"/>
      <c r="F116" s="4"/>
      <c r="G116" s="4"/>
      <c r="H116" s="4"/>
      <c r="I116" s="4"/>
      <c r="J116" s="4"/>
    </row>
    <row r="117" customFormat="false" ht="15" hidden="false" customHeight="true" outlineLevel="0" collapsed="false">
      <c r="A117" s="4"/>
      <c r="B117" s="4"/>
      <c r="C117" s="4"/>
      <c r="D117" s="4"/>
      <c r="E117" s="4"/>
      <c r="F117" s="4"/>
      <c r="G117" s="4"/>
      <c r="H117" s="4"/>
      <c r="I117" s="4"/>
      <c r="J117" s="4"/>
    </row>
    <row r="118" customFormat="false" ht="15" hidden="false" customHeight="true" outlineLevel="0" collapsed="false">
      <c r="A118" s="4"/>
      <c r="B118" s="4"/>
      <c r="C118" s="4"/>
      <c r="D118" s="4"/>
      <c r="E118" s="4"/>
      <c r="F118" s="4"/>
      <c r="G118" s="4"/>
      <c r="H118" s="4"/>
      <c r="I118" s="4"/>
      <c r="J118" s="4"/>
    </row>
    <row r="119" customFormat="false" ht="15" hidden="false" customHeight="true" outlineLevel="0" collapsed="false">
      <c r="A119" s="4"/>
      <c r="B119" s="4"/>
      <c r="C119" s="4"/>
      <c r="D119" s="4"/>
      <c r="E119" s="4"/>
      <c r="F119" s="4"/>
      <c r="G119" s="4"/>
      <c r="H119" s="4"/>
      <c r="I119" s="4"/>
      <c r="J119" s="4"/>
    </row>
    <row r="120" customFormat="false" ht="15" hidden="false" customHeight="true" outlineLevel="0" collapsed="false">
      <c r="A120" s="4"/>
      <c r="B120" s="4"/>
      <c r="C120" s="4"/>
      <c r="D120" s="4"/>
      <c r="E120" s="4"/>
      <c r="F120" s="4"/>
      <c r="G120" s="4"/>
      <c r="H120" s="4"/>
      <c r="I120" s="4"/>
      <c r="J120" s="4"/>
    </row>
    <row r="121" customFormat="false" ht="15" hidden="false" customHeight="true" outlineLevel="0" collapsed="false">
      <c r="A121" s="4"/>
      <c r="B121" s="4"/>
      <c r="C121" s="4"/>
      <c r="D121" s="4"/>
      <c r="E121" s="4"/>
      <c r="F121" s="4"/>
      <c r="G121" s="4"/>
      <c r="H121" s="4"/>
      <c r="I121" s="4"/>
      <c r="J121" s="4"/>
    </row>
    <row r="122" customFormat="false" ht="15" hidden="false" customHeight="true" outlineLevel="0" collapsed="false">
      <c r="A122" s="4"/>
      <c r="B122" s="4"/>
      <c r="C122" s="4"/>
      <c r="D122" s="4"/>
      <c r="E122" s="4"/>
      <c r="F122" s="4"/>
      <c r="G122" s="4"/>
      <c r="H122" s="4"/>
      <c r="I122" s="4"/>
      <c r="J122" s="4"/>
    </row>
  </sheetData>
  <mergeCells count="1">
    <mergeCell ref="A1:J1"/>
  </mergeCells>
  <conditionalFormatting sqref="E3:F122">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"Low"</formula>
    </cfRule>
  </conditionalFormatting>
  <dataValidations count="3">
    <dataValidation allowBlank="true" errorStyle="stop" operator="between" showDropDown="false" showErrorMessage="false" showInputMessage="false" sqref="C3:C122" type="list">
      <formula1>"Change Fatigue,Competing Initiative,Prior Pushback,Capacity Constraint,Leadership Gap,Other"</formula1>
      <formula2>0</formula2>
    </dataValidation>
    <dataValidation allowBlank="true" errorStyle="stop" operator="between" showDropDown="false" showErrorMessage="false" showInputMessage="false" sqref="E3:F122" type="list">
      <formula1>"High,Medium,Low"</formula1>
      <formula2>0</formula2>
    </dataValidation>
    <dataValidation allowBlank="true" errorStyle="stop" operator="between" showDropDown="false" showErrorMessage="false" showInputMessage="false" sqref="J3:J122" type="list">
      <formula1>"Open,Mitigating,Closed"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38"/>
    <col collapsed="false" customWidth="true" hidden="false" outlineLevel="0" max="4" min="4" style="1" width="32"/>
    <col collapsed="false" customWidth="true" hidden="false" outlineLevel="0" max="5" min="5" style="1" width="36"/>
    <col collapsed="false" customWidth="true" hidden="false" outlineLevel="0" max="6" min="6" style="1" width="13"/>
  </cols>
  <sheetData>
    <row r="1" customFormat="false" ht="25.5" hidden="false" customHeight="true" outlineLevel="0" collapsed="false">
      <c r="A1" s="2" t="s">
        <v>174</v>
      </c>
      <c r="B1" s="2"/>
      <c r="C1" s="2"/>
      <c r="D1" s="2"/>
      <c r="E1" s="2"/>
      <c r="F1" s="2"/>
    </row>
    <row r="2" customFormat="false" ht="30" hidden="false" customHeight="true" outlineLevel="0" collapsed="false">
      <c r="A2" s="7" t="s">
        <v>103</v>
      </c>
      <c r="B2" s="7" t="s">
        <v>104</v>
      </c>
      <c r="C2" s="7" t="s">
        <v>175</v>
      </c>
      <c r="D2" s="7" t="s">
        <v>176</v>
      </c>
      <c r="E2" s="7" t="s">
        <v>177</v>
      </c>
      <c r="F2" s="7" t="s">
        <v>178</v>
      </c>
    </row>
    <row r="3" customFormat="false" ht="23.25" hidden="false" customHeight="true" outlineLevel="0" collapsed="false">
      <c r="A3" s="9" t="s">
        <v>123</v>
      </c>
      <c r="B3" s="9" t="s">
        <v>124</v>
      </c>
      <c r="C3" s="9" t="s">
        <v>179</v>
      </c>
      <c r="D3" s="9" t="s">
        <v>180</v>
      </c>
      <c r="E3" s="9" t="s">
        <v>181</v>
      </c>
      <c r="F3" s="11" t="str">
        <f aca="false">IF(A3="","",IF(OR(C3="",D3="",E3=""),"Gap","Complete"))</f>
        <v>Complete</v>
      </c>
    </row>
    <row r="4" customFormat="false" ht="15" hidden="false" customHeight="true" outlineLevel="0" collapsed="false">
      <c r="A4" s="4"/>
      <c r="B4" s="4"/>
      <c r="C4" s="4"/>
      <c r="D4" s="4"/>
      <c r="E4" s="4"/>
      <c r="F4" s="12" t="str">
        <f aca="false">IF(A4="","",IF(OR(C4="",D4="",E4=""),"Gap","Complete"))</f>
        <v/>
      </c>
    </row>
    <row r="5" customFormat="false" ht="15" hidden="false" customHeight="true" outlineLevel="0" collapsed="false">
      <c r="A5" s="4"/>
      <c r="B5" s="4"/>
      <c r="C5" s="4"/>
      <c r="D5" s="4"/>
      <c r="E5" s="4"/>
      <c r="F5" s="12" t="str">
        <f aca="false">IF(A5="","",IF(OR(C5="",D5="",E5=""),"Gap","Complete"))</f>
        <v/>
      </c>
    </row>
    <row r="6" customFormat="false" ht="15" hidden="false" customHeight="true" outlineLevel="0" collapsed="false">
      <c r="A6" s="4"/>
      <c r="B6" s="4"/>
      <c r="C6" s="4"/>
      <c r="D6" s="4"/>
      <c r="E6" s="4"/>
      <c r="F6" s="12" t="str">
        <f aca="false">IF(A6="","",IF(OR(C6="",D6="",E6=""),"Gap","Complete"))</f>
        <v/>
      </c>
    </row>
    <row r="7" customFormat="false" ht="15" hidden="false" customHeight="true" outlineLevel="0" collapsed="false">
      <c r="A7" s="4"/>
      <c r="B7" s="4"/>
      <c r="C7" s="4"/>
      <c r="D7" s="4"/>
      <c r="E7" s="4"/>
      <c r="F7" s="12" t="str">
        <f aca="false">IF(A7="","",IF(OR(C7="",D7="",E7=""),"Gap","Complete"))</f>
        <v/>
      </c>
    </row>
    <row r="8" customFormat="false" ht="15" hidden="false" customHeight="true" outlineLevel="0" collapsed="false">
      <c r="A8" s="4"/>
      <c r="B8" s="4"/>
      <c r="C8" s="4"/>
      <c r="D8" s="4"/>
      <c r="E8" s="4"/>
      <c r="F8" s="12" t="str">
        <f aca="false">IF(A8="","",IF(OR(C8="",D8="",E8=""),"Gap","Complete"))</f>
        <v/>
      </c>
    </row>
    <row r="9" customFormat="false" ht="15" hidden="false" customHeight="true" outlineLevel="0" collapsed="false">
      <c r="A9" s="4"/>
      <c r="B9" s="4"/>
      <c r="C9" s="4"/>
      <c r="D9" s="4"/>
      <c r="E9" s="4"/>
      <c r="F9" s="12" t="str">
        <f aca="false">IF(A9="","",IF(OR(C9="",D9="",E9=""),"Gap","Complete"))</f>
        <v/>
      </c>
    </row>
    <row r="10" customFormat="false" ht="15" hidden="false" customHeight="true" outlineLevel="0" collapsed="false">
      <c r="A10" s="4"/>
      <c r="B10" s="4"/>
      <c r="C10" s="4"/>
      <c r="D10" s="4"/>
      <c r="E10" s="4"/>
      <c r="F10" s="12" t="str">
        <f aca="false">IF(A10="","",IF(OR(C10="",D10="",E10=""),"Gap","Complete"))</f>
        <v/>
      </c>
    </row>
    <row r="11" customFormat="false" ht="15" hidden="false" customHeight="true" outlineLevel="0" collapsed="false">
      <c r="A11" s="4"/>
      <c r="B11" s="4"/>
      <c r="C11" s="4"/>
      <c r="D11" s="4"/>
      <c r="E11" s="4"/>
      <c r="F11" s="12" t="str">
        <f aca="false">IF(A11="","",IF(OR(C11="",D11="",E11=""),"Gap","Complete"))</f>
        <v/>
      </c>
    </row>
    <row r="12" customFormat="false" ht="15" hidden="false" customHeight="true" outlineLevel="0" collapsed="false">
      <c r="A12" s="4"/>
      <c r="B12" s="4"/>
      <c r="C12" s="4"/>
      <c r="D12" s="4"/>
      <c r="E12" s="4"/>
      <c r="F12" s="12" t="str">
        <f aca="false">IF(A12="","",IF(OR(C12="",D12="",E12=""),"Gap","Complete"))</f>
        <v/>
      </c>
    </row>
    <row r="13" customFormat="false" ht="15" hidden="false" customHeight="true" outlineLevel="0" collapsed="false">
      <c r="A13" s="4"/>
      <c r="B13" s="4"/>
      <c r="C13" s="4"/>
      <c r="D13" s="4"/>
      <c r="E13" s="4"/>
      <c r="F13" s="12" t="str">
        <f aca="false">IF(A13="","",IF(OR(C13="",D13="",E13=""),"Gap","Complete"))</f>
        <v/>
      </c>
    </row>
    <row r="14" customFormat="false" ht="15" hidden="false" customHeight="true" outlineLevel="0" collapsed="false">
      <c r="A14" s="4"/>
      <c r="B14" s="4"/>
      <c r="C14" s="4"/>
      <c r="D14" s="4"/>
      <c r="E14" s="4"/>
      <c r="F14" s="12" t="str">
        <f aca="false">IF(A14="","",IF(OR(C14="",D14="",E14=""),"Gap","Complete"))</f>
        <v/>
      </c>
    </row>
    <row r="15" customFormat="false" ht="15" hidden="false" customHeight="true" outlineLevel="0" collapsed="false">
      <c r="A15" s="4"/>
      <c r="B15" s="4"/>
      <c r="C15" s="4"/>
      <c r="D15" s="4"/>
      <c r="E15" s="4"/>
      <c r="F15" s="12" t="str">
        <f aca="false">IF(A15="","",IF(OR(C15="",D15="",E15=""),"Gap","Complete"))</f>
        <v/>
      </c>
    </row>
    <row r="16" customFormat="false" ht="15" hidden="false" customHeight="true" outlineLevel="0" collapsed="false">
      <c r="A16" s="4"/>
      <c r="B16" s="4"/>
      <c r="C16" s="4"/>
      <c r="D16" s="4"/>
      <c r="E16" s="4"/>
      <c r="F16" s="12" t="str">
        <f aca="false">IF(A16="","",IF(OR(C16="",D16="",E16=""),"Gap","Complete"))</f>
        <v/>
      </c>
    </row>
    <row r="17" customFormat="false" ht="15" hidden="false" customHeight="true" outlineLevel="0" collapsed="false">
      <c r="A17" s="4"/>
      <c r="B17" s="4"/>
      <c r="C17" s="4"/>
      <c r="D17" s="4"/>
      <c r="E17" s="4"/>
      <c r="F17" s="12" t="str">
        <f aca="false">IF(A17="","",IF(OR(C17="",D17="",E17=""),"Gap","Complete"))</f>
        <v/>
      </c>
    </row>
    <row r="18" customFormat="false" ht="15" hidden="false" customHeight="true" outlineLevel="0" collapsed="false">
      <c r="A18" s="4"/>
      <c r="B18" s="4"/>
      <c r="C18" s="4"/>
      <c r="D18" s="4"/>
      <c r="E18" s="4"/>
      <c r="F18" s="12" t="str">
        <f aca="false">IF(A18="","",IF(OR(C18="",D18="",E18=""),"Gap","Complete"))</f>
        <v/>
      </c>
    </row>
    <row r="19" customFormat="false" ht="15" hidden="false" customHeight="true" outlineLevel="0" collapsed="false">
      <c r="A19" s="4"/>
      <c r="B19" s="4"/>
      <c r="C19" s="4"/>
      <c r="D19" s="4"/>
      <c r="E19" s="4"/>
      <c r="F19" s="12" t="str">
        <f aca="false">IF(A19="","",IF(OR(C19="",D19="",E19=""),"Gap","Complete"))</f>
        <v/>
      </c>
    </row>
    <row r="20" customFormat="false" ht="15" hidden="false" customHeight="true" outlineLevel="0" collapsed="false">
      <c r="A20" s="4"/>
      <c r="B20" s="4"/>
      <c r="C20" s="4"/>
      <c r="D20" s="4"/>
      <c r="E20" s="4"/>
      <c r="F20" s="12" t="str">
        <f aca="false">IF(A20="","",IF(OR(C20="",D20="",E20=""),"Gap","Complete"))</f>
        <v/>
      </c>
    </row>
    <row r="21" customFormat="false" ht="15" hidden="false" customHeight="true" outlineLevel="0" collapsed="false">
      <c r="A21" s="4"/>
      <c r="B21" s="4"/>
      <c r="C21" s="4"/>
      <c r="D21" s="4"/>
      <c r="E21" s="4"/>
      <c r="F21" s="12" t="str">
        <f aca="false">IF(A21="","",IF(OR(C21="",D21="",E21=""),"Gap","Complete"))</f>
        <v/>
      </c>
    </row>
    <row r="22" customFormat="false" ht="15" hidden="false" customHeight="true" outlineLevel="0" collapsed="false">
      <c r="A22" s="4"/>
      <c r="B22" s="4"/>
      <c r="C22" s="4"/>
      <c r="D22" s="4"/>
      <c r="E22" s="4"/>
      <c r="F22" s="12" t="str">
        <f aca="false">IF(A22="","",IF(OR(C22="",D22="",E22=""),"Gap","Complete"))</f>
        <v/>
      </c>
    </row>
    <row r="23" customFormat="false" ht="15" hidden="false" customHeight="true" outlineLevel="0" collapsed="false">
      <c r="A23" s="4"/>
      <c r="B23" s="4"/>
      <c r="C23" s="4"/>
      <c r="D23" s="4"/>
      <c r="E23" s="4"/>
      <c r="F23" s="12" t="str">
        <f aca="false">IF(A23="","",IF(OR(C23="",D23="",E23=""),"Gap","Complete"))</f>
        <v/>
      </c>
    </row>
    <row r="24" customFormat="false" ht="15" hidden="false" customHeight="true" outlineLevel="0" collapsed="false">
      <c r="A24" s="4"/>
      <c r="B24" s="4"/>
      <c r="C24" s="4"/>
      <c r="D24" s="4"/>
      <c r="E24" s="4"/>
      <c r="F24" s="12" t="str">
        <f aca="false">IF(A24="","",IF(OR(C24="",D24="",E24=""),"Gap","Complete"))</f>
        <v/>
      </c>
    </row>
    <row r="25" customFormat="false" ht="15" hidden="false" customHeight="true" outlineLevel="0" collapsed="false">
      <c r="A25" s="4"/>
      <c r="B25" s="4"/>
      <c r="C25" s="4"/>
      <c r="D25" s="4"/>
      <c r="E25" s="4"/>
      <c r="F25" s="12" t="str">
        <f aca="false">IF(A25="","",IF(OR(C25="",D25="",E25=""),"Gap","Complete"))</f>
        <v/>
      </c>
    </row>
    <row r="26" customFormat="false" ht="15" hidden="false" customHeight="true" outlineLevel="0" collapsed="false">
      <c r="A26" s="4"/>
      <c r="B26" s="4"/>
      <c r="C26" s="4"/>
      <c r="D26" s="4"/>
      <c r="E26" s="4"/>
      <c r="F26" s="12" t="str">
        <f aca="false">IF(A26="","",IF(OR(C26="",D26="",E26=""),"Gap","Complete"))</f>
        <v/>
      </c>
    </row>
    <row r="27" customFormat="false" ht="15" hidden="false" customHeight="true" outlineLevel="0" collapsed="false">
      <c r="A27" s="4"/>
      <c r="B27" s="4"/>
      <c r="C27" s="4"/>
      <c r="D27" s="4"/>
      <c r="E27" s="4"/>
      <c r="F27" s="12" t="str">
        <f aca="false">IF(A27="","",IF(OR(C27="",D27="",E27=""),"Gap","Complete"))</f>
        <v/>
      </c>
    </row>
    <row r="28" customFormat="false" ht="15" hidden="false" customHeight="true" outlineLevel="0" collapsed="false">
      <c r="A28" s="4"/>
      <c r="B28" s="4"/>
      <c r="C28" s="4"/>
      <c r="D28" s="4"/>
      <c r="E28" s="4"/>
      <c r="F28" s="12" t="str">
        <f aca="false">IF(A28="","",IF(OR(C28="",D28="",E28=""),"Gap","Complete"))</f>
        <v/>
      </c>
    </row>
    <row r="29" customFormat="false" ht="15" hidden="false" customHeight="true" outlineLevel="0" collapsed="false">
      <c r="A29" s="4"/>
      <c r="B29" s="4"/>
      <c r="C29" s="4"/>
      <c r="D29" s="4"/>
      <c r="E29" s="4"/>
      <c r="F29" s="12" t="str">
        <f aca="false">IF(A29="","",IF(OR(C29="",D29="",E29=""),"Gap","Complete"))</f>
        <v/>
      </c>
    </row>
    <row r="30" customFormat="false" ht="15" hidden="false" customHeight="true" outlineLevel="0" collapsed="false">
      <c r="A30" s="4"/>
      <c r="B30" s="4"/>
      <c r="C30" s="4"/>
      <c r="D30" s="4"/>
      <c r="E30" s="4"/>
      <c r="F30" s="12" t="str">
        <f aca="false">IF(A30="","",IF(OR(C30="",D30="",E30=""),"Gap","Complete"))</f>
        <v/>
      </c>
    </row>
    <row r="31" customFormat="false" ht="15" hidden="false" customHeight="true" outlineLevel="0" collapsed="false">
      <c r="A31" s="4"/>
      <c r="B31" s="4"/>
      <c r="C31" s="4"/>
      <c r="D31" s="4"/>
      <c r="E31" s="4"/>
      <c r="F31" s="12" t="str">
        <f aca="false">IF(A31="","",IF(OR(C31="",D31="",E31=""),"Gap","Complete"))</f>
        <v/>
      </c>
    </row>
    <row r="32" customFormat="false" ht="15" hidden="false" customHeight="true" outlineLevel="0" collapsed="false">
      <c r="A32" s="4"/>
      <c r="B32" s="4"/>
      <c r="C32" s="4"/>
      <c r="D32" s="4"/>
      <c r="E32" s="4"/>
      <c r="F32" s="12" t="str">
        <f aca="false">IF(A32="","",IF(OR(C32="",D32="",E32=""),"Gap","Complete"))</f>
        <v/>
      </c>
    </row>
    <row r="33" customFormat="false" ht="15" hidden="false" customHeight="true" outlineLevel="0" collapsed="false">
      <c r="A33" s="4"/>
      <c r="B33" s="4"/>
      <c r="C33" s="4"/>
      <c r="D33" s="4"/>
      <c r="E33" s="4"/>
      <c r="F33" s="12" t="str">
        <f aca="false">IF(A33="","",IF(OR(C33="",D33="",E33=""),"Gap","Complete"))</f>
        <v/>
      </c>
    </row>
    <row r="34" customFormat="false" ht="15" hidden="false" customHeight="true" outlineLevel="0" collapsed="false">
      <c r="A34" s="4"/>
      <c r="B34" s="4"/>
      <c r="C34" s="4"/>
      <c r="D34" s="4"/>
      <c r="E34" s="4"/>
      <c r="F34" s="12" t="str">
        <f aca="false">IF(A34="","",IF(OR(C34="",D34="",E34=""),"Gap","Complete"))</f>
        <v/>
      </c>
    </row>
    <row r="35" customFormat="false" ht="15" hidden="false" customHeight="true" outlineLevel="0" collapsed="false">
      <c r="A35" s="4"/>
      <c r="B35" s="4"/>
      <c r="C35" s="4"/>
      <c r="D35" s="4"/>
      <c r="E35" s="4"/>
      <c r="F35" s="12" t="str">
        <f aca="false">IF(A35="","",IF(OR(C35="",D35="",E35=""),"Gap","Complete"))</f>
        <v/>
      </c>
    </row>
    <row r="36" customFormat="false" ht="15" hidden="false" customHeight="true" outlineLevel="0" collapsed="false">
      <c r="A36" s="4"/>
      <c r="B36" s="4"/>
      <c r="C36" s="4"/>
      <c r="D36" s="4"/>
      <c r="E36" s="4"/>
      <c r="F36" s="12" t="str">
        <f aca="false">IF(A36="","",IF(OR(C36="",D36="",E36=""),"Gap","Complete"))</f>
        <v/>
      </c>
    </row>
    <row r="37" customFormat="false" ht="15" hidden="false" customHeight="true" outlineLevel="0" collapsed="false">
      <c r="A37" s="4"/>
      <c r="B37" s="4"/>
      <c r="C37" s="4"/>
      <c r="D37" s="4"/>
      <c r="E37" s="4"/>
      <c r="F37" s="12" t="str">
        <f aca="false">IF(A37="","",IF(OR(C37="",D37="",E37=""),"Gap","Complete"))</f>
        <v/>
      </c>
    </row>
    <row r="38" customFormat="false" ht="15" hidden="false" customHeight="true" outlineLevel="0" collapsed="false">
      <c r="A38" s="4"/>
      <c r="B38" s="4"/>
      <c r="C38" s="4"/>
      <c r="D38" s="4"/>
      <c r="E38" s="4"/>
      <c r="F38" s="12" t="str">
        <f aca="false">IF(A38="","",IF(OR(C38="",D38="",E38=""),"Gap","Complete"))</f>
        <v/>
      </c>
    </row>
    <row r="39" customFormat="false" ht="15" hidden="false" customHeight="true" outlineLevel="0" collapsed="false">
      <c r="A39" s="4"/>
      <c r="B39" s="4"/>
      <c r="C39" s="4"/>
      <c r="D39" s="4"/>
      <c r="E39" s="4"/>
      <c r="F39" s="12" t="str">
        <f aca="false">IF(A39="","",IF(OR(C39="",D39="",E39=""),"Gap","Complete"))</f>
        <v/>
      </c>
    </row>
    <row r="40" customFormat="false" ht="15" hidden="false" customHeight="true" outlineLevel="0" collapsed="false">
      <c r="A40" s="4"/>
      <c r="B40" s="4"/>
      <c r="C40" s="4"/>
      <c r="D40" s="4"/>
      <c r="E40" s="4"/>
      <c r="F40" s="12" t="str">
        <f aca="false">IF(A40="","",IF(OR(C40="",D40="",E40=""),"Gap","Complete"))</f>
        <v/>
      </c>
    </row>
    <row r="41" customFormat="false" ht="15" hidden="false" customHeight="true" outlineLevel="0" collapsed="false">
      <c r="A41" s="4"/>
      <c r="B41" s="4"/>
      <c r="C41" s="4"/>
      <c r="D41" s="4"/>
      <c r="E41" s="4"/>
      <c r="F41" s="12" t="str">
        <f aca="false">IF(A41="","",IF(OR(C41="",D41="",E41=""),"Gap","Complete"))</f>
        <v/>
      </c>
    </row>
    <row r="42" customFormat="false" ht="15" hidden="false" customHeight="true" outlineLevel="0" collapsed="false">
      <c r="A42" s="4"/>
      <c r="B42" s="4"/>
      <c r="C42" s="4"/>
      <c r="D42" s="4"/>
      <c r="E42" s="4"/>
      <c r="F42" s="12" t="str">
        <f aca="false">IF(A42="","",IF(OR(C42="",D42="",E42=""),"Gap","Complete"))</f>
        <v/>
      </c>
    </row>
    <row r="43" customFormat="false" ht="15" hidden="false" customHeight="true" outlineLevel="0" collapsed="false">
      <c r="A43" s="4"/>
      <c r="B43" s="4"/>
      <c r="C43" s="4"/>
      <c r="D43" s="4"/>
      <c r="E43" s="4"/>
      <c r="F43" s="12" t="str">
        <f aca="false">IF(A43="","",IF(OR(C43="",D43="",E43=""),"Gap","Complete"))</f>
        <v/>
      </c>
    </row>
    <row r="44" customFormat="false" ht="15" hidden="false" customHeight="true" outlineLevel="0" collapsed="false">
      <c r="A44" s="4"/>
      <c r="B44" s="4"/>
      <c r="C44" s="4"/>
      <c r="D44" s="4"/>
      <c r="E44" s="4"/>
      <c r="F44" s="12" t="str">
        <f aca="false">IF(A44="","",IF(OR(C44="",D44="",E44=""),"Gap","Complete"))</f>
        <v/>
      </c>
    </row>
    <row r="45" customFormat="false" ht="15" hidden="false" customHeight="true" outlineLevel="0" collapsed="false">
      <c r="A45" s="4"/>
      <c r="B45" s="4"/>
      <c r="C45" s="4"/>
      <c r="D45" s="4"/>
      <c r="E45" s="4"/>
      <c r="F45" s="12" t="str">
        <f aca="false">IF(A45="","",IF(OR(C45="",D45="",E45=""),"Gap","Complete"))</f>
        <v/>
      </c>
    </row>
    <row r="46" customFormat="false" ht="15" hidden="false" customHeight="true" outlineLevel="0" collapsed="false">
      <c r="A46" s="4"/>
      <c r="B46" s="4"/>
      <c r="C46" s="4"/>
      <c r="D46" s="4"/>
      <c r="E46" s="4"/>
      <c r="F46" s="12" t="str">
        <f aca="false">IF(A46="","",IF(OR(C46="",D46="",E46=""),"Gap","Complete"))</f>
        <v/>
      </c>
    </row>
    <row r="47" customFormat="false" ht="15" hidden="false" customHeight="true" outlineLevel="0" collapsed="false">
      <c r="A47" s="4"/>
      <c r="B47" s="4"/>
      <c r="C47" s="4"/>
      <c r="D47" s="4"/>
      <c r="E47" s="4"/>
      <c r="F47" s="12" t="str">
        <f aca="false">IF(A47="","",IF(OR(C47="",D47="",E47=""),"Gap","Complete"))</f>
        <v/>
      </c>
    </row>
    <row r="48" customFormat="false" ht="15" hidden="false" customHeight="true" outlineLevel="0" collapsed="false">
      <c r="A48" s="4"/>
      <c r="B48" s="4"/>
      <c r="C48" s="4"/>
      <c r="D48" s="4"/>
      <c r="E48" s="4"/>
      <c r="F48" s="12" t="str">
        <f aca="false">IF(A48="","",IF(OR(C48="",D48="",E48=""),"Gap","Complete"))</f>
        <v/>
      </c>
    </row>
    <row r="49" customFormat="false" ht="15" hidden="false" customHeight="true" outlineLevel="0" collapsed="false">
      <c r="A49" s="4"/>
      <c r="B49" s="4"/>
      <c r="C49" s="4"/>
      <c r="D49" s="4"/>
      <c r="E49" s="4"/>
      <c r="F49" s="12" t="str">
        <f aca="false">IF(A49="","",IF(OR(C49="",D49="",E49=""),"Gap","Complete"))</f>
        <v/>
      </c>
    </row>
    <row r="50" customFormat="false" ht="15" hidden="false" customHeight="true" outlineLevel="0" collapsed="false">
      <c r="A50" s="4"/>
      <c r="B50" s="4"/>
      <c r="C50" s="4"/>
      <c r="D50" s="4"/>
      <c r="E50" s="4"/>
      <c r="F50" s="12" t="str">
        <f aca="false">IF(A50="","",IF(OR(C50="",D50="",E50=""),"Gap","Complete"))</f>
        <v/>
      </c>
    </row>
    <row r="51" customFormat="false" ht="15" hidden="false" customHeight="true" outlineLevel="0" collapsed="false">
      <c r="A51" s="4"/>
      <c r="B51" s="4"/>
      <c r="C51" s="4"/>
      <c r="D51" s="4"/>
      <c r="E51" s="4"/>
      <c r="F51" s="12" t="str">
        <f aca="false">IF(A51="","",IF(OR(C51="",D51="",E51=""),"Gap","Complete"))</f>
        <v/>
      </c>
    </row>
    <row r="52" customFormat="false" ht="15" hidden="false" customHeight="true" outlineLevel="0" collapsed="false">
      <c r="A52" s="4"/>
      <c r="B52" s="4"/>
      <c r="C52" s="4"/>
      <c r="D52" s="4"/>
      <c r="E52" s="4"/>
      <c r="F52" s="12" t="str">
        <f aca="false">IF(A52="","",IF(OR(C52="",D52="",E52=""),"Gap","Complete"))</f>
        <v/>
      </c>
    </row>
    <row r="53" customFormat="false" ht="15" hidden="false" customHeight="true" outlineLevel="0" collapsed="false">
      <c r="A53" s="4"/>
      <c r="B53" s="4"/>
      <c r="C53" s="4"/>
      <c r="D53" s="4"/>
      <c r="E53" s="4"/>
      <c r="F53" s="12" t="str">
        <f aca="false">IF(A53="","",IF(OR(C53="",D53="",E53=""),"Gap","Complete"))</f>
        <v/>
      </c>
    </row>
    <row r="54" customFormat="false" ht="15" hidden="false" customHeight="true" outlineLevel="0" collapsed="false">
      <c r="A54" s="4"/>
      <c r="B54" s="4"/>
      <c r="C54" s="4"/>
      <c r="D54" s="4"/>
      <c r="E54" s="4"/>
      <c r="F54" s="12" t="str">
        <f aca="false">IF(A54="","",IF(OR(C54="",D54="",E54=""),"Gap","Complete"))</f>
        <v/>
      </c>
    </row>
    <row r="55" customFormat="false" ht="15" hidden="false" customHeight="true" outlineLevel="0" collapsed="false">
      <c r="A55" s="4"/>
      <c r="B55" s="4"/>
      <c r="C55" s="4"/>
      <c r="D55" s="4"/>
      <c r="E55" s="4"/>
      <c r="F55" s="12" t="str">
        <f aca="false">IF(A55="","",IF(OR(C55="",D55="",E55=""),"Gap","Complete"))</f>
        <v/>
      </c>
    </row>
    <row r="56" customFormat="false" ht="15" hidden="false" customHeight="true" outlineLevel="0" collapsed="false">
      <c r="A56" s="4"/>
      <c r="B56" s="4"/>
      <c r="C56" s="4"/>
      <c r="D56" s="4"/>
      <c r="E56" s="4"/>
      <c r="F56" s="12" t="str">
        <f aca="false">IF(A56="","",IF(OR(C56="",D56="",E56=""),"Gap","Complete"))</f>
        <v/>
      </c>
    </row>
    <row r="57" customFormat="false" ht="15" hidden="false" customHeight="true" outlineLevel="0" collapsed="false">
      <c r="A57" s="4"/>
      <c r="B57" s="4"/>
      <c r="C57" s="4"/>
      <c r="D57" s="4"/>
      <c r="E57" s="4"/>
      <c r="F57" s="12" t="str">
        <f aca="false">IF(A57="","",IF(OR(C57="",D57="",E57=""),"Gap","Complete"))</f>
        <v/>
      </c>
    </row>
    <row r="58" customFormat="false" ht="15" hidden="false" customHeight="true" outlineLevel="0" collapsed="false">
      <c r="A58" s="4"/>
      <c r="B58" s="4"/>
      <c r="C58" s="4"/>
      <c r="D58" s="4"/>
      <c r="E58" s="4"/>
      <c r="F58" s="12" t="str">
        <f aca="false">IF(A58="","",IF(OR(C58="",D58="",E58=""),"Gap","Complete"))</f>
        <v/>
      </c>
    </row>
    <row r="59" customFormat="false" ht="15" hidden="false" customHeight="true" outlineLevel="0" collapsed="false">
      <c r="A59" s="4"/>
      <c r="B59" s="4"/>
      <c r="C59" s="4"/>
      <c r="D59" s="4"/>
      <c r="E59" s="4"/>
      <c r="F59" s="12" t="str">
        <f aca="false">IF(A59="","",IF(OR(C59="",D59="",E59=""),"Gap","Complete"))</f>
        <v/>
      </c>
    </row>
    <row r="60" customFormat="false" ht="15" hidden="false" customHeight="true" outlineLevel="0" collapsed="false">
      <c r="A60" s="4"/>
      <c r="B60" s="4"/>
      <c r="C60" s="4"/>
      <c r="D60" s="4"/>
      <c r="E60" s="4"/>
      <c r="F60" s="12" t="str">
        <f aca="false">IF(A60="","",IF(OR(C60="",D60="",E60=""),"Gap","Complete"))</f>
        <v/>
      </c>
    </row>
    <row r="61" customFormat="false" ht="15" hidden="false" customHeight="true" outlineLevel="0" collapsed="false">
      <c r="A61" s="4"/>
      <c r="B61" s="4"/>
      <c r="C61" s="4"/>
      <c r="D61" s="4"/>
      <c r="E61" s="4"/>
      <c r="F61" s="12" t="str">
        <f aca="false">IF(A61="","",IF(OR(C61="",D61="",E61=""),"Gap","Complete"))</f>
        <v/>
      </c>
    </row>
    <row r="62" customFormat="false" ht="15" hidden="false" customHeight="true" outlineLevel="0" collapsed="false">
      <c r="A62" s="4"/>
      <c r="B62" s="4"/>
      <c r="C62" s="4"/>
      <c r="D62" s="4"/>
      <c r="E62" s="4"/>
      <c r="F62" s="12" t="str">
        <f aca="false">IF(A62="","",IF(OR(C62="",D62="",E62=""),"Gap","Complete"))</f>
        <v/>
      </c>
    </row>
    <row r="63" customFormat="false" ht="15" hidden="false" customHeight="true" outlineLevel="0" collapsed="false">
      <c r="A63" s="4"/>
      <c r="B63" s="4"/>
      <c r="C63" s="4"/>
      <c r="D63" s="4"/>
      <c r="E63" s="4"/>
      <c r="F63" s="12" t="str">
        <f aca="false">IF(A63="","",IF(OR(C63="",D63="",E63=""),"Gap","Complete"))</f>
        <v/>
      </c>
    </row>
    <row r="64" customFormat="false" ht="15" hidden="false" customHeight="true" outlineLevel="0" collapsed="false">
      <c r="A64" s="4"/>
      <c r="B64" s="4"/>
      <c r="C64" s="4"/>
      <c r="D64" s="4"/>
      <c r="E64" s="4"/>
      <c r="F64" s="12" t="str">
        <f aca="false">IF(A64="","",IF(OR(C64="",D64="",E64=""),"Gap","Complete"))</f>
        <v/>
      </c>
    </row>
    <row r="65" customFormat="false" ht="15" hidden="false" customHeight="true" outlineLevel="0" collapsed="false">
      <c r="A65" s="4"/>
      <c r="B65" s="4"/>
      <c r="C65" s="4"/>
      <c r="D65" s="4"/>
      <c r="E65" s="4"/>
      <c r="F65" s="12" t="str">
        <f aca="false">IF(A65="","",IF(OR(C65="",D65="",E65=""),"Gap","Complete"))</f>
        <v/>
      </c>
    </row>
    <row r="66" customFormat="false" ht="15" hidden="false" customHeight="true" outlineLevel="0" collapsed="false">
      <c r="A66" s="4"/>
      <c r="B66" s="4"/>
      <c r="C66" s="4"/>
      <c r="D66" s="4"/>
      <c r="E66" s="4"/>
      <c r="F66" s="12" t="str">
        <f aca="false">IF(A66="","",IF(OR(C66="",D66="",E66=""),"Gap","Complete"))</f>
        <v/>
      </c>
    </row>
    <row r="67" customFormat="false" ht="15" hidden="false" customHeight="true" outlineLevel="0" collapsed="false">
      <c r="A67" s="4"/>
      <c r="B67" s="4"/>
      <c r="C67" s="4"/>
      <c r="D67" s="4"/>
      <c r="E67" s="4"/>
      <c r="F67" s="12" t="str">
        <f aca="false">IF(A67="","",IF(OR(C67="",D67="",E67=""),"Gap","Complete"))</f>
        <v/>
      </c>
    </row>
    <row r="68" customFormat="false" ht="15" hidden="false" customHeight="true" outlineLevel="0" collapsed="false">
      <c r="A68" s="4"/>
      <c r="B68" s="4"/>
      <c r="C68" s="4"/>
      <c r="D68" s="4"/>
      <c r="E68" s="4"/>
      <c r="F68" s="12" t="str">
        <f aca="false">IF(A68="","",IF(OR(C68="",D68="",E68=""),"Gap","Complete"))</f>
        <v/>
      </c>
    </row>
    <row r="69" customFormat="false" ht="15" hidden="false" customHeight="true" outlineLevel="0" collapsed="false">
      <c r="A69" s="4"/>
      <c r="B69" s="4"/>
      <c r="C69" s="4"/>
      <c r="D69" s="4"/>
      <c r="E69" s="4"/>
      <c r="F69" s="12" t="str">
        <f aca="false">IF(A69="","",IF(OR(C69="",D69="",E69=""),"Gap","Complete"))</f>
        <v/>
      </c>
    </row>
    <row r="70" customFormat="false" ht="15" hidden="false" customHeight="true" outlineLevel="0" collapsed="false">
      <c r="A70" s="4"/>
      <c r="B70" s="4"/>
      <c r="C70" s="4"/>
      <c r="D70" s="4"/>
      <c r="E70" s="4"/>
      <c r="F70" s="12" t="str">
        <f aca="false">IF(A70="","",IF(OR(C70="",D70="",E70=""),"Gap","Complete"))</f>
        <v/>
      </c>
    </row>
    <row r="71" customFormat="false" ht="15" hidden="false" customHeight="true" outlineLevel="0" collapsed="false">
      <c r="A71" s="4"/>
      <c r="B71" s="4"/>
      <c r="C71" s="4"/>
      <c r="D71" s="4"/>
      <c r="E71" s="4"/>
      <c r="F71" s="12" t="str">
        <f aca="false">IF(A71="","",IF(OR(C71="",D71="",E71=""),"Gap","Complete"))</f>
        <v/>
      </c>
    </row>
    <row r="72" customFormat="false" ht="15" hidden="false" customHeight="true" outlineLevel="0" collapsed="false">
      <c r="A72" s="4"/>
      <c r="B72" s="4"/>
      <c r="C72" s="4"/>
      <c r="D72" s="4"/>
      <c r="E72" s="4"/>
      <c r="F72" s="12" t="str">
        <f aca="false">IF(A72="","",IF(OR(C72="",D72="",E72=""),"Gap","Complete"))</f>
        <v/>
      </c>
    </row>
    <row r="73" customFormat="false" ht="15" hidden="false" customHeight="true" outlineLevel="0" collapsed="false">
      <c r="A73" s="4"/>
      <c r="B73" s="4"/>
      <c r="C73" s="4"/>
      <c r="D73" s="4"/>
      <c r="E73" s="4"/>
      <c r="F73" s="12" t="str">
        <f aca="false">IF(A73="","",IF(OR(C73="",D73="",E73=""),"Gap","Complete"))</f>
        <v/>
      </c>
    </row>
    <row r="74" customFormat="false" ht="15" hidden="false" customHeight="true" outlineLevel="0" collapsed="false">
      <c r="A74" s="4"/>
      <c r="B74" s="4"/>
      <c r="C74" s="4"/>
      <c r="D74" s="4"/>
      <c r="E74" s="4"/>
      <c r="F74" s="12" t="str">
        <f aca="false">IF(A74="","",IF(OR(C74="",D74="",E74=""),"Gap","Complete"))</f>
        <v/>
      </c>
    </row>
    <row r="75" customFormat="false" ht="15" hidden="false" customHeight="true" outlineLevel="0" collapsed="false">
      <c r="A75" s="4"/>
      <c r="B75" s="4"/>
      <c r="C75" s="4"/>
      <c r="D75" s="4"/>
      <c r="E75" s="4"/>
      <c r="F75" s="12" t="str">
        <f aca="false">IF(A75="","",IF(OR(C75="",D75="",E75=""),"Gap","Complete"))</f>
        <v/>
      </c>
    </row>
    <row r="76" customFormat="false" ht="15" hidden="false" customHeight="true" outlineLevel="0" collapsed="false">
      <c r="A76" s="4"/>
      <c r="B76" s="4"/>
      <c r="C76" s="4"/>
      <c r="D76" s="4"/>
      <c r="E76" s="4"/>
      <c r="F76" s="12" t="str">
        <f aca="false">IF(A76="","",IF(OR(C76="",D76="",E76=""),"Gap","Complete"))</f>
        <v/>
      </c>
    </row>
    <row r="77" customFormat="false" ht="15" hidden="false" customHeight="true" outlineLevel="0" collapsed="false">
      <c r="A77" s="4"/>
      <c r="B77" s="4"/>
      <c r="C77" s="4"/>
      <c r="D77" s="4"/>
      <c r="E77" s="4"/>
      <c r="F77" s="12" t="str">
        <f aca="false">IF(A77="","",IF(OR(C77="",D77="",E77=""),"Gap","Complete"))</f>
        <v/>
      </c>
    </row>
    <row r="78" customFormat="false" ht="15" hidden="false" customHeight="true" outlineLevel="0" collapsed="false">
      <c r="A78" s="4"/>
      <c r="B78" s="4"/>
      <c r="C78" s="4"/>
      <c r="D78" s="4"/>
      <c r="E78" s="4"/>
      <c r="F78" s="12" t="str">
        <f aca="false">IF(A78="","",IF(OR(C78="",D78="",E78=""),"Gap","Complete"))</f>
        <v/>
      </c>
    </row>
    <row r="79" customFormat="false" ht="15" hidden="false" customHeight="true" outlineLevel="0" collapsed="false">
      <c r="A79" s="4"/>
      <c r="B79" s="4"/>
      <c r="C79" s="4"/>
      <c r="D79" s="4"/>
      <c r="E79" s="4"/>
      <c r="F79" s="12" t="str">
        <f aca="false">IF(A79="","",IF(OR(C79="",D79="",E79=""),"Gap","Complete"))</f>
        <v/>
      </c>
    </row>
    <row r="80" customFormat="false" ht="15" hidden="false" customHeight="true" outlineLevel="0" collapsed="false">
      <c r="A80" s="4"/>
      <c r="B80" s="4"/>
      <c r="C80" s="4"/>
      <c r="D80" s="4"/>
      <c r="E80" s="4"/>
      <c r="F80" s="12" t="str">
        <f aca="false">IF(A80="","",IF(OR(C80="",D80="",E80=""),"Gap","Complete"))</f>
        <v/>
      </c>
    </row>
    <row r="81" customFormat="false" ht="15" hidden="false" customHeight="true" outlineLevel="0" collapsed="false">
      <c r="A81" s="4"/>
      <c r="B81" s="4"/>
      <c r="C81" s="4"/>
      <c r="D81" s="4"/>
      <c r="E81" s="4"/>
      <c r="F81" s="12" t="str">
        <f aca="false">IF(A81="","",IF(OR(C81="",D81="",E81=""),"Gap","Complete"))</f>
        <v/>
      </c>
    </row>
    <row r="82" customFormat="false" ht="15" hidden="false" customHeight="true" outlineLevel="0" collapsed="false">
      <c r="A82" s="4"/>
      <c r="B82" s="4"/>
      <c r="C82" s="4"/>
      <c r="D82" s="4"/>
      <c r="E82" s="4"/>
      <c r="F82" s="12" t="str">
        <f aca="false">IF(A82="","",IF(OR(C82="",D82="",E82=""),"Gap","Complete"))</f>
        <v/>
      </c>
    </row>
    <row r="83" customFormat="false" ht="15" hidden="false" customHeight="true" outlineLevel="0" collapsed="false">
      <c r="A83" s="4"/>
      <c r="B83" s="4"/>
      <c r="C83" s="4"/>
      <c r="D83" s="4"/>
      <c r="E83" s="4"/>
      <c r="F83" s="12" t="str">
        <f aca="false">IF(A83="","",IF(OR(C83="",D83="",E83=""),"Gap","Complete"))</f>
        <v/>
      </c>
    </row>
    <row r="84" customFormat="false" ht="15" hidden="false" customHeight="true" outlineLevel="0" collapsed="false">
      <c r="A84" s="4"/>
      <c r="B84" s="4"/>
      <c r="C84" s="4"/>
      <c r="D84" s="4"/>
      <c r="E84" s="4"/>
      <c r="F84" s="12" t="str">
        <f aca="false">IF(A84="","",IF(OR(C84="",D84="",E84=""),"Gap","Complete"))</f>
        <v/>
      </c>
    </row>
    <row r="85" customFormat="false" ht="15" hidden="false" customHeight="true" outlineLevel="0" collapsed="false">
      <c r="A85" s="4"/>
      <c r="B85" s="4"/>
      <c r="C85" s="4"/>
      <c r="D85" s="4"/>
      <c r="E85" s="4"/>
      <c r="F85" s="12" t="str">
        <f aca="false">IF(A85="","",IF(OR(C85="",D85="",E85=""),"Gap","Complete"))</f>
        <v/>
      </c>
    </row>
    <row r="86" customFormat="false" ht="15" hidden="false" customHeight="true" outlineLevel="0" collapsed="false">
      <c r="A86" s="4"/>
      <c r="B86" s="4"/>
      <c r="C86" s="4"/>
      <c r="D86" s="4"/>
      <c r="E86" s="4"/>
      <c r="F86" s="12" t="str">
        <f aca="false">IF(A86="","",IF(OR(C86="",D86="",E86=""),"Gap","Complete"))</f>
        <v/>
      </c>
    </row>
    <row r="87" customFormat="false" ht="15" hidden="false" customHeight="true" outlineLevel="0" collapsed="false">
      <c r="A87" s="4"/>
      <c r="B87" s="4"/>
      <c r="C87" s="4"/>
      <c r="D87" s="4"/>
      <c r="E87" s="4"/>
      <c r="F87" s="12" t="str">
        <f aca="false">IF(A87="","",IF(OR(C87="",D87="",E87=""),"Gap","Complete"))</f>
        <v/>
      </c>
    </row>
    <row r="88" customFormat="false" ht="15" hidden="false" customHeight="true" outlineLevel="0" collapsed="false">
      <c r="A88" s="4"/>
      <c r="B88" s="4"/>
      <c r="C88" s="4"/>
      <c r="D88" s="4"/>
      <c r="E88" s="4"/>
      <c r="F88" s="12" t="str">
        <f aca="false">IF(A88="","",IF(OR(C88="",D88="",E88=""),"Gap","Complete"))</f>
        <v/>
      </c>
    </row>
    <row r="89" customFormat="false" ht="15" hidden="false" customHeight="true" outlineLevel="0" collapsed="false">
      <c r="A89" s="4"/>
      <c r="B89" s="4"/>
      <c r="C89" s="4"/>
      <c r="D89" s="4"/>
      <c r="E89" s="4"/>
      <c r="F89" s="12" t="str">
        <f aca="false">IF(A89="","",IF(OR(C89="",D89="",E89=""),"Gap","Complete"))</f>
        <v/>
      </c>
    </row>
    <row r="90" customFormat="false" ht="15" hidden="false" customHeight="true" outlineLevel="0" collapsed="false">
      <c r="A90" s="4"/>
      <c r="B90" s="4"/>
      <c r="C90" s="4"/>
      <c r="D90" s="4"/>
      <c r="E90" s="4"/>
      <c r="F90" s="12" t="str">
        <f aca="false">IF(A90="","",IF(OR(C90="",D90="",E90=""),"Gap","Complete"))</f>
        <v/>
      </c>
    </row>
    <row r="91" customFormat="false" ht="15" hidden="false" customHeight="true" outlineLevel="0" collapsed="false">
      <c r="A91" s="4"/>
      <c r="B91" s="4"/>
      <c r="C91" s="4"/>
      <c r="D91" s="4"/>
      <c r="E91" s="4"/>
      <c r="F91" s="12" t="str">
        <f aca="false">IF(A91="","",IF(OR(C91="",D91="",E91=""),"Gap","Complete"))</f>
        <v/>
      </c>
    </row>
    <row r="92" customFormat="false" ht="15" hidden="false" customHeight="true" outlineLevel="0" collapsed="false">
      <c r="A92" s="4"/>
      <c r="B92" s="4"/>
      <c r="C92" s="4"/>
      <c r="D92" s="4"/>
      <c r="E92" s="4"/>
      <c r="F92" s="12" t="str">
        <f aca="false">IF(A92="","",IF(OR(C92="",D92="",E92=""),"Gap","Complete"))</f>
        <v/>
      </c>
    </row>
    <row r="93" customFormat="false" ht="15" hidden="false" customHeight="true" outlineLevel="0" collapsed="false">
      <c r="A93" s="4"/>
      <c r="B93" s="4"/>
      <c r="C93" s="4"/>
      <c r="D93" s="4"/>
      <c r="E93" s="4"/>
      <c r="F93" s="12" t="str">
        <f aca="false">IF(A93="","",IF(OR(C93="",D93="",E93=""),"Gap","Complete"))</f>
        <v/>
      </c>
    </row>
    <row r="94" customFormat="false" ht="15" hidden="false" customHeight="true" outlineLevel="0" collapsed="false">
      <c r="A94" s="4"/>
      <c r="B94" s="4"/>
      <c r="C94" s="4"/>
      <c r="D94" s="4"/>
      <c r="E94" s="4"/>
      <c r="F94" s="12" t="str">
        <f aca="false">IF(A94="","",IF(OR(C94="",D94="",E94=""),"Gap","Complete"))</f>
        <v/>
      </c>
    </row>
    <row r="95" customFormat="false" ht="15" hidden="false" customHeight="true" outlineLevel="0" collapsed="false">
      <c r="A95" s="4"/>
      <c r="B95" s="4"/>
      <c r="C95" s="4"/>
      <c r="D95" s="4"/>
      <c r="E95" s="4"/>
      <c r="F95" s="12" t="str">
        <f aca="false">IF(A95="","",IF(OR(C95="",D95="",E95=""),"Gap","Complete"))</f>
        <v/>
      </c>
    </row>
    <row r="96" customFormat="false" ht="15" hidden="false" customHeight="true" outlineLevel="0" collapsed="false">
      <c r="A96" s="4"/>
      <c r="B96" s="4"/>
      <c r="C96" s="4"/>
      <c r="D96" s="4"/>
      <c r="E96" s="4"/>
      <c r="F96" s="12" t="str">
        <f aca="false">IF(A96="","",IF(OR(C96="",D96="",E96=""),"Gap","Complete"))</f>
        <v/>
      </c>
    </row>
    <row r="97" customFormat="false" ht="15" hidden="false" customHeight="true" outlineLevel="0" collapsed="false">
      <c r="A97" s="4"/>
      <c r="B97" s="4"/>
      <c r="C97" s="4"/>
      <c r="D97" s="4"/>
      <c r="E97" s="4"/>
      <c r="F97" s="12" t="str">
        <f aca="false">IF(A97="","",IF(OR(C97="",D97="",E97=""),"Gap","Complete"))</f>
        <v/>
      </c>
    </row>
    <row r="98" customFormat="false" ht="15" hidden="false" customHeight="true" outlineLevel="0" collapsed="false">
      <c r="A98" s="4"/>
      <c r="B98" s="4"/>
      <c r="C98" s="4"/>
      <c r="D98" s="4"/>
      <c r="E98" s="4"/>
      <c r="F98" s="12" t="str">
        <f aca="false">IF(A98="","",IF(OR(C98="",D98="",E98=""),"Gap","Complete"))</f>
        <v/>
      </c>
    </row>
    <row r="99" customFormat="false" ht="15" hidden="false" customHeight="true" outlineLevel="0" collapsed="false">
      <c r="A99" s="4"/>
      <c r="B99" s="4"/>
      <c r="C99" s="4"/>
      <c r="D99" s="4"/>
      <c r="E99" s="4"/>
      <c r="F99" s="12" t="str">
        <f aca="false">IF(A99="","",IF(OR(C99="",D99="",E99=""),"Gap","Complete"))</f>
        <v/>
      </c>
    </row>
    <row r="100" customFormat="false" ht="15" hidden="false" customHeight="true" outlineLevel="0" collapsed="false">
      <c r="A100" s="4"/>
      <c r="B100" s="4"/>
      <c r="C100" s="4"/>
      <c r="D100" s="4"/>
      <c r="E100" s="4"/>
      <c r="F100" s="12" t="str">
        <f aca="false">IF(A100="","",IF(OR(C100="",D100="",E100=""),"Gap","Complete"))</f>
        <v/>
      </c>
    </row>
    <row r="101" customFormat="false" ht="15" hidden="false" customHeight="true" outlineLevel="0" collapsed="false">
      <c r="A101" s="4"/>
      <c r="B101" s="4"/>
      <c r="C101" s="4"/>
      <c r="D101" s="4"/>
      <c r="E101" s="4"/>
      <c r="F101" s="12" t="str">
        <f aca="false">IF(A101="","",IF(OR(C101="",D101="",E101=""),"Gap","Complete"))</f>
        <v/>
      </c>
    </row>
    <row r="102" customFormat="false" ht="15" hidden="false" customHeight="true" outlineLevel="0" collapsed="false">
      <c r="A102" s="4"/>
      <c r="B102" s="4"/>
      <c r="C102" s="4"/>
      <c r="D102" s="4"/>
      <c r="E102" s="4"/>
      <c r="F102" s="12" t="str">
        <f aca="false">IF(A102="","",IF(OR(C102="",D102="",E102=""),"Gap","Complete"))</f>
        <v/>
      </c>
    </row>
    <row r="103" customFormat="false" ht="15" hidden="false" customHeight="true" outlineLevel="0" collapsed="false">
      <c r="A103" s="4"/>
      <c r="B103" s="4"/>
      <c r="C103" s="4"/>
      <c r="D103" s="4"/>
      <c r="E103" s="4"/>
      <c r="F103" s="12" t="str">
        <f aca="false">IF(A103="","",IF(OR(C103="",D103="",E103=""),"Gap","Complete"))</f>
        <v/>
      </c>
    </row>
    <row r="104" customFormat="false" ht="15" hidden="false" customHeight="true" outlineLevel="0" collapsed="false">
      <c r="A104" s="4"/>
      <c r="B104" s="4"/>
      <c r="C104" s="4"/>
      <c r="D104" s="4"/>
      <c r="E104" s="4"/>
      <c r="F104" s="12" t="str">
        <f aca="false">IF(A104="","",IF(OR(C104="",D104="",E104=""),"Gap","Complete"))</f>
        <v/>
      </c>
    </row>
    <row r="105" customFormat="false" ht="15" hidden="false" customHeight="true" outlineLevel="0" collapsed="false">
      <c r="A105" s="4"/>
      <c r="B105" s="4"/>
      <c r="C105" s="4"/>
      <c r="D105" s="4"/>
      <c r="E105" s="4"/>
      <c r="F105" s="12" t="str">
        <f aca="false">IF(A105="","",IF(OR(C105="",D105="",E105=""),"Gap","Complete"))</f>
        <v/>
      </c>
    </row>
    <row r="106" customFormat="false" ht="15" hidden="false" customHeight="true" outlineLevel="0" collapsed="false">
      <c r="A106" s="4"/>
      <c r="B106" s="4"/>
      <c r="C106" s="4"/>
      <c r="D106" s="4"/>
      <c r="E106" s="4"/>
      <c r="F106" s="12" t="str">
        <f aca="false">IF(A106="","",IF(OR(C106="",D106="",E106=""),"Gap","Complete"))</f>
        <v/>
      </c>
    </row>
    <row r="107" customFormat="false" ht="15" hidden="false" customHeight="true" outlineLevel="0" collapsed="false">
      <c r="A107" s="4"/>
      <c r="B107" s="4"/>
      <c r="C107" s="4"/>
      <c r="D107" s="4"/>
      <c r="E107" s="4"/>
      <c r="F107" s="12" t="str">
        <f aca="false">IF(A107="","",IF(OR(C107="",D107="",E107=""),"Gap","Complete"))</f>
        <v/>
      </c>
    </row>
    <row r="108" customFormat="false" ht="15" hidden="false" customHeight="true" outlineLevel="0" collapsed="false">
      <c r="A108" s="4"/>
      <c r="B108" s="4"/>
      <c r="C108" s="4"/>
      <c r="D108" s="4"/>
      <c r="E108" s="4"/>
      <c r="F108" s="12" t="str">
        <f aca="false">IF(A108="","",IF(OR(C108="",D108="",E108=""),"Gap","Complete"))</f>
        <v/>
      </c>
    </row>
    <row r="109" customFormat="false" ht="15" hidden="false" customHeight="true" outlineLevel="0" collapsed="false">
      <c r="A109" s="4"/>
      <c r="B109" s="4"/>
      <c r="C109" s="4"/>
      <c r="D109" s="4"/>
      <c r="E109" s="4"/>
      <c r="F109" s="12" t="str">
        <f aca="false">IF(A109="","",IF(OR(C109="",D109="",E109=""),"Gap","Complete"))</f>
        <v/>
      </c>
    </row>
    <row r="110" customFormat="false" ht="15" hidden="false" customHeight="true" outlineLevel="0" collapsed="false">
      <c r="A110" s="4"/>
      <c r="B110" s="4"/>
      <c r="C110" s="4"/>
      <c r="D110" s="4"/>
      <c r="E110" s="4"/>
      <c r="F110" s="12" t="str">
        <f aca="false">IF(A110="","",IF(OR(C110="",D110="",E110=""),"Gap","Complete"))</f>
        <v/>
      </c>
    </row>
    <row r="111" customFormat="false" ht="15" hidden="false" customHeight="true" outlineLevel="0" collapsed="false">
      <c r="A111" s="4"/>
      <c r="B111" s="4"/>
      <c r="C111" s="4"/>
      <c r="D111" s="4"/>
      <c r="E111" s="4"/>
      <c r="F111" s="12" t="str">
        <f aca="false">IF(A111="","",IF(OR(C111="",D111="",E111=""),"Gap","Complete"))</f>
        <v/>
      </c>
    </row>
    <row r="112" customFormat="false" ht="15" hidden="false" customHeight="true" outlineLevel="0" collapsed="false">
      <c r="A112" s="4"/>
      <c r="B112" s="4"/>
      <c r="C112" s="4"/>
      <c r="D112" s="4"/>
      <c r="E112" s="4"/>
      <c r="F112" s="12" t="str">
        <f aca="false">IF(A112="","",IF(OR(C112="",D112="",E112=""),"Gap","Complete"))</f>
        <v/>
      </c>
    </row>
    <row r="113" customFormat="false" ht="15" hidden="false" customHeight="true" outlineLevel="0" collapsed="false">
      <c r="A113" s="4"/>
      <c r="B113" s="4"/>
      <c r="C113" s="4"/>
      <c r="D113" s="4"/>
      <c r="E113" s="4"/>
      <c r="F113" s="12" t="str">
        <f aca="false">IF(A113="","",IF(OR(C113="",D113="",E113=""),"Gap","Complete"))</f>
        <v/>
      </c>
    </row>
    <row r="114" customFormat="false" ht="15" hidden="false" customHeight="true" outlineLevel="0" collapsed="false">
      <c r="A114" s="4"/>
      <c r="B114" s="4"/>
      <c r="C114" s="4"/>
      <c r="D114" s="4"/>
      <c r="E114" s="4"/>
      <c r="F114" s="12" t="str">
        <f aca="false">IF(A114="","",IF(OR(C114="",D114="",E114=""),"Gap","Complete"))</f>
        <v/>
      </c>
    </row>
    <row r="115" customFormat="false" ht="15" hidden="false" customHeight="true" outlineLevel="0" collapsed="false">
      <c r="A115" s="4"/>
      <c r="B115" s="4"/>
      <c r="C115" s="4"/>
      <c r="D115" s="4"/>
      <c r="E115" s="4"/>
      <c r="F115" s="12" t="str">
        <f aca="false">IF(A115="","",IF(OR(C115="",D115="",E115=""),"Gap","Complete"))</f>
        <v/>
      </c>
    </row>
    <row r="116" customFormat="false" ht="15" hidden="false" customHeight="true" outlineLevel="0" collapsed="false">
      <c r="A116" s="4"/>
      <c r="B116" s="4"/>
      <c r="C116" s="4"/>
      <c r="D116" s="4"/>
      <c r="E116" s="4"/>
      <c r="F116" s="12" t="str">
        <f aca="false">IF(A116="","",IF(OR(C116="",D116="",E116=""),"Gap","Complete"))</f>
        <v/>
      </c>
    </row>
    <row r="117" customFormat="false" ht="15" hidden="false" customHeight="true" outlineLevel="0" collapsed="false">
      <c r="A117" s="4"/>
      <c r="B117" s="4"/>
      <c r="C117" s="4"/>
      <c r="D117" s="4"/>
      <c r="E117" s="4"/>
      <c r="F117" s="12" t="str">
        <f aca="false">IF(A117="","",IF(OR(C117="",D117="",E117=""),"Gap","Complete"))</f>
        <v/>
      </c>
    </row>
    <row r="118" customFormat="false" ht="15" hidden="false" customHeight="true" outlineLevel="0" collapsed="false">
      <c r="A118" s="4"/>
      <c r="B118" s="4"/>
      <c r="C118" s="4"/>
      <c r="D118" s="4"/>
      <c r="E118" s="4"/>
      <c r="F118" s="12" t="str">
        <f aca="false">IF(A118="","",IF(OR(C118="",D118="",E118=""),"Gap","Complete"))</f>
        <v/>
      </c>
    </row>
    <row r="119" customFormat="false" ht="15" hidden="false" customHeight="true" outlineLevel="0" collapsed="false">
      <c r="A119" s="4"/>
      <c r="B119" s="4"/>
      <c r="C119" s="4"/>
      <c r="D119" s="4"/>
      <c r="E119" s="4"/>
      <c r="F119" s="12" t="str">
        <f aca="false">IF(A119="","",IF(OR(C119="",D119="",E119=""),"Gap","Complete"))</f>
        <v/>
      </c>
    </row>
    <row r="120" customFormat="false" ht="15" hidden="false" customHeight="true" outlineLevel="0" collapsed="false">
      <c r="A120" s="4"/>
      <c r="B120" s="4"/>
      <c r="C120" s="4"/>
      <c r="D120" s="4"/>
      <c r="E120" s="4"/>
      <c r="F120" s="12" t="str">
        <f aca="false">IF(A120="","",IF(OR(C120="",D120="",E120=""),"Gap","Complete"))</f>
        <v/>
      </c>
    </row>
    <row r="121" customFormat="false" ht="15" hidden="false" customHeight="true" outlineLevel="0" collapsed="false">
      <c r="A121" s="4"/>
      <c r="B121" s="4"/>
      <c r="C121" s="4"/>
      <c r="D121" s="4"/>
      <c r="E121" s="4"/>
      <c r="F121" s="12" t="str">
        <f aca="false">IF(A121="","",IF(OR(C121="",D121="",E121=""),"Gap","Complete"))</f>
        <v/>
      </c>
    </row>
    <row r="122" customFormat="false" ht="15" hidden="false" customHeight="true" outlineLevel="0" collapsed="false">
      <c r="A122" s="4"/>
      <c r="B122" s="4"/>
      <c r="C122" s="4"/>
      <c r="D122" s="4"/>
      <c r="E122" s="4"/>
      <c r="F122" s="12" t="str">
        <f aca="false">IF(A122="","",IF(OR(C122="",D122="",E122=""),"Gap","Complete"))</f>
        <v/>
      </c>
    </row>
  </sheetData>
  <mergeCells count="1">
    <mergeCell ref="A1:F1"/>
  </mergeCells>
  <conditionalFormatting sqref="F3:F122">
    <cfRule type="cellIs" priority="2" operator="equal" aboveAverage="0" equalAverage="0" bottom="0" percent="0" rank="0" text="" dxfId="0">
      <formula>"Gap"</formula>
    </cfRule>
    <cfRule type="cellIs" priority="3" operator="equal" aboveAverage="0" equalAverage="0" bottom="0" percent="0" rank="0" text="" dxfId="2">
      <formula>"Complete"</formula>
    </cfRule>
  </conditionalFormatting>
  <dataValidations count="1">
    <dataValidation allowBlank="true" errorStyle="stop" operator="between" showDropDown="false" showErrorMessage="false" showInputMessage="false" sqref="A3:A122" type="list">
      <formula1>"AUD-01,AUD-02,AUD-03,AUD-04,AUD-05,AUD-06,AUD-07"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12"/>
    <col collapsed="false" customWidth="true" hidden="false" outlineLevel="0" max="4" min="4" style="1" width="6"/>
    <col collapsed="false" customWidth="true" hidden="false" outlineLevel="0" max="5" min="5" style="1" width="40"/>
  </cols>
  <sheetData>
    <row r="1" customFormat="false" ht="25.5" hidden="false" customHeight="true" outlineLevel="0" collapsed="false">
      <c r="A1" s="2" t="s">
        <v>182</v>
      </c>
      <c r="B1" s="2"/>
      <c r="C1" s="2"/>
      <c r="D1" s="2"/>
      <c r="E1" s="2"/>
    </row>
    <row r="3" customFormat="false" ht="15" hidden="false" customHeight="true" outlineLevel="0" collapsed="false">
      <c r="B3" s="5" t="s">
        <v>183</v>
      </c>
    </row>
    <row r="4" customFormat="false" ht="15" hidden="false" customHeight="true" outlineLevel="0" collapsed="false">
      <c r="B4" s="13" t="s">
        <v>138</v>
      </c>
      <c r="C4" s="14" t="n">
        <f aca="false">COUNTIF('Impact Assessment'!$L:$L,"High")</f>
        <v>1</v>
      </c>
    </row>
    <row r="5" customFormat="false" ht="15" hidden="false" customHeight="true" outlineLevel="0" collapsed="false">
      <c r="B5" s="13" t="s">
        <v>139</v>
      </c>
      <c r="C5" s="14" t="n">
        <f aca="false">COUNTIF('Impact Assessment'!$L:$L,"Medium")</f>
        <v>0</v>
      </c>
    </row>
    <row r="6" customFormat="false" ht="15" hidden="false" customHeight="true" outlineLevel="0" collapsed="false">
      <c r="B6" s="13" t="s">
        <v>184</v>
      </c>
      <c r="C6" s="14" t="n">
        <f aca="false">COUNTIF('Impact Assessment'!$L:$L,"Low")</f>
        <v>0</v>
      </c>
    </row>
    <row r="8" customFormat="false" ht="15" hidden="false" customHeight="true" outlineLevel="0" collapsed="false">
      <c r="B8" s="5" t="s">
        <v>135</v>
      </c>
    </row>
    <row r="9" customFormat="false" ht="15" hidden="false" customHeight="true" outlineLevel="0" collapsed="false">
      <c r="B9" s="13" t="s">
        <v>140</v>
      </c>
      <c r="C9" s="14" t="n">
        <f aca="false">COUNTIF('Impact Assessment'!$M:$M,"Before Go-Live")</f>
        <v>1</v>
      </c>
    </row>
    <row r="10" customFormat="false" ht="15" hidden="false" customHeight="true" outlineLevel="0" collapsed="false">
      <c r="B10" s="13" t="s">
        <v>185</v>
      </c>
      <c r="C10" s="14" t="n">
        <f aca="false">COUNTIF('Impact Assessment'!$M:$M,"During Testing")</f>
        <v>0</v>
      </c>
    </row>
    <row r="11" customFormat="false" ht="15" hidden="false" customHeight="true" outlineLevel="0" collapsed="false">
      <c r="B11" s="13" t="s">
        <v>186</v>
      </c>
      <c r="C11" s="14" t="n">
        <f aca="false">COUNTIF('Impact Assessment'!$M:$M,"At Go-Live")</f>
        <v>0</v>
      </c>
    </row>
    <row r="12" customFormat="false" ht="15" hidden="false" customHeight="true" outlineLevel="0" collapsed="false">
      <c r="B12" s="13" t="s">
        <v>187</v>
      </c>
      <c r="C12" s="14" t="n">
        <f aca="false">COUNTIF('Impact Assessment'!$M:$M,"Post-Stabilization")</f>
        <v>0</v>
      </c>
    </row>
    <row r="14" customFormat="false" ht="15" hidden="false" customHeight="true" outlineLevel="0" collapsed="false">
      <c r="B14" s="5" t="s">
        <v>188</v>
      </c>
    </row>
    <row r="15" customFormat="false" ht="15" hidden="false" customHeight="true" outlineLevel="0" collapsed="false">
      <c r="B15" s="13" t="s">
        <v>189</v>
      </c>
      <c r="C15" s="14" t="n">
        <f aca="false">COUNTIF('Readiness Requirements'!$K:$K,"Not Started")</f>
        <v>0</v>
      </c>
    </row>
    <row r="16" customFormat="false" ht="15" hidden="false" customHeight="true" outlineLevel="0" collapsed="false">
      <c r="B16" s="13" t="s">
        <v>158</v>
      </c>
      <c r="C16" s="14" t="n">
        <f aca="false">COUNTIF('Readiness Requirements'!$K:$K,"In Progress")</f>
        <v>1</v>
      </c>
    </row>
    <row r="17" customFormat="false" ht="15" hidden="false" customHeight="true" outlineLevel="0" collapsed="false">
      <c r="B17" s="13" t="s">
        <v>190</v>
      </c>
      <c r="C17" s="14" t="n">
        <f aca="false">COUNTIF('Readiness Requirements'!$K:$K,"Complete")</f>
        <v>0</v>
      </c>
    </row>
    <row r="18" customFormat="false" ht="15" hidden="false" customHeight="true" outlineLevel="0" collapsed="false">
      <c r="B18" s="13" t="s">
        <v>191</v>
      </c>
      <c r="C18" s="14" t="n">
        <f aca="false">COUNTIF('Readiness Requirements'!$K:$K,"At Risk")</f>
        <v>0</v>
      </c>
    </row>
    <row r="20" customFormat="false" ht="15" hidden="false" customHeight="true" outlineLevel="0" collapsed="false">
      <c r="B20" s="5" t="s">
        <v>192</v>
      </c>
    </row>
    <row r="21" customFormat="false" ht="15" hidden="false" customHeight="true" outlineLevel="0" collapsed="false">
      <c r="B21" s="13" t="s">
        <v>193</v>
      </c>
      <c r="C21" s="14" t="n">
        <f aca="false">COUNTIF(Traceability!$F:$F,"Gap")</f>
        <v>0</v>
      </c>
    </row>
    <row r="22" customFormat="false" ht="15" hidden="false" customHeight="true" outlineLevel="0" collapsed="false">
      <c r="B22" s="13" t="s">
        <v>190</v>
      </c>
      <c r="C22" s="14" t="n">
        <f aca="false">COUNTIF(Traceability!$F:$F,"Complete")</f>
        <v>1</v>
      </c>
    </row>
    <row r="24" customFormat="false" ht="15" hidden="false" customHeight="true" outlineLevel="0" collapsed="false">
      <c r="B24" s="5" t="s">
        <v>194</v>
      </c>
    </row>
    <row r="25" customFormat="false" ht="15" hidden="false" customHeight="true" outlineLevel="0" collapsed="false">
      <c r="B25" s="13" t="s">
        <v>173</v>
      </c>
      <c r="C25" s="14" t="n">
        <f aca="false">COUNTIF('Resistance &amp; Risk'!$J:$J,"Open")</f>
        <v>1</v>
      </c>
    </row>
    <row r="26" customFormat="false" ht="15" hidden="false" customHeight="true" outlineLevel="0" collapsed="false">
      <c r="B26" s="13" t="s">
        <v>195</v>
      </c>
      <c r="C26" s="14" t="n">
        <f aca="false">COUNTIF('Resistance &amp; Risk'!$J:$J,"Mitigating")</f>
        <v>0</v>
      </c>
    </row>
    <row r="28" customFormat="false" ht="15" hidden="false" customHeight="true" outlineLevel="0" collapsed="false">
      <c r="B28" s="15" t="s">
        <v>196</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2026-07-21T19:25:01Z</dcterms:created>
  <dc:creator/>
  <dc:description/>
  <dc:language>en-US</dc:language>
  <cp:lastModifiedBy/>
  <dcterms:modified xsi:type="dcterms:W3CDTF">2026-07-26T17:53:49Z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