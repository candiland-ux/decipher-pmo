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gantt/Downloads/Decipher PMO Working Files/"/>
    </mc:Choice>
  </mc:AlternateContent>
  <xr:revisionPtr revIDLastSave="0" documentId="13_ncr:1_{F111066D-27AE-4D4E-AEC2-0E096B2476F4}" xr6:coauthVersionLast="47" xr6:coauthVersionMax="47" xr10:uidLastSave="{00000000-0000-0000-0000-000000000000}"/>
  <bookViews>
    <workbookView xWindow="0" yWindow="680" windowWidth="16380" windowHeight="8200" tabRatio="500" xr2:uid="{00000000-000D-0000-FFFF-FFFF00000000}"/>
  </bookViews>
  <sheets>
    <sheet name="Cover" sheetId="1" r:id="rId1"/>
    <sheet name="Charter" sheetId="2" r:id="rId2"/>
    <sheet name="Stakeholders" sheetId="3" r:id="rId3"/>
    <sheet name="RACI" sheetId="4" r:id="rId4"/>
    <sheet name="Requirements" sheetId="5" r:id="rId5"/>
    <sheet name="RAID Log" sheetId="6" r:id="rId6"/>
    <sheet name="Schedule" sheetId="7" r:id="rId7"/>
    <sheet name="Resources" sheetId="8" r:id="rId8"/>
    <sheet name="Budget" sheetId="9" r:id="rId9"/>
    <sheet name="Decisions &amp; Changes" sheetId="10" r:id="rId10"/>
    <sheet name="Action Items" sheetId="11" r:id="rId11"/>
    <sheet name="Vendor Management" sheetId="12" r:id="rId12"/>
    <sheet name="Status Reports" sheetId="13" r:id="rId13"/>
    <sheet name="UAT Log" sheetId="14" r:id="rId14"/>
    <sheet name="Post-Incident Actions" sheetId="15" r:id="rId15"/>
    <sheet name="Lessons Learned" sheetId="16" r:id="rId16"/>
    <sheet name="Closeout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15" l="1"/>
  <c r="I7" i="15"/>
  <c r="G7" i="15"/>
  <c r="E7" i="15"/>
  <c r="C7" i="15"/>
  <c r="D76" i="14"/>
  <c r="D75" i="14"/>
  <c r="D74" i="14"/>
  <c r="D73" i="14"/>
  <c r="D72" i="14"/>
  <c r="D71" i="14"/>
  <c r="D70" i="14"/>
  <c r="C9" i="14"/>
  <c r="D30" i="12"/>
  <c r="D43" i="11"/>
  <c r="D42" i="11"/>
  <c r="D41" i="11"/>
  <c r="D40" i="11"/>
  <c r="E22" i="9"/>
  <c r="G22" i="9" s="1"/>
  <c r="D22" i="9"/>
  <c r="C22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F22" i="9" s="1"/>
  <c r="C37" i="8"/>
  <c r="C36" i="8"/>
  <c r="C35" i="8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D54" i="5"/>
  <c r="D53" i="5"/>
  <c r="D52" i="5"/>
  <c r="D51" i="5"/>
  <c r="D50" i="5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</calcChain>
</file>

<file path=xl/sharedStrings.xml><?xml version="1.0" encoding="utf-8"?>
<sst xmlns="http://schemas.openxmlformats.org/spreadsheetml/2006/main" count="521" uniqueCount="459">
  <si>
    <t>PMO Project Workbook</t>
  </si>
  <si>
    <t>Single source of truth for one project. All tabs reference this project.</t>
  </si>
  <si>
    <t>Document version: v1.2 — 2026-04-27</t>
  </si>
  <si>
    <t>Project Identification</t>
  </si>
  <si>
    <t>Project name</t>
  </si>
  <si>
    <t>Project ID / code</t>
  </si>
  <si>
    <t>Project sponsor</t>
  </si>
  <si>
    <t>Project manager / TPM</t>
  </si>
  <si>
    <t>Department / function</t>
  </si>
  <si>
    <t>Customer / business unit</t>
  </si>
  <si>
    <t>Start date</t>
  </si>
  <si>
    <t>Target end date</t>
  </si>
  <si>
    <t>Approved budget</t>
  </si>
  <si>
    <t>Phase</t>
  </si>
  <si>
    <t>Current overall status</t>
  </si>
  <si>
    <t>Status rationale</t>
  </si>
  <si>
    <t>Last status update</t>
  </si>
  <si>
    <t>What On-Track / At-Risk / Off-Track mean</t>
  </si>
  <si>
    <t>Status</t>
  </si>
  <si>
    <t>Definition for this project</t>
  </si>
  <si>
    <t>On-Track</t>
  </si>
  <si>
    <t>On track on scope, schedule, and budget. Risks within tolerance. No executive escalations needed.</t>
  </si>
  <si>
    <t>At-Risk</t>
  </si>
  <si>
    <t>Material issues being actively mitigated, BUT project timeline and budget still expected to hold. Sponsor and steering awareness needed; intervention typically not. Trigger: high-impact risk unmitigated, OR material variance on any single dimension (cost/schedule/scope).</t>
  </si>
  <si>
    <t>Off-Track</t>
  </si>
  <si>
    <t>Material risk to project completion timing, budget, or scope. Executive intervention required. Trigger: critical-path slip with no recovery plan, OR unrecoverable budget overrun, OR material scope reduction needed, OR sponsor support compromised.</t>
  </si>
  <si>
    <t>Note: RAG definitions vary by org. Adjust to your PMO's standards and document the change in the Decisions &amp; Changes log so historical status reports remain interpretable.</t>
  </si>
  <si>
    <t>Workbook Map</t>
  </si>
  <si>
    <t>#</t>
  </si>
  <si>
    <t>Tab</t>
  </si>
  <si>
    <t>Purpose</t>
  </si>
  <si>
    <t>When you use it</t>
  </si>
  <si>
    <t>1</t>
  </si>
  <si>
    <t>Cover</t>
  </si>
  <si>
    <t>Project ID and tab map</t>
  </si>
  <si>
    <t>Always — top-level reference</t>
  </si>
  <si>
    <t>2</t>
  </si>
  <si>
    <t>Charter</t>
  </si>
  <si>
    <t>Business case, scope, objectives, success criteria, sign-offs</t>
  </si>
  <si>
    <t>Initiate phase; reference throughout</t>
  </si>
  <si>
    <t>3</t>
  </si>
  <si>
    <t>Stakeholders</t>
  </si>
  <si>
    <t>Stakeholder register and engagement plan</t>
  </si>
  <si>
    <t>Initiate / Plan; update as it changes</t>
  </si>
  <si>
    <t>4</t>
  </si>
  <si>
    <t>RACI</t>
  </si>
  <si>
    <t>Decision-level accountability matrix with auto-validation</t>
  </si>
  <si>
    <t>Plan phase; revisit on org changes</t>
  </si>
  <si>
    <t>5</t>
  </si>
  <si>
    <t>Requirements</t>
  </si>
  <si>
    <t>Business + technical requirements, traced to design and test</t>
  </si>
  <si>
    <t>Plan onward; foundation for UAT</t>
  </si>
  <si>
    <t>6</t>
  </si>
  <si>
    <t>RAID Log</t>
  </si>
  <si>
    <t>Risks, Assumptions, Issues, Dependencies — single integrated log</t>
  </si>
  <si>
    <t>Plan onward; weekly review</t>
  </si>
  <si>
    <t>7</t>
  </si>
  <si>
    <t>Schedule</t>
  </si>
  <si>
    <t>Milestones, deliverables, dates, dependencies, status</t>
  </si>
  <si>
    <t>Plan onward; weekly update</t>
  </si>
  <si>
    <t>8</t>
  </si>
  <si>
    <t>Resources</t>
  </si>
  <si>
    <t>Team roster, allocation %, type, rate, summary metrics</t>
  </si>
  <si>
    <t>9</t>
  </si>
  <si>
    <t>Budget</t>
  </si>
  <si>
    <t>Budget by category, planned vs actual, variance, forecast</t>
  </si>
  <si>
    <t>Plan onward; monthly close</t>
  </si>
  <si>
    <t>10</t>
  </si>
  <si>
    <t>Decisions &amp; Changes</t>
  </si>
  <si>
    <t>Combined log: decisions made AND approved scope/schedule/budget changes</t>
  </si>
  <si>
    <t>Throughout — append as decided/approved</t>
  </si>
  <si>
    <t>11</t>
  </si>
  <si>
    <t>Action Items</t>
  </si>
  <si>
    <t>Meeting action items + cross-meeting commitments</t>
  </si>
  <si>
    <t>Throughout — review weekly</t>
  </si>
  <si>
    <t>12</t>
  </si>
  <si>
    <t>Vendor Management</t>
  </si>
  <si>
    <t>Vendor SLA, escalations, business reviews, renewals</t>
  </si>
  <si>
    <t>Monthly + ad-hoc</t>
  </si>
  <si>
    <t>13</t>
  </si>
  <si>
    <t>Status Reports</t>
  </si>
  <si>
    <t>Weekly status snapshots — running history</t>
  </si>
  <si>
    <t>Weekly — append a new row</t>
  </si>
  <si>
    <t>14</t>
  </si>
  <si>
    <t>UAT Log</t>
  </si>
  <si>
    <t>Test cases, execution results, entry/exit criteria</t>
  </si>
  <si>
    <t>Test &amp; deploy phase</t>
  </si>
  <si>
    <t>15</t>
  </si>
  <si>
    <t>Post-Incident Actions</t>
  </si>
  <si>
    <t>Cross-incident corrective action tracker with verification</t>
  </si>
  <si>
    <t>Standalone — used by all post-incident reviews</t>
  </si>
  <si>
    <t>16</t>
  </si>
  <si>
    <t>Lessons Learned</t>
  </si>
  <si>
    <t>Captured throughout the project, formalized at close</t>
  </si>
  <si>
    <t>Throughout, formalized at close</t>
  </si>
  <si>
    <t>17</t>
  </si>
  <si>
    <t>Closeout</t>
  </si>
  <si>
    <t>Final outcomes, benefits realization, archive pointers</t>
  </si>
  <si>
    <t>Close phase only</t>
  </si>
  <si>
    <t>How to Use This Workbook</t>
  </si>
  <si>
    <t>1. Fill in the Cover tab first — every other tab assumes the project ID is set.</t>
  </si>
  <si>
    <t>2. Tabs follow lifecycle order: Initiate → Plan → Execute → Test → Close.</t>
  </si>
  <si>
    <t>3. The RAID Log replaces separate Risk, Assumption, Issue, and Dependency tabs.</t>
  </si>
  <si>
    <t>4. Decisions &amp; Changes is one combined tab — filter by Type column to see decisions vs change requests.</t>
  </si>
  <si>
    <t>5. Action Items are distinct from RAID — meeting/working commitments with a name and a date, separate from risks/issues.</t>
  </si>
  <si>
    <t>6. Status Reports, Decisions &amp; Changes, and Action Items are append-only. Never overwrite past entries.</t>
  </si>
  <si>
    <t>7. RACI integrity: the # of A's column flags activities that don't have exactly one Accountable.</t>
  </si>
  <si>
    <t>8. Requirements Trace: Must Have requirements without test cases are flagged in the summary.</t>
  </si>
  <si>
    <t>9. Post-Incident Actions is a standalone, cross-incident tracker — not project-specific.</t>
  </si>
  <si>
    <t>10. Vendor Management tab tracks vendors engaged on this project — SLAs, escalations, renewal dates.</t>
  </si>
  <si>
    <t>Known artifact overlap: stakeholder data</t>
  </si>
  <si>
    <t>Stakeholder identification lives in the Stakeholders tab — name, role, classification, RACI level.</t>
  </si>
  <si>
    <t>When you build a Communications Plan (separate doc), the Audience Map will need many of the same names.</t>
  </si>
  <si>
    <t>Discipline: keep stakeholder identification authoritative in the Stakeholders tab. Keep channel/cadence specifics in the Comms Plan.</t>
  </si>
  <si>
    <t>Review for consistency at monthly planning. If a stakeholder changes role, update both.</t>
  </si>
  <si>
    <t>Cross-platform compatibility</t>
  </si>
  <si>
    <t>Tested in Microsoft Excel and LibreOffice Calc. All formulas use cross-platform compatible functions (no XLOOKUP, IFS, LET).</t>
  </si>
  <si>
    <t>Conditional formatting (RAG colors) and dropdowns work in Excel, Google Sheets, and LibreOffice. Apple Numbers may render conditional formatting differently — re-apply if importing to Numbers.</t>
  </si>
  <si>
    <t>If migrating to Notion / Asana / Smartsheet / Jira, the methodology applies — re-create the tab structures as databases or boards.</t>
  </si>
  <si>
    <t>Project Charter</t>
  </si>
  <si>
    <t>The foundational document. Approved at kickoff, referenced throughout.</t>
  </si>
  <si>
    <t>Pulled from Cover tab</t>
  </si>
  <si>
    <t>Executive accountable for project success</t>
  </si>
  <si>
    <t>Person running the project day-to-day</t>
  </si>
  <si>
    <t>Date</t>
  </si>
  <si>
    <t>Charter version date</t>
  </si>
  <si>
    <t>Version</t>
  </si>
  <si>
    <t>v1.0, v1.1, etc.</t>
  </si>
  <si>
    <t>BUSINESS CASE</t>
  </si>
  <si>
    <t>Problem / opportunity</t>
  </si>
  <si>
    <t>What problem are we solving?</t>
  </si>
  <si>
    <t>Strategic alignment</t>
  </si>
  <si>
    <t>Which corporate goal or OKR does this support?</t>
  </si>
  <si>
    <t>Expected business value</t>
  </si>
  <si>
    <t>Revenue, cost savings, efficiency, risk mitigation — quantified</t>
  </si>
  <si>
    <t>Cost of not doing</t>
  </si>
  <si>
    <t>What happens if we don't do this?</t>
  </si>
  <si>
    <t>OBJECTIVES &amp; SUCCESS CRITERIA</t>
  </si>
  <si>
    <t>Project objectives</t>
  </si>
  <si>
    <t>3–5 SMART objectives</t>
  </si>
  <si>
    <t>Success criteria</t>
  </si>
  <si>
    <t>How we'll know we succeeded — measurable</t>
  </si>
  <si>
    <t>KPIs / metrics</t>
  </si>
  <si>
    <t>Specific metrics with targets</t>
  </si>
  <si>
    <t>SCOPE</t>
  </si>
  <si>
    <t>In scope</t>
  </si>
  <si>
    <t>What this project will deliver</t>
  </si>
  <si>
    <t>Out of scope</t>
  </si>
  <si>
    <t>Explicitly what this project will NOT deliver</t>
  </si>
  <si>
    <t>Assumptions</t>
  </si>
  <si>
    <t>Working assumptions</t>
  </si>
  <si>
    <t>Constraints</t>
  </si>
  <si>
    <t>Time, budget, technical, regulatory, organizational</t>
  </si>
  <si>
    <t>DELIVERABLES &amp; MILESTONES</t>
  </si>
  <si>
    <t>Major deliverables</t>
  </si>
  <si>
    <t>Top-level outputs</t>
  </si>
  <si>
    <t>Key milestones</t>
  </si>
  <si>
    <t>Top-level dates</t>
  </si>
  <si>
    <t>STAKEHOLDERS &amp; GOVERNANCE</t>
  </si>
  <si>
    <t>Sponsor</t>
  </si>
  <si>
    <t>Final decision authority</t>
  </si>
  <si>
    <t>Steering committee</t>
  </si>
  <si>
    <t>Names + roles</t>
  </si>
  <si>
    <t>Decision-making model</t>
  </si>
  <si>
    <t>Consensus, sponsor decides, etc.</t>
  </si>
  <si>
    <t>Escalation path</t>
  </si>
  <si>
    <t>Who escalates to whom</t>
  </si>
  <si>
    <t>BUDGET</t>
  </si>
  <si>
    <t>Total approved</t>
  </si>
  <si>
    <t>Funding source</t>
  </si>
  <si>
    <t>Department, program, capex, opex</t>
  </si>
  <si>
    <t>Budget authority</t>
  </si>
  <si>
    <t>Who can approve overages</t>
  </si>
  <si>
    <t>HIGH-LEVEL RISKS</t>
  </si>
  <si>
    <t>Top risks at kickoff</t>
  </si>
  <si>
    <t>Top 3–5 risks</t>
  </si>
  <si>
    <t>APPROVALS</t>
  </si>
  <si>
    <t>Sponsor approval</t>
  </si>
  <si>
    <t>Name, date, signature</t>
  </si>
  <si>
    <t>PMO approval</t>
  </si>
  <si>
    <t>Name, date</t>
  </si>
  <si>
    <t>Finance approval</t>
  </si>
  <si>
    <t>Other approvals</t>
  </si>
  <si>
    <t>Legal, security, compliance as required</t>
  </si>
  <si>
    <t>Stakeholder Register &amp; Engagement Plan</t>
  </si>
  <si>
    <t>Who matters, what they need, how we engage them.</t>
  </si>
  <si>
    <t>Name</t>
  </si>
  <si>
    <t>Role / Title</t>
  </si>
  <si>
    <t>Org / Department</t>
  </si>
  <si>
    <t>Influence</t>
  </si>
  <si>
    <t>Interest</t>
  </si>
  <si>
    <t>Engagement level</t>
  </si>
  <si>
    <t>Preferred channel</t>
  </si>
  <si>
    <t>Communication needs / cadence</t>
  </si>
  <si>
    <t>RACI Matrix</t>
  </si>
  <si>
    <t>Activities/decisions in rows, roles in columns. Exactly ONE A per row.</t>
  </si>
  <si>
    <t>Activity / Decision</t>
  </si>
  <si>
    <t>TPM</t>
  </si>
  <si>
    <t>Eng Lead</t>
  </si>
  <si>
    <t>QA Lead</t>
  </si>
  <si>
    <t>Business / PO</t>
  </si>
  <si>
    <t>Security</t>
  </si>
  <si>
    <t>Compliance / Legal</t>
  </si>
  <si>
    <t>Vendor</t>
  </si>
  <si>
    <t># of A's</t>
  </si>
  <si>
    <t>Approve project charter</t>
  </si>
  <si>
    <t>Approve scope changes</t>
  </si>
  <si>
    <t>Approve budget changes</t>
  </si>
  <si>
    <t>Approve schedule changes</t>
  </si>
  <si>
    <t>Approve vendor selection</t>
  </si>
  <si>
    <t>Sign off on requirements (BRD)</t>
  </si>
  <si>
    <t>Sign off on technical design</t>
  </si>
  <si>
    <t>Approve UAT entry / exit criteria</t>
  </si>
  <si>
    <t>Approve go-live / production deployment</t>
  </si>
  <si>
    <t>Approve security review</t>
  </si>
  <si>
    <t>Approve compliance review</t>
  </si>
  <si>
    <t>Approve customer / external communications</t>
  </si>
  <si>
    <t>Resolve P0/P1 issues during execute</t>
  </si>
  <si>
    <t>Approve project closeout</t>
  </si>
  <si>
    <t>Approve benefits realization plan</t>
  </si>
  <si>
    <t>Field guide</t>
  </si>
  <si>
    <t>R — Responsible</t>
  </si>
  <si>
    <t>Does the work. Multiple R's allowed.</t>
  </si>
  <si>
    <t>A — Accountable</t>
  </si>
  <si>
    <t>Owns the outcome. Exactly ONE A per row. The buck stops here.</t>
  </si>
  <si>
    <t>C — Consulted</t>
  </si>
  <si>
    <t>Provides input before the decision. Two-way comms.</t>
  </si>
  <si>
    <t>I — Informed</t>
  </si>
  <si>
    <t>Notified after the decision. One-way comms.</t>
  </si>
  <si>
    <t>R/A or A/R</t>
  </si>
  <si>
    <t>Same person both responsible and accountable. Use sparingly.</t>
  </si>
  <si>
    <t>Requirements Traceability Matrix</t>
  </si>
  <si>
    <t>Every business and technical requirement, traced from source through design to test.</t>
  </si>
  <si>
    <t>ID</t>
  </si>
  <si>
    <t>Type</t>
  </si>
  <si>
    <t>Requirement description</t>
  </si>
  <si>
    <t>Source</t>
  </si>
  <si>
    <t>Priority</t>
  </si>
  <si>
    <t>Owner</t>
  </si>
  <si>
    <t>Linked design / spec</t>
  </si>
  <si>
    <t>Linked test case</t>
  </si>
  <si>
    <t>UAT result</t>
  </si>
  <si>
    <t>Coverage summary</t>
  </si>
  <si>
    <t>Total requirements</t>
  </si>
  <si>
    <t>Must Have count</t>
  </si>
  <si>
    <t>Approved or in progress</t>
  </si>
  <si>
    <t>UAT pass rate</t>
  </si>
  <si>
    <t>Must Have requirements without test case</t>
  </si>
  <si>
    <t>RAID Log — Risks, Assumptions, Issues, Dependencies</t>
  </si>
  <si>
    <t>Single integrated log. Filter by Type column to view a specific category.</t>
  </si>
  <si>
    <t>Description</t>
  </si>
  <si>
    <t>Likelihood</t>
  </si>
  <si>
    <t>Impact</t>
  </si>
  <si>
    <t>Score</t>
  </si>
  <si>
    <t>Date raised</t>
  </si>
  <si>
    <t>Target close</t>
  </si>
  <si>
    <t>Mitigation / response plan</t>
  </si>
  <si>
    <t>Schedule — Milestones &amp; Deliverables</t>
  </si>
  <si>
    <t>Top-level project schedule. Detailed task management lives in Jira / Smartsheet / MS Project.</t>
  </si>
  <si>
    <t>Milestone / deliverable</t>
  </si>
  <si>
    <t>Planned start</t>
  </si>
  <si>
    <t>Planned end</t>
  </si>
  <si>
    <t>Actual end</t>
  </si>
  <si>
    <t>Dependencies / notes</t>
  </si>
  <si>
    <t>Resource Plan</t>
  </si>
  <si>
    <t>People allocated to this project.</t>
  </si>
  <si>
    <t>Role on project</t>
  </si>
  <si>
    <t>Home department</t>
  </si>
  <si>
    <t>Allocation %</t>
  </si>
  <si>
    <t>End date</t>
  </si>
  <si>
    <t>Hourly / loaded rate</t>
  </si>
  <si>
    <t>Notes</t>
  </si>
  <si>
    <t>Allocation summary</t>
  </si>
  <si>
    <t>Total FTE allocation</t>
  </si>
  <si>
    <t>Total contractor allocation</t>
  </si>
  <si>
    <t>Headcount on project</t>
  </si>
  <si>
    <t>Budget — Planned vs Actual</t>
  </si>
  <si>
    <t>Track approved budget against actual spend. Update at month-end close.</t>
  </si>
  <si>
    <t>Total approved budget</t>
  </si>
  <si>
    <t>Currency</t>
  </si>
  <si>
    <t>USD</t>
  </si>
  <si>
    <t>As of date</t>
  </si>
  <si>
    <t>Category</t>
  </si>
  <si>
    <t>Planned ($)</t>
  </si>
  <si>
    <t>Committed ($)</t>
  </si>
  <si>
    <t>Actual to date ($)</t>
  </si>
  <si>
    <t>Variance ($)</t>
  </si>
  <si>
    <t>% used</t>
  </si>
  <si>
    <t>Labor — internal</t>
  </si>
  <si>
    <t>Labor — contractors</t>
  </si>
  <si>
    <t>Vendors / SOWs</t>
  </si>
  <si>
    <t>Software &amp; tools</t>
  </si>
  <si>
    <t>Hardware / infrastructure</t>
  </si>
  <si>
    <t>Travel</t>
  </si>
  <si>
    <t>Training</t>
  </si>
  <si>
    <t>Communications &amp; marketing</t>
  </si>
  <si>
    <t>Contingency</t>
  </si>
  <si>
    <t>Other</t>
  </si>
  <si>
    <t>TOTAL</t>
  </si>
  <si>
    <t>Decisions &amp; Changes — Combined Log</t>
  </si>
  <si>
    <t>Append-only log of decisions made AND approved scope/schedule/budget changes. Filter by Type.</t>
  </si>
  <si>
    <t>Title / decision / change</t>
  </si>
  <si>
    <t>Rationale</t>
  </si>
  <si>
    <t>Owner / decision-maker</t>
  </si>
  <si>
    <t>Schedule impact (days)</t>
  </si>
  <si>
    <t>Budget impact ($)</t>
  </si>
  <si>
    <t>Scope impact</t>
  </si>
  <si>
    <t>Approver</t>
  </si>
  <si>
    <t>Decision = a choice made (vendor, design, scope clarification). Change Request = a formal modification to the approved baseline (charter scope, schedule, budget). Filter by this column.</t>
  </si>
  <si>
    <t>Decisions</t>
  </si>
  <si>
    <t>Don't need a formal approval workflow. Just need to be recorded. Status = Active / Superseded / Reversed.</t>
  </si>
  <si>
    <t>Change Requests</t>
  </si>
  <si>
    <t>Go through workflow: Submitted → Under Review → Approved / Rejected → Implemented. Schedule and budget impact are required.</t>
  </si>
  <si>
    <t>Append-only</t>
  </si>
  <si>
    <t>Never delete entries. If a decision is reversed or change is undone, mark superseded/reversed and add a new row.</t>
  </si>
  <si>
    <t>Action Items Tracker</t>
  </si>
  <si>
    <t>Meeting action items and cross-meeting commitments. Reviewed weekly. Distinct from RAID (issues) and Decisions &amp; Changes.</t>
  </si>
  <si>
    <t>Source meeting / context</t>
  </si>
  <si>
    <t>Due date</t>
  </si>
  <si>
    <t>Quick metrics</t>
  </si>
  <si>
    <t>Open + In Progress</t>
  </si>
  <si>
    <t>Done</t>
  </si>
  <si>
    <t>Blocked</t>
  </si>
  <si>
    <t>Carried Over</t>
  </si>
  <si>
    <t>Vendor Management Tracker</t>
  </si>
  <si>
    <t>Vendors engaged on this project. Track SLA performance, escalations, business reviews, and renewals.</t>
  </si>
  <si>
    <t>Service / Tool</t>
  </si>
  <si>
    <t>Contract end</t>
  </si>
  <si>
    <t>Annual spend ($)</t>
  </si>
  <si>
    <t>SLA performance</t>
  </si>
  <si>
    <t>Open escalations</t>
  </si>
  <si>
    <t>Last business review</t>
  </si>
  <si>
    <t>Next renewal action</t>
  </si>
  <si>
    <t>Owner / Account mgr</t>
  </si>
  <si>
    <t>Total annual vendor spend</t>
  </si>
  <si>
    <t>Vendor management discipline</t>
  </si>
  <si>
    <t>Track every vendor engaged on the project. Escalation count is leading indicator of contract health. Quarterly business reviews surface issues before renewal. Renewal action 6 months ahead of contract end.</t>
  </si>
  <si>
    <t>Status Reports — Running History</t>
  </si>
  <si>
    <t>Append a new row each reporting cycle. This is the historical record.</t>
  </si>
  <si>
    <t>Report date</t>
  </si>
  <si>
    <t>Reporting period</t>
  </si>
  <si>
    <t>Reported by</t>
  </si>
  <si>
    <t>Overall status</t>
  </si>
  <si>
    <t>Key accomplishments this period</t>
  </si>
  <si>
    <t>Planned for next period</t>
  </si>
  <si>
    <t>Top risks / issues</t>
  </si>
  <si>
    <t>Asks / blockers</t>
  </si>
  <si>
    <t>UAT Test Case Log</t>
  </si>
  <si>
    <t>Each row is one test case run. Pass rate auto-calculates for exit criteria.</t>
  </si>
  <si>
    <t>UAT Entry / Exit Criteria</t>
  </si>
  <si>
    <t>Entry criteria met (Y/N + date)</t>
  </si>
  <si>
    <t>Exit criteria target (% pass)</t>
  </si>
  <si>
    <t>Actual pass rate</t>
  </si>
  <si>
    <t>UAT lead</t>
  </si>
  <si>
    <t>UAT period</t>
  </si>
  <si>
    <t>Sign-off received from</t>
  </si>
  <si>
    <t>Test Cases</t>
  </si>
  <si>
    <t>Test ID</t>
  </si>
  <si>
    <t>Test case description</t>
  </si>
  <si>
    <t>Linked req (ID from Requirements tab)</t>
  </si>
  <si>
    <t>Test data / preconditions</t>
  </si>
  <si>
    <t>Expected result</t>
  </si>
  <si>
    <t>Tester</t>
  </si>
  <si>
    <t>Test date</t>
  </si>
  <si>
    <t>Result</t>
  </si>
  <si>
    <t>Defect ID (if Fail)</t>
  </si>
  <si>
    <t>Test execution summary</t>
  </si>
  <si>
    <t>Total test cases</t>
  </si>
  <si>
    <t>Pass</t>
  </si>
  <si>
    <t>Fail</t>
  </si>
  <si>
    <t>Not Run</t>
  </si>
  <si>
    <t>Pass rate (Pass / Pass+Fail)</t>
  </si>
  <si>
    <t>Defects open (rows with Defect ID)</t>
  </si>
  <si>
    <t>Post-Incident Action Tracker</t>
  </si>
  <si>
    <t>Cross-incident corrective actions with verification. Standalone tracker — used by all post-incident reviews.</t>
  </si>
  <si>
    <t>Tracker summary</t>
  </si>
  <si>
    <t>Total open actions</t>
  </si>
  <si>
    <t>Overdue</t>
  </si>
  <si>
    <t>Done — awaiting verification</t>
  </si>
  <si>
    <t>Verified effective</t>
  </si>
  <si>
    <t>Re-incidents detected</t>
  </si>
  <si>
    <t>Corrective actions</t>
  </si>
  <si>
    <t>Action ID</t>
  </si>
  <si>
    <t>Incident ID</t>
  </si>
  <si>
    <t>Severity</t>
  </si>
  <si>
    <t>Action description</t>
  </si>
  <si>
    <t>Tied to root cause</t>
  </si>
  <si>
    <t>Verification result</t>
  </si>
  <si>
    <t>Re-incident? (verification check)</t>
  </si>
  <si>
    <t>Sequential — PIA-001, PIA-002, etc.</t>
  </si>
  <si>
    <t>Cross-reference to the incident this action came from. One incident may have multiple actions; one action may address multiple incidents.</t>
  </si>
  <si>
    <t>Code fix: specific bug. Infrastructure: capacity, redundancy, config. Process: how we work. Tooling: what we use. Training: knowledge gap. Policy: rules. Detection: monitoring/alerting/runbooks.</t>
  </si>
  <si>
    <t>Reference the specific root cause from the post-mortem RCA. Helps identify systemic vs one-off fixes.</t>
  </si>
  <si>
    <t>Open: not started. In Progress: being worked. Done: implemented. Verified: confirmed effective via test/audit/drill. Dropped: deliberately not pursuing (record rationale in Notes).</t>
  </si>
  <si>
    <t>Verification</t>
  </si>
  <si>
    <t>30/60/90-day check after Done. Did the fix actually close the gap? Confirmed effective / Partially effective / Not effective.</t>
  </si>
  <si>
    <t>Re-incident check</t>
  </si>
  <si>
    <t>Has anything similar happened since this action was Done? If Yes, the action wasn't effective — re-open or replace.</t>
  </si>
  <si>
    <t>Due date column auto-highlights actions past due that aren't Done/Verified/Dropped.</t>
  </si>
  <si>
    <t>Captured throughout the project, finalized at close.</t>
  </si>
  <si>
    <t>Lesson / observation</t>
  </si>
  <si>
    <t>Recommendation for next time</t>
  </si>
  <si>
    <t>Owner to share / apply</t>
  </si>
  <si>
    <t>Project Closeout Report</t>
  </si>
  <si>
    <t>Completed at project close.</t>
  </si>
  <si>
    <t>Closeout date</t>
  </si>
  <si>
    <t>FINAL OUTCOMES</t>
  </si>
  <si>
    <t>Objectives met (Y/N + summary)</t>
  </si>
  <si>
    <t>For each charter objective: was it delivered?</t>
  </si>
  <si>
    <t>Success criteria achieved</t>
  </si>
  <si>
    <t>Per charter — score against each measurable criterion</t>
  </si>
  <si>
    <t>Final scope vs original</t>
  </si>
  <si>
    <t>What shipped vs what was originally planned</t>
  </si>
  <si>
    <t>Final schedule vs original</t>
  </si>
  <si>
    <t>Planned end vs actual end — explain variance</t>
  </si>
  <si>
    <t>Final budget vs approved</t>
  </si>
  <si>
    <t>Approved budget vs actual spend — explain variance</t>
  </si>
  <si>
    <t>BENEFITS REALIZATION</t>
  </si>
  <si>
    <t>Expected business value (from charter)</t>
  </si>
  <si>
    <t>Restate what the project promised</t>
  </si>
  <si>
    <t>Realized benefits to date</t>
  </si>
  <si>
    <t>What's already been measured / achieved</t>
  </si>
  <si>
    <t>Outstanding benefits</t>
  </si>
  <si>
    <t>Benefits expected to materialize after closeout — and when</t>
  </si>
  <si>
    <t>Benefit owner post-closeout</t>
  </si>
  <si>
    <t>Who tracks realized benefits going forward</t>
  </si>
  <si>
    <t>Measurement plan</t>
  </si>
  <si>
    <t>How and when realized benefits will be verified</t>
  </si>
  <si>
    <t>STAKEHOLDER FEEDBACK</t>
  </si>
  <si>
    <t>Sponsor feedback</t>
  </si>
  <si>
    <t>From sponsor</t>
  </si>
  <si>
    <t>Customer / business feedback</t>
  </si>
  <si>
    <t>From end users / business unit</t>
  </si>
  <si>
    <t>Team feedback</t>
  </si>
  <si>
    <t>From the project team</t>
  </si>
  <si>
    <t>OPEN ITEMS AT CLOSE</t>
  </si>
  <si>
    <t>Outstanding risks transferred</t>
  </si>
  <si>
    <t>Risks that persist beyond the project — to whom transferred</t>
  </si>
  <si>
    <t>Unfinished deliverables</t>
  </si>
  <si>
    <t>If anything is incomplete — handoff plan</t>
  </si>
  <si>
    <t>Operational handoff</t>
  </si>
  <si>
    <t>Who owns the deliverables operationally</t>
  </si>
  <si>
    <t>LESSONS &amp; KNOWLEDGE TRANSFER</t>
  </si>
  <si>
    <t>Top 3 wins to repeat</t>
  </si>
  <si>
    <t>From Lessons Learned</t>
  </si>
  <si>
    <t>Top 3 changes for next time</t>
  </si>
  <si>
    <t>Biggest things to do differently</t>
  </si>
  <si>
    <t>Knowledge base updates made</t>
  </si>
  <si>
    <t>Where lessons were filed for reuse</t>
  </si>
  <si>
    <t>ARCHIVE &amp; DOCUMENTATION</t>
  </si>
  <si>
    <t>Workbook archive location</t>
  </si>
  <si>
    <t>Where this workbook is stored</t>
  </si>
  <si>
    <t>Supporting documents archived</t>
  </si>
  <si>
    <t>Charter, contracts, design docs, test results</t>
  </si>
  <si>
    <t>Records retention period</t>
  </si>
  <si>
    <t>How long these records must be retained</t>
  </si>
  <si>
    <t>Sponsor sign-off on closeout</t>
  </si>
  <si>
    <t>PMO sign-off on closeout</t>
  </si>
  <si>
    <t>Finance sign-off (budget 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</si>
</sst>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yyyy\-mm\-dd"/>
    <numFmt numFmtId="166" formatCode="\$#,##0.00"/>
    <numFmt numFmtId="167" formatCode="0.0"/>
    <numFmt numFmtId="168" formatCode="\$#,##0"/>
    <numFmt numFmtId="169" formatCode="\$#,##0;&quot;($&quot;#,##0\);\-"/>
    <numFmt numFmtId="170" formatCode="0;\(0\);\-"/>
  </numFmts>
  <fonts count="13" x14ac:knownFonts="1">
    <font>
      <sz val="11"/>
      <color theme="1"/>
      <name val="Calibri"/>
      <family val="2"/>
      <charset val="1"/>
    </font>
    <font>
      <b/>
      <sz val="24"/>
      <color rgb="FF1F3864"/>
      <name val="Arial"/>
      <family val="2"/>
    </font>
    <font>
      <i/>
      <sz val="11"/>
      <color rgb="FF595959"/>
      <name val="Arial"/>
      <family val="2"/>
    </font>
    <font>
      <i/>
      <sz val="10"/>
      <color rgb="FF595959"/>
      <name val="Arial"/>
      <family val="2"/>
    </font>
    <font>
      <b/>
      <sz val="14"/>
      <color rgb="FF1F3864"/>
      <name val="Arial"/>
      <family val="2"/>
    </font>
    <font>
      <b/>
      <sz val="11"/>
      <color rgb="FF1F3864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color rgb="FF1F3864"/>
      <name val="Arial"/>
      <family val="2"/>
    </font>
    <font>
      <b/>
      <sz val="12"/>
      <color rgb="FF1F3864"/>
      <name val="Arial"/>
      <family val="2"/>
    </font>
    <font>
      <sz val="10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E2F3"/>
        <b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0" xfId="0" applyFont="1" applyAlignment="1">
      <alignment horizontal="left" vertical="center"/>
    </xf>
    <xf numFmtId="1" fontId="8" fillId="0" borderId="1" xfId="0" applyNumberFormat="1" applyFont="1" applyBorder="1"/>
    <xf numFmtId="164" fontId="8" fillId="0" borderId="1" xfId="0" applyNumberFormat="1" applyFont="1" applyBorder="1"/>
    <xf numFmtId="0" fontId="9" fillId="0" borderId="1" xfId="0" applyFont="1" applyBorder="1" applyAlignment="1">
      <alignment horizontal="center" vertical="top"/>
    </xf>
    <xf numFmtId="165" fontId="9" fillId="0" borderId="1" xfId="0" applyNumberFormat="1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/>
    </xf>
    <xf numFmtId="165" fontId="9" fillId="2" borderId="1" xfId="0" applyNumberFormat="1" applyFont="1" applyFill="1" applyBorder="1" applyAlignment="1">
      <alignment horizontal="left" vertical="top" wrapText="1"/>
    </xf>
    <xf numFmtId="9" fontId="9" fillId="0" borderId="1" xfId="0" applyNumberFormat="1" applyFont="1" applyBorder="1" applyAlignment="1">
      <alignment horizontal="left" vertical="top" wrapText="1"/>
    </xf>
    <xf numFmtId="166" fontId="9" fillId="0" borderId="1" xfId="0" applyNumberFormat="1" applyFont="1" applyBorder="1" applyAlignment="1">
      <alignment horizontal="left" vertical="top" wrapText="1"/>
    </xf>
    <xf numFmtId="9" fontId="9" fillId="2" borderId="1" xfId="0" applyNumberFormat="1" applyFont="1" applyFill="1" applyBorder="1" applyAlignment="1">
      <alignment horizontal="left" vertical="top" wrapText="1"/>
    </xf>
    <xf numFmtId="166" fontId="9" fillId="2" borderId="1" xfId="0" applyNumberFormat="1" applyFont="1" applyFill="1" applyBorder="1" applyAlignment="1">
      <alignment horizontal="left" vertical="top" wrapText="1"/>
    </xf>
    <xf numFmtId="167" fontId="8" fillId="0" borderId="1" xfId="0" applyNumberFormat="1" applyFont="1" applyBorder="1"/>
    <xf numFmtId="168" fontId="6" fillId="3" borderId="1" xfId="0" applyNumberFormat="1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left" vertical="center" wrapText="1"/>
    </xf>
    <xf numFmtId="168" fontId="9" fillId="0" borderId="1" xfId="0" applyNumberFormat="1" applyFont="1" applyBorder="1" applyAlignment="1">
      <alignment horizontal="left" vertical="top" wrapText="1"/>
    </xf>
    <xf numFmtId="169" fontId="9" fillId="0" borderId="1" xfId="0" applyNumberFormat="1" applyFont="1" applyBorder="1" applyAlignment="1">
      <alignment horizontal="left" vertical="top" wrapText="1"/>
    </xf>
    <xf numFmtId="164" fontId="9" fillId="0" borderId="1" xfId="0" applyNumberFormat="1" applyFont="1" applyBorder="1" applyAlignment="1">
      <alignment horizontal="left" vertical="top" wrapText="1"/>
    </xf>
    <xf numFmtId="168" fontId="9" fillId="2" borderId="1" xfId="0" applyNumberFormat="1" applyFont="1" applyFill="1" applyBorder="1" applyAlignment="1">
      <alignment horizontal="left" vertical="top" wrapText="1"/>
    </xf>
    <xf numFmtId="169" fontId="9" fillId="2" borderId="1" xfId="0" applyNumberFormat="1" applyFont="1" applyFill="1" applyBorder="1" applyAlignment="1">
      <alignment horizontal="left" vertical="top" wrapText="1"/>
    </xf>
    <xf numFmtId="164" fontId="9" fillId="2" borderId="1" xfId="0" applyNumberFormat="1" applyFont="1" applyFill="1" applyBorder="1" applyAlignment="1">
      <alignment horizontal="left" vertical="top" wrapText="1"/>
    </xf>
    <xf numFmtId="0" fontId="7" fillId="4" borderId="1" xfId="0" applyFont="1" applyFill="1" applyBorder="1"/>
    <xf numFmtId="169" fontId="8" fillId="8" borderId="1" xfId="0" applyNumberFormat="1" applyFont="1" applyFill="1" applyBorder="1"/>
    <xf numFmtId="164" fontId="8" fillId="8" borderId="1" xfId="0" applyNumberFormat="1" applyFont="1" applyFill="1" applyBorder="1"/>
    <xf numFmtId="170" fontId="9" fillId="0" borderId="1" xfId="0" applyNumberFormat="1" applyFont="1" applyBorder="1" applyAlignment="1">
      <alignment horizontal="left" vertical="top" wrapText="1"/>
    </xf>
    <xf numFmtId="170" fontId="9" fillId="2" borderId="1" xfId="0" applyNumberFormat="1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/>
    </xf>
    <xf numFmtId="168" fontId="8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64" fontId="6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44"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A9D08E"/>
        </patternFill>
      </fill>
    </dxf>
    <dxf>
      <fill>
        <patternFill>
          <bgColor rgb="FFF4B084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A9D08E"/>
      <rgbColor rgb="FFF4B084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81"/>
  <sheetViews>
    <sheetView showGridLines="0" tabSelected="1" zoomScaleNormal="100" workbookViewId="0">
      <selection activeCell="B2" sqref="B2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50" customWidth="1"/>
    <col min="4" max="6" width="22" customWidth="1"/>
  </cols>
  <sheetData>
    <row r="1" spans="2:6" ht="16.5" customHeight="1" x14ac:dyDescent="0.2"/>
    <row r="2" spans="2:6" ht="33" customHeight="1" x14ac:dyDescent="0.2">
      <c r="B2" s="4" t="s">
        <v>0</v>
      </c>
    </row>
    <row r="3" spans="2:6" ht="16.5" customHeight="1" x14ac:dyDescent="0.2">
      <c r="B3" s="5" t="s">
        <v>1</v>
      </c>
    </row>
    <row r="4" spans="2:6" ht="16.5" customHeight="1" x14ac:dyDescent="0.2">
      <c r="B4" s="6" t="s">
        <v>2</v>
      </c>
    </row>
    <row r="5" spans="2:6" ht="18.75" customHeight="1" x14ac:dyDescent="0.2">
      <c r="B5" s="7" t="s">
        <v>3</v>
      </c>
    </row>
    <row r="6" spans="2:6" ht="16.5" customHeight="1" x14ac:dyDescent="0.2"/>
    <row r="7" spans="2:6" ht="16.5" customHeight="1" x14ac:dyDescent="0.2">
      <c r="B7" s="8" t="s">
        <v>4</v>
      </c>
      <c r="C7" s="49"/>
      <c r="D7" s="49"/>
      <c r="E7" s="49"/>
      <c r="F7" s="49"/>
    </row>
    <row r="8" spans="2:6" ht="16.5" customHeight="1" x14ac:dyDescent="0.2">
      <c r="B8" s="8" t="s">
        <v>5</v>
      </c>
      <c r="C8" s="49"/>
      <c r="D8" s="49"/>
      <c r="E8" s="49"/>
      <c r="F8" s="49"/>
    </row>
    <row r="9" spans="2:6" ht="16.5" customHeight="1" x14ac:dyDescent="0.2">
      <c r="B9" s="8" t="s">
        <v>6</v>
      </c>
      <c r="C9" s="49"/>
      <c r="D9" s="49"/>
      <c r="E9" s="49"/>
      <c r="F9" s="49"/>
    </row>
    <row r="10" spans="2:6" ht="16.5" customHeight="1" x14ac:dyDescent="0.2">
      <c r="B10" s="8" t="s">
        <v>7</v>
      </c>
      <c r="C10" s="49"/>
      <c r="D10" s="49"/>
      <c r="E10" s="49"/>
      <c r="F10" s="49"/>
    </row>
    <row r="11" spans="2:6" ht="16.5" customHeight="1" x14ac:dyDescent="0.2">
      <c r="B11" s="8" t="s">
        <v>8</v>
      </c>
      <c r="C11" s="49"/>
      <c r="D11" s="49"/>
      <c r="E11" s="49"/>
      <c r="F11" s="49"/>
    </row>
    <row r="12" spans="2:6" ht="16.5" customHeight="1" x14ac:dyDescent="0.2">
      <c r="B12" s="8" t="s">
        <v>9</v>
      </c>
      <c r="C12" s="49"/>
      <c r="D12" s="49"/>
      <c r="E12" s="49"/>
      <c r="F12" s="49"/>
    </row>
    <row r="13" spans="2:6" ht="16.5" customHeight="1" x14ac:dyDescent="0.2">
      <c r="B13" s="8" t="s">
        <v>10</v>
      </c>
      <c r="C13" s="49"/>
      <c r="D13" s="49"/>
      <c r="E13" s="49"/>
      <c r="F13" s="49"/>
    </row>
    <row r="14" spans="2:6" ht="16.5" customHeight="1" x14ac:dyDescent="0.2">
      <c r="B14" s="8" t="s">
        <v>11</v>
      </c>
      <c r="C14" s="49"/>
      <c r="D14" s="49"/>
      <c r="E14" s="49"/>
      <c r="F14" s="49"/>
    </row>
    <row r="15" spans="2:6" ht="16.5" customHeight="1" x14ac:dyDescent="0.2">
      <c r="B15" s="8" t="s">
        <v>12</v>
      </c>
      <c r="C15" s="49"/>
      <c r="D15" s="49"/>
      <c r="E15" s="49"/>
      <c r="F15" s="49"/>
    </row>
    <row r="16" spans="2:6" ht="16.5" customHeight="1" x14ac:dyDescent="0.2">
      <c r="B16" s="8" t="s">
        <v>13</v>
      </c>
      <c r="C16" s="49"/>
      <c r="D16" s="49"/>
      <c r="E16" s="49"/>
      <c r="F16" s="49"/>
    </row>
    <row r="17" spans="2:6" ht="16.5" customHeight="1" x14ac:dyDescent="0.2">
      <c r="B17" s="8" t="s">
        <v>14</v>
      </c>
      <c r="C17" s="49"/>
      <c r="D17" s="49"/>
      <c r="E17" s="49"/>
      <c r="F17" s="49"/>
    </row>
    <row r="18" spans="2:6" ht="60" customHeight="1" x14ac:dyDescent="0.2">
      <c r="B18" s="8" t="s">
        <v>15</v>
      </c>
      <c r="C18" s="49"/>
      <c r="D18" s="49"/>
      <c r="E18" s="49"/>
      <c r="F18" s="49"/>
    </row>
    <row r="19" spans="2:6" ht="16.5" customHeight="1" x14ac:dyDescent="0.2">
      <c r="B19" s="8" t="s">
        <v>16</v>
      </c>
      <c r="C19" s="49"/>
      <c r="D19" s="49"/>
      <c r="E19" s="49"/>
      <c r="F19" s="49"/>
    </row>
    <row r="20" spans="2:6" ht="16.5" customHeight="1" x14ac:dyDescent="0.2"/>
    <row r="21" spans="2:6" ht="16.5" customHeight="1" x14ac:dyDescent="0.2"/>
    <row r="22" spans="2:6" ht="16.5" customHeight="1" x14ac:dyDescent="0.2">
      <c r="B22" s="7" t="s">
        <v>17</v>
      </c>
    </row>
    <row r="23" spans="2:6" ht="16.5" customHeight="1" x14ac:dyDescent="0.2"/>
    <row r="24" spans="2:6" ht="27.75" customHeight="1" x14ac:dyDescent="0.2">
      <c r="B24" s="9" t="s">
        <v>18</v>
      </c>
      <c r="C24" s="9" t="s">
        <v>19</v>
      </c>
    </row>
    <row r="25" spans="2:6" ht="60" customHeight="1" x14ac:dyDescent="0.2">
      <c r="B25" s="10" t="s">
        <v>20</v>
      </c>
      <c r="C25" s="47" t="s">
        <v>21</v>
      </c>
      <c r="D25" s="47"/>
      <c r="E25" s="47"/>
      <c r="F25" s="47"/>
    </row>
    <row r="26" spans="2:6" ht="60" customHeight="1" x14ac:dyDescent="0.2">
      <c r="B26" s="11" t="s">
        <v>22</v>
      </c>
      <c r="C26" s="47" t="s">
        <v>23</v>
      </c>
      <c r="D26" s="47"/>
      <c r="E26" s="47"/>
      <c r="F26" s="47"/>
    </row>
    <row r="27" spans="2:6" ht="60" customHeight="1" x14ac:dyDescent="0.2">
      <c r="B27" s="12" t="s">
        <v>24</v>
      </c>
      <c r="C27" s="47" t="s">
        <v>25</v>
      </c>
      <c r="D27" s="47"/>
      <c r="E27" s="47"/>
      <c r="F27" s="47"/>
    </row>
    <row r="28" spans="2:6" ht="16.5" customHeight="1" x14ac:dyDescent="0.2"/>
    <row r="29" spans="2:6" ht="31.5" customHeight="1" x14ac:dyDescent="0.2">
      <c r="B29" s="48" t="s">
        <v>26</v>
      </c>
      <c r="C29" s="48"/>
      <c r="D29" s="48"/>
      <c r="E29" s="48"/>
      <c r="F29" s="48"/>
    </row>
    <row r="30" spans="2:6" ht="16.5" customHeight="1" x14ac:dyDescent="0.2"/>
    <row r="31" spans="2:6" ht="16.5" customHeight="1" x14ac:dyDescent="0.2"/>
    <row r="32" spans="2:6" ht="16.5" customHeight="1" x14ac:dyDescent="0.2"/>
    <row r="33" spans="2:5" ht="16.5" customHeight="1" x14ac:dyDescent="0.2">
      <c r="B33" s="7" t="s">
        <v>27</v>
      </c>
    </row>
    <row r="34" spans="2:5" ht="16.5" customHeight="1" x14ac:dyDescent="0.2"/>
    <row r="35" spans="2:5" ht="16.5" customHeight="1" x14ac:dyDescent="0.2">
      <c r="B35" s="9" t="s">
        <v>28</v>
      </c>
      <c r="C35" s="9" t="s">
        <v>29</v>
      </c>
      <c r="D35" s="9" t="s">
        <v>30</v>
      </c>
      <c r="E35" s="9" t="s">
        <v>31</v>
      </c>
    </row>
    <row r="36" spans="2:5" ht="31.5" customHeight="1" x14ac:dyDescent="0.2">
      <c r="B36" s="2" t="s">
        <v>32</v>
      </c>
      <c r="C36" s="2" t="s">
        <v>33</v>
      </c>
      <c r="D36" s="2" t="s">
        <v>34</v>
      </c>
      <c r="E36" s="2" t="s">
        <v>35</v>
      </c>
    </row>
    <row r="37" spans="2:5" ht="48" customHeight="1" x14ac:dyDescent="0.2">
      <c r="B37" s="13" t="s">
        <v>36</v>
      </c>
      <c r="C37" s="13" t="s">
        <v>37</v>
      </c>
      <c r="D37" s="13" t="s">
        <v>38</v>
      </c>
      <c r="E37" s="13" t="s">
        <v>39</v>
      </c>
    </row>
    <row r="38" spans="2:5" ht="31.5" customHeight="1" x14ac:dyDescent="0.2">
      <c r="B38" s="2" t="s">
        <v>40</v>
      </c>
      <c r="C38" s="2" t="s">
        <v>41</v>
      </c>
      <c r="D38" s="2" t="s">
        <v>42</v>
      </c>
      <c r="E38" s="2" t="s">
        <v>43</v>
      </c>
    </row>
    <row r="39" spans="2:5" ht="48" customHeight="1" x14ac:dyDescent="0.2">
      <c r="B39" s="13" t="s">
        <v>44</v>
      </c>
      <c r="C39" s="13" t="s">
        <v>45</v>
      </c>
      <c r="D39" s="13" t="s">
        <v>46</v>
      </c>
      <c r="E39" s="13" t="s">
        <v>47</v>
      </c>
    </row>
    <row r="40" spans="2:5" ht="48" customHeight="1" x14ac:dyDescent="0.2">
      <c r="B40" s="2" t="s">
        <v>48</v>
      </c>
      <c r="C40" s="2" t="s">
        <v>49</v>
      </c>
      <c r="D40" s="2" t="s">
        <v>50</v>
      </c>
      <c r="E40" s="2" t="s">
        <v>51</v>
      </c>
    </row>
    <row r="41" spans="2:5" ht="48" customHeight="1" x14ac:dyDescent="0.2">
      <c r="B41" s="13" t="s">
        <v>52</v>
      </c>
      <c r="C41" s="13" t="s">
        <v>53</v>
      </c>
      <c r="D41" s="13" t="s">
        <v>54</v>
      </c>
      <c r="E41" s="13" t="s">
        <v>55</v>
      </c>
    </row>
    <row r="42" spans="2:5" ht="48" customHeight="1" x14ac:dyDescent="0.2">
      <c r="B42" s="2" t="s">
        <v>56</v>
      </c>
      <c r="C42" s="2" t="s">
        <v>57</v>
      </c>
      <c r="D42" s="2" t="s">
        <v>58</v>
      </c>
      <c r="E42" s="2" t="s">
        <v>59</v>
      </c>
    </row>
    <row r="43" spans="2:5" ht="48" customHeight="1" x14ac:dyDescent="0.2">
      <c r="B43" s="13" t="s">
        <v>60</v>
      </c>
      <c r="C43" s="13" t="s">
        <v>61</v>
      </c>
      <c r="D43" s="13" t="s">
        <v>62</v>
      </c>
      <c r="E43" s="13" t="s">
        <v>55</v>
      </c>
    </row>
    <row r="44" spans="2:5" ht="48" customHeight="1" x14ac:dyDescent="0.2">
      <c r="B44" s="2" t="s">
        <v>63</v>
      </c>
      <c r="C44" s="2" t="s">
        <v>64</v>
      </c>
      <c r="D44" s="2" t="s">
        <v>65</v>
      </c>
      <c r="E44" s="2" t="s">
        <v>66</v>
      </c>
    </row>
    <row r="45" spans="2:5" ht="63" customHeight="1" x14ac:dyDescent="0.2">
      <c r="B45" s="13" t="s">
        <v>67</v>
      </c>
      <c r="C45" s="13" t="s">
        <v>68</v>
      </c>
      <c r="D45" s="13" t="s">
        <v>69</v>
      </c>
      <c r="E45" s="13" t="s">
        <v>70</v>
      </c>
    </row>
    <row r="46" spans="2:5" ht="48" customHeight="1" x14ac:dyDescent="0.2">
      <c r="B46" s="2" t="s">
        <v>71</v>
      </c>
      <c r="C46" s="2" t="s">
        <v>72</v>
      </c>
      <c r="D46" s="2" t="s">
        <v>73</v>
      </c>
      <c r="E46" s="2" t="s">
        <v>74</v>
      </c>
    </row>
    <row r="47" spans="2:5" ht="48" customHeight="1" x14ac:dyDescent="0.2">
      <c r="B47" s="13" t="s">
        <v>75</v>
      </c>
      <c r="C47" s="13" t="s">
        <v>76</v>
      </c>
      <c r="D47" s="13" t="s">
        <v>77</v>
      </c>
      <c r="E47" s="13" t="s">
        <v>78</v>
      </c>
    </row>
    <row r="48" spans="2:5" ht="31.5" customHeight="1" x14ac:dyDescent="0.2">
      <c r="B48" s="2" t="s">
        <v>79</v>
      </c>
      <c r="C48" s="2" t="s">
        <v>80</v>
      </c>
      <c r="D48" s="2" t="s">
        <v>81</v>
      </c>
      <c r="E48" s="2" t="s">
        <v>82</v>
      </c>
    </row>
    <row r="49" spans="2:6" ht="48" customHeight="1" x14ac:dyDescent="0.2">
      <c r="B49" s="13" t="s">
        <v>83</v>
      </c>
      <c r="C49" s="13" t="s">
        <v>84</v>
      </c>
      <c r="D49" s="13" t="s">
        <v>85</v>
      </c>
      <c r="E49" s="13" t="s">
        <v>86</v>
      </c>
    </row>
    <row r="50" spans="2:6" ht="48" customHeight="1" x14ac:dyDescent="0.2">
      <c r="B50" s="2" t="s">
        <v>87</v>
      </c>
      <c r="C50" s="2" t="s">
        <v>88</v>
      </c>
      <c r="D50" s="2" t="s">
        <v>89</v>
      </c>
      <c r="E50" s="2" t="s">
        <v>90</v>
      </c>
    </row>
    <row r="51" spans="2:6" ht="48" customHeight="1" x14ac:dyDescent="0.2">
      <c r="B51" s="13" t="s">
        <v>91</v>
      </c>
      <c r="C51" s="13" t="s">
        <v>92</v>
      </c>
      <c r="D51" s="13" t="s">
        <v>93</v>
      </c>
      <c r="E51" s="13" t="s">
        <v>94</v>
      </c>
    </row>
    <row r="52" spans="2:6" ht="48" customHeight="1" x14ac:dyDescent="0.2">
      <c r="B52" s="2" t="s">
        <v>95</v>
      </c>
      <c r="C52" s="2" t="s">
        <v>96</v>
      </c>
      <c r="D52" s="2" t="s">
        <v>97</v>
      </c>
      <c r="E52" s="2" t="s">
        <v>98</v>
      </c>
    </row>
    <row r="53" spans="2:6" ht="16.5" customHeight="1" x14ac:dyDescent="0.2"/>
    <row r="54" spans="2:6" ht="16.5" customHeight="1" x14ac:dyDescent="0.2"/>
    <row r="55" spans="2:6" ht="16.5" customHeight="1" x14ac:dyDescent="0.2">
      <c r="B55" s="7" t="s">
        <v>99</v>
      </c>
    </row>
    <row r="56" spans="2:6" ht="16.5" customHeight="1" x14ac:dyDescent="0.2"/>
    <row r="57" spans="2:6" ht="21.75" customHeight="1" x14ac:dyDescent="0.2">
      <c r="B57" s="46" t="s">
        <v>100</v>
      </c>
      <c r="C57" s="46"/>
      <c r="D57" s="46"/>
      <c r="E57" s="46"/>
      <c r="F57" s="46"/>
    </row>
    <row r="58" spans="2:6" ht="21.75" customHeight="1" x14ac:dyDescent="0.2">
      <c r="B58" s="46" t="s">
        <v>101</v>
      </c>
      <c r="C58" s="46"/>
      <c r="D58" s="46"/>
      <c r="E58" s="46"/>
      <c r="F58" s="46"/>
    </row>
    <row r="59" spans="2:6" ht="21.75" customHeight="1" x14ac:dyDescent="0.2">
      <c r="B59" s="46" t="s">
        <v>102</v>
      </c>
      <c r="C59" s="46"/>
      <c r="D59" s="46"/>
      <c r="E59" s="46"/>
      <c r="F59" s="46"/>
    </row>
    <row r="60" spans="2:6" ht="21.75" customHeight="1" x14ac:dyDescent="0.2">
      <c r="B60" s="46" t="s">
        <v>103</v>
      </c>
      <c r="C60" s="46"/>
      <c r="D60" s="46"/>
      <c r="E60" s="46"/>
      <c r="F60" s="46"/>
    </row>
    <row r="61" spans="2:6" ht="21.75" customHeight="1" x14ac:dyDescent="0.2">
      <c r="B61" s="46" t="s">
        <v>104</v>
      </c>
      <c r="C61" s="46"/>
      <c r="D61" s="46"/>
      <c r="E61" s="46"/>
      <c r="F61" s="46"/>
    </row>
    <row r="62" spans="2:6" ht="21.75" customHeight="1" x14ac:dyDescent="0.2">
      <c r="B62" s="46" t="s">
        <v>105</v>
      </c>
      <c r="C62" s="46"/>
      <c r="D62" s="46"/>
      <c r="E62" s="46"/>
      <c r="F62" s="46"/>
    </row>
    <row r="63" spans="2:6" ht="21.75" customHeight="1" x14ac:dyDescent="0.2">
      <c r="B63" s="46" t="s">
        <v>106</v>
      </c>
      <c r="C63" s="46"/>
      <c r="D63" s="46"/>
      <c r="E63" s="46"/>
      <c r="F63" s="46"/>
    </row>
    <row r="64" spans="2:6" ht="21.75" customHeight="1" x14ac:dyDescent="0.2">
      <c r="B64" s="46" t="s">
        <v>107</v>
      </c>
      <c r="C64" s="46"/>
      <c r="D64" s="46"/>
      <c r="E64" s="46"/>
      <c r="F64" s="46"/>
    </row>
    <row r="65" spans="2:6" ht="21.75" customHeight="1" x14ac:dyDescent="0.2">
      <c r="B65" s="46" t="s">
        <v>108</v>
      </c>
      <c r="C65" s="46"/>
      <c r="D65" s="46"/>
      <c r="E65" s="46"/>
      <c r="F65" s="46"/>
    </row>
    <row r="66" spans="2:6" ht="21.75" customHeight="1" x14ac:dyDescent="0.2">
      <c r="B66" s="46" t="s">
        <v>109</v>
      </c>
      <c r="C66" s="46"/>
      <c r="D66" s="46"/>
      <c r="E66" s="46"/>
      <c r="F66" s="46"/>
    </row>
    <row r="67" spans="2:6" ht="16.5" customHeight="1" x14ac:dyDescent="0.2"/>
    <row r="68" spans="2:6" ht="16.5" customHeight="1" x14ac:dyDescent="0.2"/>
    <row r="69" spans="2:6" ht="16.5" customHeight="1" x14ac:dyDescent="0.2">
      <c r="B69" s="7" t="s">
        <v>110</v>
      </c>
    </row>
    <row r="70" spans="2:6" ht="16.5" customHeight="1" x14ac:dyDescent="0.2"/>
    <row r="71" spans="2:6" ht="27.75" customHeight="1" x14ac:dyDescent="0.2">
      <c r="B71" s="46" t="s">
        <v>111</v>
      </c>
      <c r="C71" s="46"/>
      <c r="D71" s="46"/>
      <c r="E71" s="46"/>
      <c r="F71" s="46"/>
    </row>
    <row r="72" spans="2:6" ht="27.75" customHeight="1" x14ac:dyDescent="0.2">
      <c r="B72" s="46" t="s">
        <v>112</v>
      </c>
      <c r="C72" s="46"/>
      <c r="D72" s="46"/>
      <c r="E72" s="46"/>
      <c r="F72" s="46"/>
    </row>
    <row r="73" spans="2:6" ht="27.75" customHeight="1" x14ac:dyDescent="0.2">
      <c r="B73" s="46" t="s">
        <v>113</v>
      </c>
      <c r="C73" s="46"/>
      <c r="D73" s="46"/>
      <c r="E73" s="46"/>
      <c r="F73" s="46"/>
    </row>
    <row r="74" spans="2:6" ht="27.75" customHeight="1" x14ac:dyDescent="0.2">
      <c r="B74" s="46" t="s">
        <v>114</v>
      </c>
      <c r="C74" s="46"/>
      <c r="D74" s="46"/>
      <c r="E74" s="46"/>
      <c r="F74" s="46"/>
    </row>
    <row r="75" spans="2:6" ht="16.5" customHeight="1" x14ac:dyDescent="0.2"/>
    <row r="76" spans="2:6" ht="16.5" customHeight="1" x14ac:dyDescent="0.2"/>
    <row r="77" spans="2:6" ht="16.5" customHeight="1" x14ac:dyDescent="0.2">
      <c r="B77" s="7" t="s">
        <v>115</v>
      </c>
    </row>
    <row r="78" spans="2:6" ht="16.5" customHeight="1" x14ac:dyDescent="0.2"/>
    <row r="79" spans="2:6" ht="27.75" customHeight="1" x14ac:dyDescent="0.2">
      <c r="B79" s="46" t="s">
        <v>116</v>
      </c>
      <c r="C79" s="46"/>
      <c r="D79" s="46"/>
      <c r="E79" s="46"/>
      <c r="F79" s="46"/>
    </row>
    <row r="80" spans="2:6" ht="31.5" customHeight="1" x14ac:dyDescent="0.2">
      <c r="B80" s="46" t="s">
        <v>117</v>
      </c>
      <c r="C80" s="46"/>
      <c r="D80" s="46"/>
      <c r="E80" s="46"/>
      <c r="F80" s="46"/>
    </row>
    <row r="81" spans="2:6" ht="27.75" customHeight="1" x14ac:dyDescent="0.2">
      <c r="B81" s="46" t="s">
        <v>118</v>
      </c>
      <c r="C81" s="46"/>
      <c r="D81" s="46"/>
      <c r="E81" s="46"/>
      <c r="F81" s="46"/>
    </row>
  </sheetData>
  <mergeCells count="34"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5:F25"/>
    <mergeCell ref="C26:F26"/>
    <mergeCell ref="C27:F27"/>
    <mergeCell ref="B29:F29"/>
    <mergeCell ref="B57:F57"/>
    <mergeCell ref="B58:F58"/>
    <mergeCell ref="B59:F59"/>
    <mergeCell ref="B60:F60"/>
    <mergeCell ref="B61:F61"/>
    <mergeCell ref="B62:F62"/>
    <mergeCell ref="B63:F63"/>
    <mergeCell ref="B64:F64"/>
    <mergeCell ref="B74:F74"/>
    <mergeCell ref="B79:F79"/>
    <mergeCell ref="B80:F80"/>
    <mergeCell ref="B81:F81"/>
    <mergeCell ref="B65:F65"/>
    <mergeCell ref="B66:F66"/>
    <mergeCell ref="B71:F71"/>
    <mergeCell ref="B72:F72"/>
    <mergeCell ref="B73:F73"/>
  </mergeCells>
  <conditionalFormatting sqref="C17">
    <cfRule type="expression" dxfId="43" priority="2">
      <formula>EXACT(C17,"Off-Track")</formula>
    </cfRule>
    <cfRule type="expression" dxfId="42" priority="3">
      <formula>EXACT(C17,"At-Risk")</formula>
    </cfRule>
    <cfRule type="expression" dxfId="41" priority="4">
      <formula>EXACT(C17,"On-Track")</formula>
    </cfRule>
  </conditionalFormatting>
  <dataValidations count="2">
    <dataValidation type="list" allowBlank="1" sqref="C16" xr:uid="{00000000-0002-0000-0000-000000000000}">
      <formula1>"Initiate,Plan,Execute,Monitor &amp; Control,Close,On Hold"</formula1>
      <formula2>0</formula2>
    </dataValidation>
    <dataValidation type="list" allowBlank="1" sqref="C17" xr:uid="{00000000-0002-0000-0000-000001000000}">
      <formula1>"On-Track,At-Risk,Off-Track,Not Started,On Hold,Complete"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4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8" customWidth="1"/>
    <col min="3" max="3" width="70" customWidth="1"/>
  </cols>
  <sheetData>
    <row r="1" spans="2:3" ht="16.5" customHeight="1" x14ac:dyDescent="0.2"/>
    <row r="2" spans="2:3" ht="27.75" customHeight="1" x14ac:dyDescent="0.2">
      <c r="B2" s="14" t="s">
        <v>119</v>
      </c>
    </row>
    <row r="3" spans="2:3" ht="16.5" customHeight="1" x14ac:dyDescent="0.2">
      <c r="B3" s="5" t="s">
        <v>120</v>
      </c>
    </row>
    <row r="4" spans="2:3" ht="16.5" customHeight="1" x14ac:dyDescent="0.2"/>
    <row r="5" spans="2:3" ht="36" customHeight="1" x14ac:dyDescent="0.2">
      <c r="B5" s="8" t="s">
        <v>4</v>
      </c>
      <c r="C5" s="1" t="s">
        <v>121</v>
      </c>
    </row>
    <row r="6" spans="2:3" ht="36" customHeight="1" x14ac:dyDescent="0.2">
      <c r="B6" s="8" t="s">
        <v>6</v>
      </c>
      <c r="C6" s="1" t="s">
        <v>122</v>
      </c>
    </row>
    <row r="7" spans="2:3" ht="36" customHeight="1" x14ac:dyDescent="0.2">
      <c r="B7" s="8" t="s">
        <v>7</v>
      </c>
      <c r="C7" s="1" t="s">
        <v>123</v>
      </c>
    </row>
    <row r="8" spans="2:3" ht="36" customHeight="1" x14ac:dyDescent="0.2">
      <c r="B8" s="8" t="s">
        <v>124</v>
      </c>
      <c r="C8" s="1" t="s">
        <v>125</v>
      </c>
    </row>
    <row r="9" spans="2:3" ht="36" customHeight="1" x14ac:dyDescent="0.2">
      <c r="B9" s="8" t="s">
        <v>126</v>
      </c>
      <c r="C9" s="1" t="s">
        <v>127</v>
      </c>
    </row>
    <row r="10" spans="2:3" ht="21.75" customHeight="1" x14ac:dyDescent="0.2">
      <c r="B10" s="50" t="s">
        <v>128</v>
      </c>
      <c r="C10" s="50"/>
    </row>
    <row r="11" spans="2:3" ht="36" customHeight="1" x14ac:dyDescent="0.2">
      <c r="B11" s="8" t="s">
        <v>129</v>
      </c>
      <c r="C11" s="1" t="s">
        <v>130</v>
      </c>
    </row>
    <row r="12" spans="2:3" ht="36" customHeight="1" x14ac:dyDescent="0.2">
      <c r="B12" s="8" t="s">
        <v>131</v>
      </c>
      <c r="C12" s="1" t="s">
        <v>132</v>
      </c>
    </row>
    <row r="13" spans="2:3" ht="36" customHeight="1" x14ac:dyDescent="0.2">
      <c r="B13" s="8" t="s">
        <v>133</v>
      </c>
      <c r="C13" s="1" t="s">
        <v>134</v>
      </c>
    </row>
    <row r="14" spans="2:3" ht="36" customHeight="1" x14ac:dyDescent="0.2">
      <c r="B14" s="8" t="s">
        <v>135</v>
      </c>
      <c r="C14" s="1" t="s">
        <v>136</v>
      </c>
    </row>
    <row r="15" spans="2:3" ht="21.75" customHeight="1" x14ac:dyDescent="0.2">
      <c r="B15" s="50" t="s">
        <v>137</v>
      </c>
      <c r="C15" s="50"/>
    </row>
    <row r="16" spans="2:3" ht="36" customHeight="1" x14ac:dyDescent="0.2">
      <c r="B16" s="8" t="s">
        <v>138</v>
      </c>
      <c r="C16" s="1" t="s">
        <v>139</v>
      </c>
    </row>
    <row r="17" spans="2:3" ht="36" customHeight="1" x14ac:dyDescent="0.2">
      <c r="B17" s="8" t="s">
        <v>140</v>
      </c>
      <c r="C17" s="1" t="s">
        <v>141</v>
      </c>
    </row>
    <row r="18" spans="2:3" ht="36" customHeight="1" x14ac:dyDescent="0.2">
      <c r="B18" s="8" t="s">
        <v>142</v>
      </c>
      <c r="C18" s="1" t="s">
        <v>143</v>
      </c>
    </row>
    <row r="19" spans="2:3" ht="21.75" customHeight="1" x14ac:dyDescent="0.2">
      <c r="B19" s="50" t="s">
        <v>144</v>
      </c>
      <c r="C19" s="50"/>
    </row>
    <row r="20" spans="2:3" ht="36" customHeight="1" x14ac:dyDescent="0.2">
      <c r="B20" s="8" t="s">
        <v>145</v>
      </c>
      <c r="C20" s="1" t="s">
        <v>146</v>
      </c>
    </row>
    <row r="21" spans="2:3" ht="36" customHeight="1" x14ac:dyDescent="0.2">
      <c r="B21" s="8" t="s">
        <v>147</v>
      </c>
      <c r="C21" s="1" t="s">
        <v>148</v>
      </c>
    </row>
    <row r="22" spans="2:3" ht="36" customHeight="1" x14ac:dyDescent="0.2">
      <c r="B22" s="8" t="s">
        <v>149</v>
      </c>
      <c r="C22" s="1" t="s">
        <v>150</v>
      </c>
    </row>
    <row r="23" spans="2:3" ht="36" customHeight="1" x14ac:dyDescent="0.2">
      <c r="B23" s="8" t="s">
        <v>151</v>
      </c>
      <c r="C23" s="1" t="s">
        <v>152</v>
      </c>
    </row>
    <row r="24" spans="2:3" ht="21.75" customHeight="1" x14ac:dyDescent="0.2">
      <c r="B24" s="50" t="s">
        <v>153</v>
      </c>
      <c r="C24" s="50"/>
    </row>
    <row r="25" spans="2:3" ht="36" customHeight="1" x14ac:dyDescent="0.2">
      <c r="B25" s="8" t="s">
        <v>154</v>
      </c>
      <c r="C25" s="1" t="s">
        <v>155</v>
      </c>
    </row>
    <row r="26" spans="2:3" ht="36" customHeight="1" x14ac:dyDescent="0.2">
      <c r="B26" s="8" t="s">
        <v>156</v>
      </c>
      <c r="C26" s="1" t="s">
        <v>157</v>
      </c>
    </row>
    <row r="27" spans="2:3" ht="21.75" customHeight="1" x14ac:dyDescent="0.2">
      <c r="B27" s="50" t="s">
        <v>158</v>
      </c>
      <c r="C27" s="50"/>
    </row>
    <row r="28" spans="2:3" ht="36" customHeight="1" x14ac:dyDescent="0.2">
      <c r="B28" s="8" t="s">
        <v>159</v>
      </c>
      <c r="C28" s="1" t="s">
        <v>160</v>
      </c>
    </row>
    <row r="29" spans="2:3" ht="36" customHeight="1" x14ac:dyDescent="0.2">
      <c r="B29" s="8" t="s">
        <v>161</v>
      </c>
      <c r="C29" s="1" t="s">
        <v>162</v>
      </c>
    </row>
    <row r="30" spans="2:3" ht="36" customHeight="1" x14ac:dyDescent="0.2">
      <c r="B30" s="8" t="s">
        <v>163</v>
      </c>
      <c r="C30" s="1" t="s">
        <v>164</v>
      </c>
    </row>
    <row r="31" spans="2:3" ht="36" customHeight="1" x14ac:dyDescent="0.2">
      <c r="B31" s="8" t="s">
        <v>165</v>
      </c>
      <c r="C31" s="1" t="s">
        <v>166</v>
      </c>
    </row>
    <row r="32" spans="2:3" ht="21.75" customHeight="1" x14ac:dyDescent="0.2">
      <c r="B32" s="50" t="s">
        <v>167</v>
      </c>
      <c r="C32" s="50"/>
    </row>
    <row r="33" spans="2:3" ht="36" customHeight="1" x14ac:dyDescent="0.2">
      <c r="B33" s="8" t="s">
        <v>12</v>
      </c>
      <c r="C33" s="1" t="s">
        <v>168</v>
      </c>
    </row>
    <row r="34" spans="2:3" ht="36" customHeight="1" x14ac:dyDescent="0.2">
      <c r="B34" s="8" t="s">
        <v>169</v>
      </c>
      <c r="C34" s="1" t="s">
        <v>170</v>
      </c>
    </row>
    <row r="35" spans="2:3" ht="36" customHeight="1" x14ac:dyDescent="0.2">
      <c r="B35" s="8" t="s">
        <v>171</v>
      </c>
      <c r="C35" s="1" t="s">
        <v>172</v>
      </c>
    </row>
    <row r="36" spans="2:3" ht="21.75" customHeight="1" x14ac:dyDescent="0.2">
      <c r="B36" s="50" t="s">
        <v>173</v>
      </c>
      <c r="C36" s="50"/>
    </row>
    <row r="37" spans="2:3" ht="36" customHeight="1" x14ac:dyDescent="0.2">
      <c r="B37" s="8" t="s">
        <v>174</v>
      </c>
      <c r="C37" s="1" t="s">
        <v>175</v>
      </c>
    </row>
    <row r="38" spans="2:3" ht="21.75" customHeight="1" x14ac:dyDescent="0.2">
      <c r="B38" s="50" t="s">
        <v>176</v>
      </c>
      <c r="C38" s="50"/>
    </row>
    <row r="39" spans="2:3" ht="36" customHeight="1" x14ac:dyDescent="0.2">
      <c r="B39" s="8" t="s">
        <v>177</v>
      </c>
      <c r="C39" s="1" t="s">
        <v>178</v>
      </c>
    </row>
    <row r="40" spans="2:3" ht="36" customHeight="1" x14ac:dyDescent="0.2">
      <c r="B40" s="8" t="s">
        <v>179</v>
      </c>
      <c r="C40" s="1" t="s">
        <v>180</v>
      </c>
    </row>
    <row r="41" spans="2:3" ht="36" customHeight="1" x14ac:dyDescent="0.2">
      <c r="B41" s="8" t="s">
        <v>181</v>
      </c>
      <c r="C41" s="1" t="s">
        <v>180</v>
      </c>
    </row>
    <row r="42" spans="2:3" ht="36" customHeight="1" x14ac:dyDescent="0.2">
      <c r="B42" s="8" t="s">
        <v>182</v>
      </c>
      <c r="C42" s="1" t="s">
        <v>183</v>
      </c>
    </row>
  </sheetData>
  <mergeCells count="8">
    <mergeCell ref="B32:C32"/>
    <mergeCell ref="B36:C36"/>
    <mergeCell ref="B38:C38"/>
    <mergeCell ref="B10:C10"/>
    <mergeCell ref="B15:C15"/>
    <mergeCell ref="B19:C19"/>
    <mergeCell ref="B24:C24"/>
    <mergeCell ref="B27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30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3" width="22" customWidth="1"/>
    <col min="4" max="4" width="18" customWidth="1"/>
    <col min="5" max="6" width="14" customWidth="1"/>
    <col min="7" max="7" width="12" customWidth="1"/>
    <col min="8" max="8" width="14" customWidth="1"/>
    <col min="9" max="9" width="22" customWidth="1"/>
    <col min="10" max="10" width="28" customWidth="1"/>
  </cols>
  <sheetData>
    <row r="1" spans="2:10" ht="16.5" customHeight="1" x14ac:dyDescent="0.2"/>
    <row r="2" spans="2:10" ht="27.75" customHeight="1" x14ac:dyDescent="0.2">
      <c r="B2" s="14" t="s">
        <v>184</v>
      </c>
    </row>
    <row r="3" spans="2:10" ht="16.5" customHeight="1" x14ac:dyDescent="0.2">
      <c r="B3" s="5" t="s">
        <v>185</v>
      </c>
    </row>
    <row r="4" spans="2:10" ht="16.5" customHeight="1" x14ac:dyDescent="0.2"/>
    <row r="5" spans="2:10" ht="31.5" customHeight="1" x14ac:dyDescent="0.2">
      <c r="B5" s="9" t="s">
        <v>186</v>
      </c>
      <c r="C5" s="9" t="s">
        <v>187</v>
      </c>
      <c r="D5" s="9" t="s">
        <v>188</v>
      </c>
      <c r="E5" s="9" t="s">
        <v>189</v>
      </c>
      <c r="F5" s="9" t="s">
        <v>190</v>
      </c>
      <c r="G5" s="9" t="s">
        <v>45</v>
      </c>
      <c r="H5" s="9" t="s">
        <v>191</v>
      </c>
      <c r="I5" s="9" t="s">
        <v>192</v>
      </c>
      <c r="J5" s="9" t="s">
        <v>193</v>
      </c>
    </row>
    <row r="6" spans="2:10" ht="27.75" customHeight="1" x14ac:dyDescent="0.2">
      <c r="B6" s="2"/>
      <c r="C6" s="2"/>
      <c r="D6" s="2"/>
      <c r="E6" s="2"/>
      <c r="F6" s="2"/>
      <c r="G6" s="2"/>
      <c r="H6" s="2"/>
      <c r="I6" s="2"/>
      <c r="J6" s="2"/>
    </row>
    <row r="7" spans="2:10" ht="27.75" customHeight="1" x14ac:dyDescent="0.2">
      <c r="B7" s="13"/>
      <c r="C7" s="13"/>
      <c r="D7" s="13"/>
      <c r="E7" s="13"/>
      <c r="F7" s="13"/>
      <c r="G7" s="13"/>
      <c r="H7" s="13"/>
      <c r="I7" s="13"/>
      <c r="J7" s="13"/>
    </row>
    <row r="8" spans="2:10" ht="27.75" customHeight="1" x14ac:dyDescent="0.2">
      <c r="B8" s="2"/>
      <c r="C8" s="2"/>
      <c r="D8" s="2"/>
      <c r="E8" s="2"/>
      <c r="F8" s="2"/>
      <c r="G8" s="2"/>
      <c r="H8" s="2"/>
      <c r="I8" s="2"/>
      <c r="J8" s="2"/>
    </row>
    <row r="9" spans="2:10" ht="27.75" customHeight="1" x14ac:dyDescent="0.2">
      <c r="B9" s="13"/>
      <c r="C9" s="13"/>
      <c r="D9" s="13"/>
      <c r="E9" s="13"/>
      <c r="F9" s="13"/>
      <c r="G9" s="13"/>
      <c r="H9" s="13"/>
      <c r="I9" s="13"/>
      <c r="J9" s="13"/>
    </row>
    <row r="10" spans="2:10" ht="27.75" customHeight="1" x14ac:dyDescent="0.2">
      <c r="B10" s="2"/>
      <c r="C10" s="2"/>
      <c r="D10" s="2"/>
      <c r="E10" s="2"/>
      <c r="F10" s="2"/>
      <c r="G10" s="2"/>
      <c r="H10" s="2"/>
      <c r="I10" s="2"/>
      <c r="J10" s="2"/>
    </row>
    <row r="11" spans="2:10" ht="27.75" customHeight="1" x14ac:dyDescent="0.2">
      <c r="B11" s="13"/>
      <c r="C11" s="13"/>
      <c r="D11" s="13"/>
      <c r="E11" s="13"/>
      <c r="F11" s="13"/>
      <c r="G11" s="13"/>
      <c r="H11" s="13"/>
      <c r="I11" s="13"/>
      <c r="J11" s="13"/>
    </row>
    <row r="12" spans="2:10" ht="27.75" customHeight="1" x14ac:dyDescent="0.2">
      <c r="B12" s="2"/>
      <c r="C12" s="2"/>
      <c r="D12" s="2"/>
      <c r="E12" s="2"/>
      <c r="F12" s="2"/>
      <c r="G12" s="2"/>
      <c r="H12" s="2"/>
      <c r="I12" s="2"/>
      <c r="J12" s="2"/>
    </row>
    <row r="13" spans="2:10" ht="27.75" customHeight="1" x14ac:dyDescent="0.2">
      <c r="B13" s="13"/>
      <c r="C13" s="13"/>
      <c r="D13" s="13"/>
      <c r="E13" s="13"/>
      <c r="F13" s="13"/>
      <c r="G13" s="13"/>
      <c r="H13" s="13"/>
      <c r="I13" s="13"/>
      <c r="J13" s="13"/>
    </row>
    <row r="14" spans="2:10" ht="27.75" customHeight="1" x14ac:dyDescent="0.2">
      <c r="B14" s="2"/>
      <c r="C14" s="2"/>
      <c r="D14" s="2"/>
      <c r="E14" s="2"/>
      <c r="F14" s="2"/>
      <c r="G14" s="2"/>
      <c r="H14" s="2"/>
      <c r="I14" s="2"/>
      <c r="J14" s="2"/>
    </row>
    <row r="15" spans="2:10" ht="27.75" customHeight="1" x14ac:dyDescent="0.2">
      <c r="B15" s="13"/>
      <c r="C15" s="13"/>
      <c r="D15" s="13"/>
      <c r="E15" s="13"/>
      <c r="F15" s="13"/>
      <c r="G15" s="13"/>
      <c r="H15" s="13"/>
      <c r="I15" s="13"/>
      <c r="J15" s="13"/>
    </row>
    <row r="16" spans="2:10" ht="27.75" customHeight="1" x14ac:dyDescent="0.2">
      <c r="B16" s="2"/>
      <c r="C16" s="2"/>
      <c r="D16" s="2"/>
      <c r="E16" s="2"/>
      <c r="F16" s="2"/>
      <c r="G16" s="2"/>
      <c r="H16" s="2"/>
      <c r="I16" s="2"/>
      <c r="J16" s="2"/>
    </row>
    <row r="17" spans="2:10" ht="27.75" customHeight="1" x14ac:dyDescent="0.2">
      <c r="B17" s="13"/>
      <c r="C17" s="13"/>
      <c r="D17" s="13"/>
      <c r="E17" s="13"/>
      <c r="F17" s="13"/>
      <c r="G17" s="13"/>
      <c r="H17" s="13"/>
      <c r="I17" s="13"/>
      <c r="J17" s="13"/>
    </row>
    <row r="18" spans="2:10" ht="27.75" customHeight="1" x14ac:dyDescent="0.2">
      <c r="B18" s="2"/>
      <c r="C18" s="2"/>
      <c r="D18" s="2"/>
      <c r="E18" s="2"/>
      <c r="F18" s="2"/>
      <c r="G18" s="2"/>
      <c r="H18" s="2"/>
      <c r="I18" s="2"/>
      <c r="J18" s="2"/>
    </row>
    <row r="19" spans="2:10" ht="27.75" customHeight="1" x14ac:dyDescent="0.2">
      <c r="B19" s="13"/>
      <c r="C19" s="13"/>
      <c r="D19" s="13"/>
      <c r="E19" s="13"/>
      <c r="F19" s="13"/>
      <c r="G19" s="13"/>
      <c r="H19" s="13"/>
      <c r="I19" s="13"/>
      <c r="J19" s="13"/>
    </row>
    <row r="20" spans="2:10" ht="27.75" customHeight="1" x14ac:dyDescent="0.2">
      <c r="B20" s="2"/>
      <c r="C20" s="2"/>
      <c r="D20" s="2"/>
      <c r="E20" s="2"/>
      <c r="F20" s="2"/>
      <c r="G20" s="2"/>
      <c r="H20" s="2"/>
      <c r="I20" s="2"/>
      <c r="J20" s="2"/>
    </row>
    <row r="21" spans="2:10" ht="27.75" customHeight="1" x14ac:dyDescent="0.2">
      <c r="B21" s="13"/>
      <c r="C21" s="13"/>
      <c r="D21" s="13"/>
      <c r="E21" s="13"/>
      <c r="F21" s="13"/>
      <c r="G21" s="13"/>
      <c r="H21" s="13"/>
      <c r="I21" s="13"/>
      <c r="J21" s="13"/>
    </row>
    <row r="22" spans="2:10" ht="27.75" customHeight="1" x14ac:dyDescent="0.2">
      <c r="B22" s="2"/>
      <c r="C22" s="2"/>
      <c r="D22" s="2"/>
      <c r="E22" s="2"/>
      <c r="F22" s="2"/>
      <c r="G22" s="2"/>
      <c r="H22" s="2"/>
      <c r="I22" s="2"/>
      <c r="J22" s="2"/>
    </row>
    <row r="23" spans="2:10" ht="27.75" customHeight="1" x14ac:dyDescent="0.2">
      <c r="B23" s="13"/>
      <c r="C23" s="13"/>
      <c r="D23" s="13"/>
      <c r="E23" s="13"/>
      <c r="F23" s="13"/>
      <c r="G23" s="13"/>
      <c r="H23" s="13"/>
      <c r="I23" s="13"/>
      <c r="J23" s="13"/>
    </row>
    <row r="24" spans="2:10" ht="27.75" customHeight="1" x14ac:dyDescent="0.2">
      <c r="B24" s="2"/>
      <c r="C24" s="2"/>
      <c r="D24" s="2"/>
      <c r="E24" s="2"/>
      <c r="F24" s="2"/>
      <c r="G24" s="2"/>
      <c r="H24" s="2"/>
      <c r="I24" s="2"/>
      <c r="J24" s="2"/>
    </row>
    <row r="25" spans="2:10" ht="27.75" customHeight="1" x14ac:dyDescent="0.2">
      <c r="B25" s="13"/>
      <c r="C25" s="13"/>
      <c r="D25" s="13"/>
      <c r="E25" s="13"/>
      <c r="F25" s="13"/>
      <c r="G25" s="13"/>
      <c r="H25" s="13"/>
      <c r="I25" s="13"/>
      <c r="J25" s="13"/>
    </row>
    <row r="26" spans="2:10" ht="27.75" customHeight="1" x14ac:dyDescent="0.2">
      <c r="B26" s="2"/>
      <c r="C26" s="2"/>
      <c r="D26" s="2"/>
      <c r="E26" s="2"/>
      <c r="F26" s="2"/>
      <c r="G26" s="2"/>
      <c r="H26" s="2"/>
      <c r="I26" s="2"/>
      <c r="J26" s="2"/>
    </row>
    <row r="27" spans="2:10" ht="27.75" customHeight="1" x14ac:dyDescent="0.2">
      <c r="B27" s="13"/>
      <c r="C27" s="13"/>
      <c r="D27" s="13"/>
      <c r="E27" s="13"/>
      <c r="F27" s="13"/>
      <c r="G27" s="13"/>
      <c r="H27" s="13"/>
      <c r="I27" s="13"/>
      <c r="J27" s="13"/>
    </row>
    <row r="28" spans="2:10" ht="27.75" customHeight="1" x14ac:dyDescent="0.2">
      <c r="B28" s="2"/>
      <c r="C28" s="2"/>
      <c r="D28" s="2"/>
      <c r="E28" s="2"/>
      <c r="F28" s="2"/>
      <c r="G28" s="2"/>
      <c r="H28" s="2"/>
      <c r="I28" s="2"/>
      <c r="J28" s="2"/>
    </row>
    <row r="29" spans="2:10" ht="27.75" customHeight="1" x14ac:dyDescent="0.2">
      <c r="B29" s="13"/>
      <c r="C29" s="13"/>
      <c r="D29" s="13"/>
      <c r="E29" s="13"/>
      <c r="F29" s="13"/>
      <c r="G29" s="13"/>
      <c r="H29" s="13"/>
      <c r="I29" s="13"/>
      <c r="J29" s="13"/>
    </row>
    <row r="30" spans="2:10" ht="27.75" customHeight="1" x14ac:dyDescent="0.2">
      <c r="B30" s="2"/>
      <c r="C30" s="2"/>
      <c r="D30" s="2"/>
      <c r="E30" s="2"/>
      <c r="F30" s="2"/>
      <c r="G30" s="2"/>
      <c r="H30" s="2"/>
      <c r="I30" s="2"/>
      <c r="J30" s="2"/>
    </row>
  </sheetData>
  <dataValidations count="4">
    <dataValidation type="list" allowBlank="1" sqref="E6:F30" xr:uid="{00000000-0002-0000-0200-000000000000}">
      <formula1>"High,Medium,Low"</formula1>
      <formula2>0</formula2>
    </dataValidation>
    <dataValidation type="list" allowBlank="1" sqref="G6:G30" xr:uid="{00000000-0002-0000-0200-000002000000}">
      <formula1>"Responsible,Accountable,Consulted,Informed"</formula1>
      <formula2>0</formula2>
    </dataValidation>
    <dataValidation type="list" allowBlank="1" sqref="H6:H30" xr:uid="{00000000-0002-0000-0200-000003000000}">
      <formula1>"Champion,Supportive,Neutral,Resistant,Blocker"</formula1>
      <formula2>0</formula2>
    </dataValidation>
    <dataValidation type="list" allowBlank="1" sqref="I6:I30" xr:uid="{00000000-0002-0000-0200-000004000000}">
      <formula1>"Email,Slack,Teams,1:1 meeting,Steering meeting,Townhall,Status report"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K4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6" customWidth="1"/>
    <col min="3" max="10" width="14" customWidth="1"/>
    <col min="11" max="11" width="12" customWidth="1"/>
  </cols>
  <sheetData>
    <row r="1" spans="2:11" ht="16.5" customHeight="1" x14ac:dyDescent="0.2"/>
    <row r="2" spans="2:11" ht="27.75" customHeight="1" x14ac:dyDescent="0.2">
      <c r="B2" s="14" t="s">
        <v>194</v>
      </c>
    </row>
    <row r="3" spans="2:11" ht="16.5" customHeight="1" x14ac:dyDescent="0.2">
      <c r="B3" s="5" t="s">
        <v>195</v>
      </c>
    </row>
    <row r="4" spans="2:11" ht="16.5" customHeight="1" x14ac:dyDescent="0.2"/>
    <row r="5" spans="2:11" ht="36" customHeight="1" x14ac:dyDescent="0.2">
      <c r="B5" s="9" t="s">
        <v>196</v>
      </c>
      <c r="C5" s="9" t="s">
        <v>159</v>
      </c>
      <c r="D5" s="9" t="s">
        <v>197</v>
      </c>
      <c r="E5" s="9" t="s">
        <v>198</v>
      </c>
      <c r="F5" s="9" t="s">
        <v>199</v>
      </c>
      <c r="G5" s="9" t="s">
        <v>200</v>
      </c>
      <c r="H5" s="9" t="s">
        <v>201</v>
      </c>
      <c r="I5" s="9" t="s">
        <v>202</v>
      </c>
      <c r="J5" s="9" t="s">
        <v>203</v>
      </c>
      <c r="K5" s="15" t="s">
        <v>204</v>
      </c>
    </row>
    <row r="6" spans="2:11" ht="27.75" customHeight="1" x14ac:dyDescent="0.2">
      <c r="B6" s="2" t="s">
        <v>205</v>
      </c>
      <c r="C6" s="2"/>
      <c r="D6" s="2"/>
      <c r="E6" s="2"/>
      <c r="F6" s="2"/>
      <c r="G6" s="2"/>
      <c r="H6" s="2"/>
      <c r="I6" s="2"/>
      <c r="J6" s="2"/>
      <c r="K6" s="16">
        <f t="shared" ref="K6:K35" si="0">COUNTIF(C6:J6,"A")+COUNTIF(C6:J6,"A/R")+COUNTIF(C6:J6,"R/A")</f>
        <v>0</v>
      </c>
    </row>
    <row r="7" spans="2:11" ht="27.75" customHeight="1" x14ac:dyDescent="0.2">
      <c r="B7" s="13" t="s">
        <v>206</v>
      </c>
      <c r="C7" s="13"/>
      <c r="D7" s="13"/>
      <c r="E7" s="13"/>
      <c r="F7" s="13"/>
      <c r="G7" s="13"/>
      <c r="H7" s="13"/>
      <c r="I7" s="13"/>
      <c r="J7" s="13"/>
      <c r="K7" s="16">
        <f t="shared" si="0"/>
        <v>0</v>
      </c>
    </row>
    <row r="8" spans="2:11" ht="27.75" customHeight="1" x14ac:dyDescent="0.2">
      <c r="B8" s="2" t="s">
        <v>207</v>
      </c>
      <c r="C8" s="2"/>
      <c r="D8" s="2"/>
      <c r="E8" s="2"/>
      <c r="F8" s="2"/>
      <c r="G8" s="2"/>
      <c r="H8" s="2"/>
      <c r="I8" s="2"/>
      <c r="J8" s="2"/>
      <c r="K8" s="16">
        <f t="shared" si="0"/>
        <v>0</v>
      </c>
    </row>
    <row r="9" spans="2:11" ht="27.75" customHeight="1" x14ac:dyDescent="0.2">
      <c r="B9" s="13" t="s">
        <v>208</v>
      </c>
      <c r="C9" s="13"/>
      <c r="D9" s="13"/>
      <c r="E9" s="13"/>
      <c r="F9" s="13"/>
      <c r="G9" s="13"/>
      <c r="H9" s="13"/>
      <c r="I9" s="13"/>
      <c r="J9" s="13"/>
      <c r="K9" s="16">
        <f t="shared" si="0"/>
        <v>0</v>
      </c>
    </row>
    <row r="10" spans="2:11" ht="27.75" customHeight="1" x14ac:dyDescent="0.2">
      <c r="B10" s="2" t="s">
        <v>209</v>
      </c>
      <c r="C10" s="2"/>
      <c r="D10" s="2"/>
      <c r="E10" s="2"/>
      <c r="F10" s="2"/>
      <c r="G10" s="2"/>
      <c r="H10" s="2"/>
      <c r="I10" s="2"/>
      <c r="J10" s="2"/>
      <c r="K10" s="16">
        <f t="shared" si="0"/>
        <v>0</v>
      </c>
    </row>
    <row r="11" spans="2:11" ht="27.75" customHeight="1" x14ac:dyDescent="0.2">
      <c r="B11" s="13" t="s">
        <v>210</v>
      </c>
      <c r="C11" s="13"/>
      <c r="D11" s="13"/>
      <c r="E11" s="13"/>
      <c r="F11" s="13"/>
      <c r="G11" s="13"/>
      <c r="H11" s="13"/>
      <c r="I11" s="13"/>
      <c r="J11" s="13"/>
      <c r="K11" s="16">
        <f t="shared" si="0"/>
        <v>0</v>
      </c>
    </row>
    <row r="12" spans="2:11" ht="27.75" customHeight="1" x14ac:dyDescent="0.2">
      <c r="B12" s="2" t="s">
        <v>211</v>
      </c>
      <c r="C12" s="2"/>
      <c r="D12" s="2"/>
      <c r="E12" s="2"/>
      <c r="F12" s="2"/>
      <c r="G12" s="2"/>
      <c r="H12" s="2"/>
      <c r="I12" s="2"/>
      <c r="J12" s="2"/>
      <c r="K12" s="16">
        <f t="shared" si="0"/>
        <v>0</v>
      </c>
    </row>
    <row r="13" spans="2:11" ht="27.75" customHeight="1" x14ac:dyDescent="0.2">
      <c r="B13" s="13" t="s">
        <v>212</v>
      </c>
      <c r="C13" s="13"/>
      <c r="D13" s="13"/>
      <c r="E13" s="13"/>
      <c r="F13" s="13"/>
      <c r="G13" s="13"/>
      <c r="H13" s="13"/>
      <c r="I13" s="13"/>
      <c r="J13" s="13"/>
      <c r="K13" s="16">
        <f t="shared" si="0"/>
        <v>0</v>
      </c>
    </row>
    <row r="14" spans="2:11" ht="31.5" customHeight="1" x14ac:dyDescent="0.2">
      <c r="B14" s="2" t="s">
        <v>213</v>
      </c>
      <c r="C14" s="2"/>
      <c r="D14" s="2"/>
      <c r="E14" s="2"/>
      <c r="F14" s="2"/>
      <c r="G14" s="2"/>
      <c r="H14" s="2"/>
      <c r="I14" s="2"/>
      <c r="J14" s="2"/>
      <c r="K14" s="16">
        <f t="shared" si="0"/>
        <v>0</v>
      </c>
    </row>
    <row r="15" spans="2:11" ht="27.75" customHeight="1" x14ac:dyDescent="0.2">
      <c r="B15" s="13" t="s">
        <v>214</v>
      </c>
      <c r="C15" s="13"/>
      <c r="D15" s="13"/>
      <c r="E15" s="13"/>
      <c r="F15" s="13"/>
      <c r="G15" s="13"/>
      <c r="H15" s="13"/>
      <c r="I15" s="13"/>
      <c r="J15" s="13"/>
      <c r="K15" s="16">
        <f t="shared" si="0"/>
        <v>0</v>
      </c>
    </row>
    <row r="16" spans="2:11" ht="27.75" customHeight="1" x14ac:dyDescent="0.2">
      <c r="B16" s="2" t="s">
        <v>215</v>
      </c>
      <c r="C16" s="2"/>
      <c r="D16" s="2"/>
      <c r="E16" s="2"/>
      <c r="F16" s="2"/>
      <c r="G16" s="2"/>
      <c r="H16" s="2"/>
      <c r="I16" s="2"/>
      <c r="J16" s="2"/>
      <c r="K16" s="16">
        <f t="shared" si="0"/>
        <v>0</v>
      </c>
    </row>
    <row r="17" spans="2:11" ht="31.5" customHeight="1" x14ac:dyDescent="0.2">
      <c r="B17" s="13" t="s">
        <v>216</v>
      </c>
      <c r="C17" s="13"/>
      <c r="D17" s="13"/>
      <c r="E17" s="13"/>
      <c r="F17" s="13"/>
      <c r="G17" s="13"/>
      <c r="H17" s="13"/>
      <c r="I17" s="13"/>
      <c r="J17" s="13"/>
      <c r="K17" s="16">
        <f t="shared" si="0"/>
        <v>0</v>
      </c>
    </row>
    <row r="18" spans="2:11" ht="27.75" customHeight="1" x14ac:dyDescent="0.2">
      <c r="B18" s="2" t="s">
        <v>217</v>
      </c>
      <c r="C18" s="2"/>
      <c r="D18" s="2"/>
      <c r="E18" s="2"/>
      <c r="F18" s="2"/>
      <c r="G18" s="2"/>
      <c r="H18" s="2"/>
      <c r="I18" s="2"/>
      <c r="J18" s="2"/>
      <c r="K18" s="16">
        <f t="shared" si="0"/>
        <v>0</v>
      </c>
    </row>
    <row r="19" spans="2:11" ht="27.75" customHeight="1" x14ac:dyDescent="0.2">
      <c r="B19" s="13" t="s">
        <v>218</v>
      </c>
      <c r="C19" s="13"/>
      <c r="D19" s="13"/>
      <c r="E19" s="13"/>
      <c r="F19" s="13"/>
      <c r="G19" s="13"/>
      <c r="H19" s="13"/>
      <c r="I19" s="13"/>
      <c r="J19" s="13"/>
      <c r="K19" s="16">
        <f t="shared" si="0"/>
        <v>0</v>
      </c>
    </row>
    <row r="20" spans="2:11" ht="27.75" customHeight="1" x14ac:dyDescent="0.2">
      <c r="B20" s="2" t="s">
        <v>219</v>
      </c>
      <c r="C20" s="2"/>
      <c r="D20" s="2"/>
      <c r="E20" s="2"/>
      <c r="F20" s="2"/>
      <c r="G20" s="2"/>
      <c r="H20" s="2"/>
      <c r="I20" s="2"/>
      <c r="J20" s="2"/>
      <c r="K20" s="16">
        <f t="shared" si="0"/>
        <v>0</v>
      </c>
    </row>
    <row r="21" spans="2:11" ht="27.75" customHeight="1" x14ac:dyDescent="0.2">
      <c r="B21" s="13"/>
      <c r="C21" s="13"/>
      <c r="D21" s="13"/>
      <c r="E21" s="13"/>
      <c r="F21" s="13"/>
      <c r="G21" s="13"/>
      <c r="H21" s="13"/>
      <c r="I21" s="13"/>
      <c r="J21" s="13"/>
      <c r="K21" s="16">
        <f t="shared" si="0"/>
        <v>0</v>
      </c>
    </row>
    <row r="22" spans="2:11" ht="27.75" customHeight="1" x14ac:dyDescent="0.2">
      <c r="B22" s="2"/>
      <c r="C22" s="2"/>
      <c r="D22" s="2"/>
      <c r="E22" s="2"/>
      <c r="F22" s="2"/>
      <c r="G22" s="2"/>
      <c r="H22" s="2"/>
      <c r="I22" s="2"/>
      <c r="J22" s="2"/>
      <c r="K22" s="16">
        <f t="shared" si="0"/>
        <v>0</v>
      </c>
    </row>
    <row r="23" spans="2:11" ht="27.75" customHeight="1" x14ac:dyDescent="0.2">
      <c r="B23" s="13"/>
      <c r="C23" s="13"/>
      <c r="D23" s="13"/>
      <c r="E23" s="13"/>
      <c r="F23" s="13"/>
      <c r="G23" s="13"/>
      <c r="H23" s="13"/>
      <c r="I23" s="13"/>
      <c r="J23" s="13"/>
      <c r="K23" s="16">
        <f t="shared" si="0"/>
        <v>0</v>
      </c>
    </row>
    <row r="24" spans="2:11" ht="27.75" customHeight="1" x14ac:dyDescent="0.2">
      <c r="B24" s="2"/>
      <c r="C24" s="2"/>
      <c r="D24" s="2"/>
      <c r="E24" s="2"/>
      <c r="F24" s="2"/>
      <c r="G24" s="2"/>
      <c r="H24" s="2"/>
      <c r="I24" s="2"/>
      <c r="J24" s="2"/>
      <c r="K24" s="16">
        <f t="shared" si="0"/>
        <v>0</v>
      </c>
    </row>
    <row r="25" spans="2:11" ht="27.75" customHeight="1" x14ac:dyDescent="0.2">
      <c r="B25" s="13"/>
      <c r="C25" s="13"/>
      <c r="D25" s="13"/>
      <c r="E25" s="13"/>
      <c r="F25" s="13"/>
      <c r="G25" s="13"/>
      <c r="H25" s="13"/>
      <c r="I25" s="13"/>
      <c r="J25" s="13"/>
      <c r="K25" s="16">
        <f t="shared" si="0"/>
        <v>0</v>
      </c>
    </row>
    <row r="26" spans="2:11" ht="27.75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16">
        <f t="shared" si="0"/>
        <v>0</v>
      </c>
    </row>
    <row r="27" spans="2:11" ht="27.75" customHeigh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6">
        <f t="shared" si="0"/>
        <v>0</v>
      </c>
    </row>
    <row r="28" spans="2:11" ht="27.75" customHeight="1" x14ac:dyDescent="0.2">
      <c r="B28" s="2"/>
      <c r="C28" s="2"/>
      <c r="D28" s="2"/>
      <c r="E28" s="2"/>
      <c r="F28" s="2"/>
      <c r="G28" s="2"/>
      <c r="H28" s="2"/>
      <c r="I28" s="2"/>
      <c r="J28" s="2"/>
      <c r="K28" s="16">
        <f t="shared" si="0"/>
        <v>0</v>
      </c>
    </row>
    <row r="29" spans="2:11" ht="27.75" customHeight="1" x14ac:dyDescent="0.2">
      <c r="B29" s="13"/>
      <c r="C29" s="13"/>
      <c r="D29" s="13"/>
      <c r="E29" s="13"/>
      <c r="F29" s="13"/>
      <c r="G29" s="13"/>
      <c r="H29" s="13"/>
      <c r="I29" s="13"/>
      <c r="J29" s="13"/>
      <c r="K29" s="16">
        <f t="shared" si="0"/>
        <v>0</v>
      </c>
    </row>
    <row r="30" spans="2:11" ht="27.7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16">
        <f t="shared" si="0"/>
        <v>0</v>
      </c>
    </row>
    <row r="31" spans="2:11" ht="16.5" customHeight="1" x14ac:dyDescent="0.2">
      <c r="K31" s="16">
        <f t="shared" si="0"/>
        <v>0</v>
      </c>
    </row>
    <row r="32" spans="2:11" ht="16.5" customHeight="1" x14ac:dyDescent="0.2">
      <c r="K32" s="16">
        <f t="shared" si="0"/>
        <v>0</v>
      </c>
    </row>
    <row r="33" spans="2:11" ht="16.5" customHeight="1" x14ac:dyDescent="0.2">
      <c r="K33" s="16">
        <f t="shared" si="0"/>
        <v>0</v>
      </c>
    </row>
    <row r="34" spans="2:11" ht="16.5" customHeight="1" x14ac:dyDescent="0.2">
      <c r="K34" s="16">
        <f t="shared" si="0"/>
        <v>0</v>
      </c>
    </row>
    <row r="35" spans="2:11" ht="16.5" customHeight="1" x14ac:dyDescent="0.2">
      <c r="K35" s="16">
        <f t="shared" si="0"/>
        <v>0</v>
      </c>
    </row>
    <row r="36" spans="2:11" ht="16.5" customHeight="1" x14ac:dyDescent="0.2"/>
    <row r="37" spans="2:11" ht="16.5" customHeight="1" x14ac:dyDescent="0.2"/>
    <row r="38" spans="2:11" ht="16.5" customHeight="1" x14ac:dyDescent="0.2"/>
    <row r="39" spans="2:11" ht="16.5" customHeight="1" x14ac:dyDescent="0.2"/>
    <row r="40" spans="2:11" ht="16.5" customHeight="1" x14ac:dyDescent="0.2">
      <c r="B40" s="17" t="s">
        <v>220</v>
      </c>
    </row>
    <row r="41" spans="2:11" ht="16.5" customHeight="1" x14ac:dyDescent="0.2"/>
    <row r="42" spans="2:11" ht="24" customHeight="1" x14ac:dyDescent="0.2">
      <c r="B42" s="8" t="s">
        <v>221</v>
      </c>
      <c r="C42" s="51" t="s">
        <v>222</v>
      </c>
      <c r="D42" s="51"/>
      <c r="E42" s="51"/>
      <c r="F42" s="51"/>
      <c r="G42" s="51"/>
      <c r="H42" s="51"/>
      <c r="I42" s="51"/>
      <c r="J42" s="51"/>
      <c r="K42" s="51"/>
    </row>
    <row r="43" spans="2:11" ht="24" customHeight="1" x14ac:dyDescent="0.2">
      <c r="B43" s="8" t="s">
        <v>223</v>
      </c>
      <c r="C43" s="51" t="s">
        <v>224</v>
      </c>
      <c r="D43" s="51"/>
      <c r="E43" s="51"/>
      <c r="F43" s="51"/>
      <c r="G43" s="51"/>
      <c r="H43" s="51"/>
      <c r="I43" s="51"/>
      <c r="J43" s="51"/>
      <c r="K43" s="51"/>
    </row>
    <row r="44" spans="2:11" ht="24" customHeight="1" x14ac:dyDescent="0.2">
      <c r="B44" s="8" t="s">
        <v>225</v>
      </c>
      <c r="C44" s="51" t="s">
        <v>226</v>
      </c>
      <c r="D44" s="51"/>
      <c r="E44" s="51"/>
      <c r="F44" s="51"/>
      <c r="G44" s="51"/>
      <c r="H44" s="51"/>
      <c r="I44" s="51"/>
      <c r="J44" s="51"/>
      <c r="K44" s="51"/>
    </row>
    <row r="45" spans="2:11" ht="24" customHeight="1" x14ac:dyDescent="0.2">
      <c r="B45" s="8" t="s">
        <v>227</v>
      </c>
      <c r="C45" s="51" t="s">
        <v>228</v>
      </c>
      <c r="D45" s="51"/>
      <c r="E45" s="51"/>
      <c r="F45" s="51"/>
      <c r="G45" s="51"/>
      <c r="H45" s="51"/>
      <c r="I45" s="51"/>
      <c r="J45" s="51"/>
      <c r="K45" s="51"/>
    </row>
    <row r="46" spans="2:11" ht="24" customHeight="1" x14ac:dyDescent="0.2">
      <c r="B46" s="8" t="s">
        <v>229</v>
      </c>
      <c r="C46" s="51" t="s">
        <v>230</v>
      </c>
      <c r="D46" s="51"/>
      <c r="E46" s="51"/>
      <c r="F46" s="51"/>
      <c r="G46" s="51"/>
      <c r="H46" s="51"/>
      <c r="I46" s="51"/>
      <c r="J46" s="51"/>
      <c r="K46" s="51"/>
    </row>
  </sheetData>
  <mergeCells count="5">
    <mergeCell ref="C42:K42"/>
    <mergeCell ref="C43:K43"/>
    <mergeCell ref="C44:K44"/>
    <mergeCell ref="C45:K45"/>
    <mergeCell ref="C46:K46"/>
  </mergeCells>
  <conditionalFormatting sqref="C6:J35">
    <cfRule type="expression" dxfId="40" priority="2">
      <formula>OR(EXACT(C6,"A"),EXACT(C6,"A/R"),EXACT(C6,"R/A"))</formula>
    </cfRule>
    <cfRule type="expression" dxfId="39" priority="3">
      <formula>EXACT(C6,"R")</formula>
    </cfRule>
    <cfRule type="expression" dxfId="38" priority="4">
      <formula>EXACT(C6,"C")</formula>
    </cfRule>
    <cfRule type="expression" dxfId="37" priority="5">
      <formula>EXACT(C6,"I")</formula>
    </cfRule>
  </conditionalFormatting>
  <conditionalFormatting sqref="K6:K35">
    <cfRule type="cellIs" dxfId="36" priority="34" operator="notEqual">
      <formula>1</formula>
    </cfRule>
    <cfRule type="cellIs" dxfId="35" priority="35" operator="equal">
      <formula>1</formula>
    </cfRule>
  </conditionalFormatting>
  <dataValidations count="1">
    <dataValidation type="list" allowBlank="1" sqref="C6:J35" xr:uid="{00000000-0002-0000-0300-000000000000}">
      <formula1>"R,A,C,I,R/A,A/R"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K5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0" customWidth="1"/>
    <col min="3" max="3" width="14" customWidth="1"/>
    <col min="4" max="4" width="38" customWidth="1"/>
    <col min="5" max="7" width="14" customWidth="1"/>
    <col min="8" max="8" width="18" customWidth="1"/>
    <col min="9" max="9" width="22" customWidth="1"/>
    <col min="10" max="10" width="16" customWidth="1"/>
    <col min="11" max="11" width="14" customWidth="1"/>
  </cols>
  <sheetData>
    <row r="1" spans="2:11" ht="16.5" customHeight="1" x14ac:dyDescent="0.2"/>
    <row r="2" spans="2:11" ht="27.75" customHeight="1" x14ac:dyDescent="0.2">
      <c r="B2" s="14" t="s">
        <v>231</v>
      </c>
    </row>
    <row r="3" spans="2:11" ht="16.5" customHeight="1" x14ac:dyDescent="0.2">
      <c r="B3" s="5" t="s">
        <v>232</v>
      </c>
    </row>
    <row r="4" spans="2:11" ht="16.5" customHeight="1" x14ac:dyDescent="0.2"/>
    <row r="5" spans="2:11" ht="31.5" customHeight="1" x14ac:dyDescent="0.2">
      <c r="B5" s="9" t="s">
        <v>233</v>
      </c>
      <c r="C5" s="9" t="s">
        <v>234</v>
      </c>
      <c r="D5" s="9" t="s">
        <v>235</v>
      </c>
      <c r="E5" s="9" t="s">
        <v>236</v>
      </c>
      <c r="F5" s="9" t="s">
        <v>237</v>
      </c>
      <c r="G5" s="9" t="s">
        <v>18</v>
      </c>
      <c r="H5" s="9" t="s">
        <v>238</v>
      </c>
      <c r="I5" s="9" t="s">
        <v>239</v>
      </c>
      <c r="J5" s="9" t="s">
        <v>240</v>
      </c>
      <c r="K5" s="9" t="s">
        <v>241</v>
      </c>
    </row>
    <row r="6" spans="2:11" ht="27.75" customHeight="1" x14ac:dyDescent="0.2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ht="27.75" customHeight="1" x14ac:dyDescent="0.2"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2:11" ht="27.75" customHeight="1" x14ac:dyDescent="0.2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 ht="27.75" customHeight="1" x14ac:dyDescent="0.2"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2:11" ht="27.75" customHeight="1" x14ac:dyDescent="0.2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 ht="27.75" customHeight="1" x14ac:dyDescent="0.2"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2:11" ht="27.7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 ht="27.75" customHeight="1" x14ac:dyDescent="0.2"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2:11" ht="27.75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ht="27.75" customHeight="1" x14ac:dyDescent="0.2"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2:11" ht="27.75" customHeight="1" x14ac:dyDescent="0.2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ht="27.75" customHeight="1" x14ac:dyDescent="0.2"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2:11" ht="27.75" customHeight="1" x14ac:dyDescent="0.2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27.75" customHeight="1" x14ac:dyDescent="0.2"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2:11" ht="27.75" customHeight="1" x14ac:dyDescent="0.2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ht="27.75" customHeight="1" x14ac:dyDescent="0.2"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2:11" ht="27.75" customHeight="1" x14ac:dyDescent="0.2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 ht="27.75" customHeight="1" x14ac:dyDescent="0.2"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2:11" ht="27.75" customHeight="1" x14ac:dyDescent="0.2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1" ht="27.75" customHeight="1" x14ac:dyDescent="0.2"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2:11" ht="27.75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2:11" ht="27.75" customHeigh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2:11" ht="27.75" customHeight="1" x14ac:dyDescent="0.2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1" ht="27.75" customHeight="1" x14ac:dyDescent="0.2"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2:11" ht="27.75" customHeight="1" x14ac:dyDescent="0.2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1" ht="27.75" customHeight="1" x14ac:dyDescent="0.2"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2:11" ht="27.75" customHeight="1" x14ac:dyDescent="0.2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ht="27.75" customHeight="1" x14ac:dyDescent="0.2"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2:11" ht="27.75" customHeight="1" x14ac:dyDescent="0.2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ht="27.75" customHeight="1" x14ac:dyDescent="0.2"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2:11" ht="27.75" customHeight="1" x14ac:dyDescent="0.2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ht="27.75" customHeight="1" x14ac:dyDescent="0.2"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2:11" ht="27.75" customHeight="1" x14ac:dyDescent="0.2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ht="27.75" customHeight="1" x14ac:dyDescent="0.2"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2:11" ht="27.75" customHeight="1" x14ac:dyDescent="0.2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ht="27.75" customHeight="1" x14ac:dyDescent="0.2"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2:11" ht="27.75" customHeight="1" x14ac:dyDescent="0.2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ht="27.75" customHeight="1" x14ac:dyDescent="0.2"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2:11" ht="27.75" customHeight="1" x14ac:dyDescent="0.2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ht="27.75" customHeight="1" x14ac:dyDescent="0.2"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2:11" ht="16.5" customHeight="1" x14ac:dyDescent="0.2"/>
    <row r="47" spans="2:11" ht="16.5" customHeight="1" x14ac:dyDescent="0.2"/>
    <row r="48" spans="2:11" ht="16.5" customHeight="1" x14ac:dyDescent="0.2">
      <c r="B48" s="17" t="s">
        <v>242</v>
      </c>
    </row>
    <row r="49" spans="2:4" ht="16.5" customHeight="1" x14ac:dyDescent="0.2"/>
    <row r="50" spans="2:4" ht="31.5" customHeight="1" x14ac:dyDescent="0.2">
      <c r="B50" s="8" t="s">
        <v>243</v>
      </c>
      <c r="D50" s="18">
        <f>COUNTA(D6:D45)</f>
        <v>0</v>
      </c>
    </row>
    <row r="51" spans="2:4" ht="31.5" customHeight="1" x14ac:dyDescent="0.2">
      <c r="B51" s="8" t="s">
        <v>244</v>
      </c>
      <c r="D51" s="18">
        <f>COUNTIF(F6:F45,"Must Have")</f>
        <v>0</v>
      </c>
    </row>
    <row r="52" spans="2:4" ht="48" customHeight="1" x14ac:dyDescent="0.2">
      <c r="B52" s="8" t="s">
        <v>245</v>
      </c>
      <c r="D52" s="18">
        <f>COUNTIF(G6:G45,"Approved")+COUNTIF(G6:G45,"In Development")+COUNTIF(G6:G45,"In Test")+COUNTIF(G6:G45,"Accepted")</f>
        <v>0</v>
      </c>
    </row>
    <row r="53" spans="2:4" ht="31.5" customHeight="1" x14ac:dyDescent="0.2">
      <c r="B53" s="8" t="s">
        <v>246</v>
      </c>
      <c r="D53" s="19">
        <f>IFERROR(COUNTIF(K6:K45,"Pass")/(COUNTIF(K6:K45,"Pass")+COUNTIF(K6:K45,"Fail")),0)</f>
        <v>0</v>
      </c>
    </row>
    <row r="54" spans="2:4" ht="63" customHeight="1" x14ac:dyDescent="0.2">
      <c r="B54" s="8" t="s">
        <v>247</v>
      </c>
      <c r="D54" s="18">
        <f>SUMPRODUCT((F6:F45="Must Have")*(J6:J45=""))</f>
        <v>0</v>
      </c>
    </row>
  </sheetData>
  <conditionalFormatting sqref="K6:K45">
    <cfRule type="expression" dxfId="34" priority="2">
      <formula>EXACT(K6,"Pass")</formula>
    </cfRule>
    <cfRule type="expression" dxfId="33" priority="3">
      <formula>EXACT(K6,"Fail")</formula>
    </cfRule>
    <cfRule type="expression" dxfId="32" priority="4">
      <formula>EXACT(K6,"Blocked")</formula>
    </cfRule>
    <cfRule type="expression" dxfId="31" priority="5">
      <formula>EXACT(K6,"Not Run")</formula>
    </cfRule>
  </conditionalFormatting>
  <dataValidations count="4">
    <dataValidation type="list" allowBlank="1" sqref="C6:C45" xr:uid="{00000000-0002-0000-0400-000000000000}">
      <formula1>"Business,Functional,Non-functional,Technical,Compliance,Security,Data"</formula1>
      <formula2>0</formula2>
    </dataValidation>
    <dataValidation type="list" allowBlank="1" sqref="F6:F45" xr:uid="{00000000-0002-0000-0400-000001000000}">
      <formula1>"Must Have,Should Have,Could Have,Won't Have"</formula1>
      <formula2>0</formula2>
    </dataValidation>
    <dataValidation type="list" allowBlank="1" sqref="G6:G45" xr:uid="{00000000-0002-0000-0400-000002000000}">
      <formula1>"Draft,Approved,In Development,In Test,Accepted,Deferred,Rejected"</formula1>
      <formula2>0</formula2>
    </dataValidation>
    <dataValidation type="list" allowBlank="1" sqref="K6:K45" xr:uid="{00000000-0002-0000-0400-000003000000}">
      <formula1>"Pass,Fail,Blocked,Not Run,N/A"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L45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8" customWidth="1"/>
    <col min="3" max="3" width="12" customWidth="1"/>
    <col min="4" max="4" width="32" customWidth="1"/>
    <col min="5" max="6" width="12" customWidth="1"/>
    <col min="7" max="7" width="10" customWidth="1"/>
    <col min="8" max="8" width="14" customWidth="1"/>
    <col min="9" max="9" width="18" customWidth="1"/>
    <col min="10" max="11" width="16" customWidth="1"/>
    <col min="12" max="12" width="24" customWidth="1"/>
  </cols>
  <sheetData>
    <row r="1" spans="2:12" ht="16.5" customHeight="1" x14ac:dyDescent="0.2"/>
    <row r="2" spans="2:12" ht="27.75" customHeight="1" x14ac:dyDescent="0.2">
      <c r="B2" s="14" t="s">
        <v>248</v>
      </c>
    </row>
    <row r="3" spans="2:12" ht="16.5" customHeight="1" x14ac:dyDescent="0.2">
      <c r="B3" s="5" t="s">
        <v>249</v>
      </c>
    </row>
    <row r="4" spans="2:12" ht="16.5" customHeight="1" x14ac:dyDescent="0.2"/>
    <row r="5" spans="2:12" ht="31.5" customHeight="1" x14ac:dyDescent="0.2">
      <c r="B5" s="9" t="s">
        <v>233</v>
      </c>
      <c r="C5" s="9" t="s">
        <v>234</v>
      </c>
      <c r="D5" s="9" t="s">
        <v>250</v>
      </c>
      <c r="E5" s="9" t="s">
        <v>251</v>
      </c>
      <c r="F5" s="9" t="s">
        <v>252</v>
      </c>
      <c r="G5" s="9" t="s">
        <v>253</v>
      </c>
      <c r="H5" s="9" t="s">
        <v>18</v>
      </c>
      <c r="I5" s="9" t="s">
        <v>238</v>
      </c>
      <c r="J5" s="9" t="s">
        <v>254</v>
      </c>
      <c r="K5" s="9" t="s">
        <v>255</v>
      </c>
      <c r="L5" s="9" t="s">
        <v>256</v>
      </c>
    </row>
    <row r="6" spans="2:12" ht="27.75" customHeight="1" x14ac:dyDescent="0.2">
      <c r="B6" s="2"/>
      <c r="C6" s="2"/>
      <c r="D6" s="2"/>
      <c r="E6" s="2"/>
      <c r="F6" s="2"/>
      <c r="G6" s="20" t="str">
        <f t="shared" ref="G6:G45" si="0">IF(OR(E6="",F6=""),"",(IF(E6="High",3,IF(E6="Medium",2,IF(E6="Low",1,0))))*(IF(F6="High",3,IF(F6="Medium",2,IF(F6="Low",1,0)))))</f>
        <v/>
      </c>
      <c r="H6" s="2"/>
      <c r="I6" s="2"/>
      <c r="J6" s="21"/>
      <c r="K6" s="21"/>
      <c r="L6" s="2"/>
    </row>
    <row r="7" spans="2:12" ht="27.75" customHeight="1" x14ac:dyDescent="0.2">
      <c r="B7" s="13"/>
      <c r="C7" s="13"/>
      <c r="D7" s="13"/>
      <c r="E7" s="13"/>
      <c r="F7" s="13"/>
      <c r="G7" s="22" t="str">
        <f t="shared" si="0"/>
        <v/>
      </c>
      <c r="H7" s="13"/>
      <c r="I7" s="13"/>
      <c r="J7" s="23"/>
      <c r="K7" s="23"/>
      <c r="L7" s="13"/>
    </row>
    <row r="8" spans="2:12" ht="27.75" customHeight="1" x14ac:dyDescent="0.2">
      <c r="B8" s="2"/>
      <c r="C8" s="2"/>
      <c r="D8" s="2"/>
      <c r="E8" s="2"/>
      <c r="F8" s="2"/>
      <c r="G8" s="20" t="str">
        <f t="shared" si="0"/>
        <v/>
      </c>
      <c r="H8" s="2"/>
      <c r="I8" s="2"/>
      <c r="J8" s="21"/>
      <c r="K8" s="21"/>
      <c r="L8" s="2"/>
    </row>
    <row r="9" spans="2:12" ht="27.75" customHeight="1" x14ac:dyDescent="0.2">
      <c r="B9" s="13"/>
      <c r="C9" s="13"/>
      <c r="D9" s="13"/>
      <c r="E9" s="13"/>
      <c r="F9" s="13"/>
      <c r="G9" s="22" t="str">
        <f t="shared" si="0"/>
        <v/>
      </c>
      <c r="H9" s="13"/>
      <c r="I9" s="13"/>
      <c r="J9" s="23"/>
      <c r="K9" s="23"/>
      <c r="L9" s="13"/>
    </row>
    <row r="10" spans="2:12" ht="27.75" customHeight="1" x14ac:dyDescent="0.2">
      <c r="B10" s="2"/>
      <c r="C10" s="2"/>
      <c r="D10" s="2"/>
      <c r="E10" s="2"/>
      <c r="F10" s="2"/>
      <c r="G10" s="20" t="str">
        <f t="shared" si="0"/>
        <v/>
      </c>
      <c r="H10" s="2"/>
      <c r="I10" s="2"/>
      <c r="J10" s="21"/>
      <c r="K10" s="21"/>
      <c r="L10" s="2"/>
    </row>
    <row r="11" spans="2:12" ht="27.75" customHeight="1" x14ac:dyDescent="0.2">
      <c r="B11" s="13"/>
      <c r="C11" s="13"/>
      <c r="D11" s="13"/>
      <c r="E11" s="13"/>
      <c r="F11" s="13"/>
      <c r="G11" s="22" t="str">
        <f t="shared" si="0"/>
        <v/>
      </c>
      <c r="H11" s="13"/>
      <c r="I11" s="13"/>
      <c r="J11" s="23"/>
      <c r="K11" s="23"/>
      <c r="L11" s="13"/>
    </row>
    <row r="12" spans="2:12" ht="27.75" customHeight="1" x14ac:dyDescent="0.2">
      <c r="B12" s="2"/>
      <c r="C12" s="2"/>
      <c r="D12" s="2"/>
      <c r="E12" s="2"/>
      <c r="F12" s="2"/>
      <c r="G12" s="20" t="str">
        <f t="shared" si="0"/>
        <v/>
      </c>
      <c r="H12" s="2"/>
      <c r="I12" s="2"/>
      <c r="J12" s="21"/>
      <c r="K12" s="21"/>
      <c r="L12" s="2"/>
    </row>
    <row r="13" spans="2:12" ht="27.75" customHeight="1" x14ac:dyDescent="0.2">
      <c r="B13" s="13"/>
      <c r="C13" s="13"/>
      <c r="D13" s="13"/>
      <c r="E13" s="13"/>
      <c r="F13" s="13"/>
      <c r="G13" s="22" t="str">
        <f t="shared" si="0"/>
        <v/>
      </c>
      <c r="H13" s="13"/>
      <c r="I13" s="13"/>
      <c r="J13" s="23"/>
      <c r="K13" s="23"/>
      <c r="L13" s="13"/>
    </row>
    <row r="14" spans="2:12" ht="27.75" customHeight="1" x14ac:dyDescent="0.2">
      <c r="B14" s="2"/>
      <c r="C14" s="2"/>
      <c r="D14" s="2"/>
      <c r="E14" s="2"/>
      <c r="F14" s="2"/>
      <c r="G14" s="20" t="str">
        <f t="shared" si="0"/>
        <v/>
      </c>
      <c r="H14" s="2"/>
      <c r="I14" s="2"/>
      <c r="J14" s="21"/>
      <c r="K14" s="21"/>
      <c r="L14" s="2"/>
    </row>
    <row r="15" spans="2:12" ht="27.75" customHeight="1" x14ac:dyDescent="0.2">
      <c r="B15" s="13"/>
      <c r="C15" s="13"/>
      <c r="D15" s="13"/>
      <c r="E15" s="13"/>
      <c r="F15" s="13"/>
      <c r="G15" s="22" t="str">
        <f t="shared" si="0"/>
        <v/>
      </c>
      <c r="H15" s="13"/>
      <c r="I15" s="13"/>
      <c r="J15" s="23"/>
      <c r="K15" s="23"/>
      <c r="L15" s="13"/>
    </row>
    <row r="16" spans="2:12" ht="27.75" customHeight="1" x14ac:dyDescent="0.2">
      <c r="B16" s="2"/>
      <c r="C16" s="2"/>
      <c r="D16" s="2"/>
      <c r="E16" s="2"/>
      <c r="F16" s="2"/>
      <c r="G16" s="20" t="str">
        <f t="shared" si="0"/>
        <v/>
      </c>
      <c r="H16" s="2"/>
      <c r="I16" s="2"/>
      <c r="J16" s="21"/>
      <c r="K16" s="21"/>
      <c r="L16" s="2"/>
    </row>
    <row r="17" spans="2:12" ht="27.75" customHeight="1" x14ac:dyDescent="0.2">
      <c r="B17" s="13"/>
      <c r="C17" s="13"/>
      <c r="D17" s="13"/>
      <c r="E17" s="13"/>
      <c r="F17" s="13"/>
      <c r="G17" s="22" t="str">
        <f t="shared" si="0"/>
        <v/>
      </c>
      <c r="H17" s="13"/>
      <c r="I17" s="13"/>
      <c r="J17" s="23"/>
      <c r="K17" s="23"/>
      <c r="L17" s="13"/>
    </row>
    <row r="18" spans="2:12" ht="27.75" customHeight="1" x14ac:dyDescent="0.2">
      <c r="B18" s="2"/>
      <c r="C18" s="2"/>
      <c r="D18" s="2"/>
      <c r="E18" s="2"/>
      <c r="F18" s="2"/>
      <c r="G18" s="20" t="str">
        <f t="shared" si="0"/>
        <v/>
      </c>
      <c r="H18" s="2"/>
      <c r="I18" s="2"/>
      <c r="J18" s="21"/>
      <c r="K18" s="21"/>
      <c r="L18" s="2"/>
    </row>
    <row r="19" spans="2:12" ht="27.75" customHeight="1" x14ac:dyDescent="0.2">
      <c r="B19" s="13"/>
      <c r="C19" s="13"/>
      <c r="D19" s="13"/>
      <c r="E19" s="13"/>
      <c r="F19" s="13"/>
      <c r="G19" s="22" t="str">
        <f t="shared" si="0"/>
        <v/>
      </c>
      <c r="H19" s="13"/>
      <c r="I19" s="13"/>
      <c r="J19" s="23"/>
      <c r="K19" s="23"/>
      <c r="L19" s="13"/>
    </row>
    <row r="20" spans="2:12" ht="27.75" customHeight="1" x14ac:dyDescent="0.2">
      <c r="B20" s="2"/>
      <c r="C20" s="2"/>
      <c r="D20" s="2"/>
      <c r="E20" s="2"/>
      <c r="F20" s="2"/>
      <c r="G20" s="20" t="str">
        <f t="shared" si="0"/>
        <v/>
      </c>
      <c r="H20" s="2"/>
      <c r="I20" s="2"/>
      <c r="J20" s="21"/>
      <c r="K20" s="21"/>
      <c r="L20" s="2"/>
    </row>
    <row r="21" spans="2:12" ht="27.75" customHeight="1" x14ac:dyDescent="0.2">
      <c r="B21" s="13"/>
      <c r="C21" s="13"/>
      <c r="D21" s="13"/>
      <c r="E21" s="13"/>
      <c r="F21" s="13"/>
      <c r="G21" s="22" t="str">
        <f t="shared" si="0"/>
        <v/>
      </c>
      <c r="H21" s="13"/>
      <c r="I21" s="13"/>
      <c r="J21" s="23"/>
      <c r="K21" s="23"/>
      <c r="L21" s="13"/>
    </row>
    <row r="22" spans="2:12" ht="27.75" customHeight="1" x14ac:dyDescent="0.2">
      <c r="B22" s="2"/>
      <c r="C22" s="2"/>
      <c r="D22" s="2"/>
      <c r="E22" s="2"/>
      <c r="F22" s="2"/>
      <c r="G22" s="20" t="str">
        <f t="shared" si="0"/>
        <v/>
      </c>
      <c r="H22" s="2"/>
      <c r="I22" s="2"/>
      <c r="J22" s="21"/>
      <c r="K22" s="21"/>
      <c r="L22" s="2"/>
    </row>
    <row r="23" spans="2:12" ht="27.75" customHeight="1" x14ac:dyDescent="0.2">
      <c r="B23" s="13"/>
      <c r="C23" s="13"/>
      <c r="D23" s="13"/>
      <c r="E23" s="13"/>
      <c r="F23" s="13"/>
      <c r="G23" s="22" t="str">
        <f t="shared" si="0"/>
        <v/>
      </c>
      <c r="H23" s="13"/>
      <c r="I23" s="13"/>
      <c r="J23" s="23"/>
      <c r="K23" s="23"/>
      <c r="L23" s="13"/>
    </row>
    <row r="24" spans="2:12" ht="27.75" customHeight="1" x14ac:dyDescent="0.2">
      <c r="B24" s="2"/>
      <c r="C24" s="2"/>
      <c r="D24" s="2"/>
      <c r="E24" s="2"/>
      <c r="F24" s="2"/>
      <c r="G24" s="20" t="str">
        <f t="shared" si="0"/>
        <v/>
      </c>
      <c r="H24" s="2"/>
      <c r="I24" s="2"/>
      <c r="J24" s="21"/>
      <c r="K24" s="21"/>
      <c r="L24" s="2"/>
    </row>
    <row r="25" spans="2:12" ht="27.75" customHeight="1" x14ac:dyDescent="0.2">
      <c r="B25" s="13"/>
      <c r="C25" s="13"/>
      <c r="D25" s="13"/>
      <c r="E25" s="13"/>
      <c r="F25" s="13"/>
      <c r="G25" s="22" t="str">
        <f t="shared" si="0"/>
        <v/>
      </c>
      <c r="H25" s="13"/>
      <c r="I25" s="13"/>
      <c r="J25" s="23"/>
      <c r="K25" s="23"/>
      <c r="L25" s="13"/>
    </row>
    <row r="26" spans="2:12" ht="27.75" customHeight="1" x14ac:dyDescent="0.2">
      <c r="B26" s="2"/>
      <c r="C26" s="2"/>
      <c r="D26" s="2"/>
      <c r="E26" s="2"/>
      <c r="F26" s="2"/>
      <c r="G26" s="20" t="str">
        <f t="shared" si="0"/>
        <v/>
      </c>
      <c r="H26" s="2"/>
      <c r="I26" s="2"/>
      <c r="J26" s="21"/>
      <c r="K26" s="21"/>
      <c r="L26" s="2"/>
    </row>
    <row r="27" spans="2:12" ht="27.75" customHeight="1" x14ac:dyDescent="0.2">
      <c r="B27" s="13"/>
      <c r="C27" s="13"/>
      <c r="D27" s="13"/>
      <c r="E27" s="13"/>
      <c r="F27" s="13"/>
      <c r="G27" s="22" t="str">
        <f t="shared" si="0"/>
        <v/>
      </c>
      <c r="H27" s="13"/>
      <c r="I27" s="13"/>
      <c r="J27" s="23"/>
      <c r="K27" s="23"/>
      <c r="L27" s="13"/>
    </row>
    <row r="28" spans="2:12" ht="27.75" customHeight="1" x14ac:dyDescent="0.2">
      <c r="B28" s="2"/>
      <c r="C28" s="2"/>
      <c r="D28" s="2"/>
      <c r="E28" s="2"/>
      <c r="F28" s="2"/>
      <c r="G28" s="20" t="str">
        <f t="shared" si="0"/>
        <v/>
      </c>
      <c r="H28" s="2"/>
      <c r="I28" s="2"/>
      <c r="J28" s="21"/>
      <c r="K28" s="21"/>
      <c r="L28" s="2"/>
    </row>
    <row r="29" spans="2:12" ht="27.75" customHeight="1" x14ac:dyDescent="0.2">
      <c r="B29" s="13"/>
      <c r="C29" s="13"/>
      <c r="D29" s="13"/>
      <c r="E29" s="13"/>
      <c r="F29" s="13"/>
      <c r="G29" s="22" t="str">
        <f t="shared" si="0"/>
        <v/>
      </c>
      <c r="H29" s="13"/>
      <c r="I29" s="13"/>
      <c r="J29" s="23"/>
      <c r="K29" s="23"/>
      <c r="L29" s="13"/>
    </row>
    <row r="30" spans="2:12" ht="27.75" customHeight="1" x14ac:dyDescent="0.2">
      <c r="B30" s="2"/>
      <c r="C30" s="2"/>
      <c r="D30" s="2"/>
      <c r="E30" s="2"/>
      <c r="F30" s="2"/>
      <c r="G30" s="20" t="str">
        <f t="shared" si="0"/>
        <v/>
      </c>
      <c r="H30" s="2"/>
      <c r="I30" s="2"/>
      <c r="J30" s="21"/>
      <c r="K30" s="21"/>
      <c r="L30" s="2"/>
    </row>
    <row r="31" spans="2:12" ht="27.75" customHeight="1" x14ac:dyDescent="0.2">
      <c r="B31" s="13"/>
      <c r="C31" s="13"/>
      <c r="D31" s="13"/>
      <c r="E31" s="13"/>
      <c r="F31" s="13"/>
      <c r="G31" s="22" t="str">
        <f t="shared" si="0"/>
        <v/>
      </c>
      <c r="H31" s="13"/>
      <c r="I31" s="13"/>
      <c r="J31" s="23"/>
      <c r="K31" s="23"/>
      <c r="L31" s="13"/>
    </row>
    <row r="32" spans="2:12" ht="27.75" customHeight="1" x14ac:dyDescent="0.2">
      <c r="B32" s="2"/>
      <c r="C32" s="2"/>
      <c r="D32" s="2"/>
      <c r="E32" s="2"/>
      <c r="F32" s="2"/>
      <c r="G32" s="20" t="str">
        <f t="shared" si="0"/>
        <v/>
      </c>
      <c r="H32" s="2"/>
      <c r="I32" s="2"/>
      <c r="J32" s="21"/>
      <c r="K32" s="21"/>
      <c r="L32" s="2"/>
    </row>
    <row r="33" spans="2:12" ht="27.75" customHeight="1" x14ac:dyDescent="0.2">
      <c r="B33" s="13"/>
      <c r="C33" s="13"/>
      <c r="D33" s="13"/>
      <c r="E33" s="13"/>
      <c r="F33" s="13"/>
      <c r="G33" s="22" t="str">
        <f t="shared" si="0"/>
        <v/>
      </c>
      <c r="H33" s="13"/>
      <c r="I33" s="13"/>
      <c r="J33" s="23"/>
      <c r="K33" s="23"/>
      <c r="L33" s="13"/>
    </row>
    <row r="34" spans="2:12" ht="27.75" customHeight="1" x14ac:dyDescent="0.2">
      <c r="B34" s="2"/>
      <c r="C34" s="2"/>
      <c r="D34" s="2"/>
      <c r="E34" s="2"/>
      <c r="F34" s="2"/>
      <c r="G34" s="20" t="str">
        <f t="shared" si="0"/>
        <v/>
      </c>
      <c r="H34" s="2"/>
      <c r="I34" s="2"/>
      <c r="J34" s="21"/>
      <c r="K34" s="21"/>
      <c r="L34" s="2"/>
    </row>
    <row r="35" spans="2:12" ht="27.75" customHeight="1" x14ac:dyDescent="0.2">
      <c r="B35" s="13"/>
      <c r="C35" s="13"/>
      <c r="D35" s="13"/>
      <c r="E35" s="13"/>
      <c r="F35" s="13"/>
      <c r="G35" s="22" t="str">
        <f t="shared" si="0"/>
        <v/>
      </c>
      <c r="H35" s="13"/>
      <c r="I35" s="13"/>
      <c r="J35" s="23"/>
      <c r="K35" s="23"/>
      <c r="L35" s="13"/>
    </row>
    <row r="36" spans="2:12" ht="27.75" customHeight="1" x14ac:dyDescent="0.2">
      <c r="B36" s="2"/>
      <c r="C36" s="2"/>
      <c r="D36" s="2"/>
      <c r="E36" s="2"/>
      <c r="F36" s="2"/>
      <c r="G36" s="20" t="str">
        <f t="shared" si="0"/>
        <v/>
      </c>
      <c r="H36" s="2"/>
      <c r="I36" s="2"/>
      <c r="J36" s="21"/>
      <c r="K36" s="21"/>
      <c r="L36" s="2"/>
    </row>
    <row r="37" spans="2:12" ht="27.75" customHeight="1" x14ac:dyDescent="0.2">
      <c r="B37" s="13"/>
      <c r="C37" s="13"/>
      <c r="D37" s="13"/>
      <c r="E37" s="13"/>
      <c r="F37" s="13"/>
      <c r="G37" s="22" t="str">
        <f t="shared" si="0"/>
        <v/>
      </c>
      <c r="H37" s="13"/>
      <c r="I37" s="13"/>
      <c r="J37" s="23"/>
      <c r="K37" s="23"/>
      <c r="L37" s="13"/>
    </row>
    <row r="38" spans="2:12" ht="27.75" customHeight="1" x14ac:dyDescent="0.2">
      <c r="B38" s="2"/>
      <c r="C38" s="2"/>
      <c r="D38" s="2"/>
      <c r="E38" s="2"/>
      <c r="F38" s="2"/>
      <c r="G38" s="20" t="str">
        <f t="shared" si="0"/>
        <v/>
      </c>
      <c r="H38" s="2"/>
      <c r="I38" s="2"/>
      <c r="J38" s="21"/>
      <c r="K38" s="21"/>
      <c r="L38" s="2"/>
    </row>
    <row r="39" spans="2:12" ht="27.75" customHeight="1" x14ac:dyDescent="0.2">
      <c r="B39" s="13"/>
      <c r="C39" s="13"/>
      <c r="D39" s="13"/>
      <c r="E39" s="13"/>
      <c r="F39" s="13"/>
      <c r="G39" s="22" t="str">
        <f t="shared" si="0"/>
        <v/>
      </c>
      <c r="H39" s="13"/>
      <c r="I39" s="13"/>
      <c r="J39" s="23"/>
      <c r="K39" s="23"/>
      <c r="L39" s="13"/>
    </row>
    <row r="40" spans="2:12" ht="27.75" customHeight="1" x14ac:dyDescent="0.2">
      <c r="B40" s="2"/>
      <c r="C40" s="2"/>
      <c r="D40" s="2"/>
      <c r="E40" s="2"/>
      <c r="F40" s="2"/>
      <c r="G40" s="20" t="str">
        <f t="shared" si="0"/>
        <v/>
      </c>
      <c r="H40" s="2"/>
      <c r="I40" s="2"/>
      <c r="J40" s="21"/>
      <c r="K40" s="21"/>
      <c r="L40" s="2"/>
    </row>
    <row r="41" spans="2:12" ht="27.75" customHeight="1" x14ac:dyDescent="0.2">
      <c r="B41" s="13"/>
      <c r="C41" s="13"/>
      <c r="D41" s="13"/>
      <c r="E41" s="13"/>
      <c r="F41" s="13"/>
      <c r="G41" s="22" t="str">
        <f t="shared" si="0"/>
        <v/>
      </c>
      <c r="H41" s="13"/>
      <c r="I41" s="13"/>
      <c r="J41" s="23"/>
      <c r="K41" s="23"/>
      <c r="L41" s="13"/>
    </row>
    <row r="42" spans="2:12" ht="27.75" customHeight="1" x14ac:dyDescent="0.2">
      <c r="B42" s="2"/>
      <c r="C42" s="2"/>
      <c r="D42" s="2"/>
      <c r="E42" s="2"/>
      <c r="F42" s="2"/>
      <c r="G42" s="20" t="str">
        <f t="shared" si="0"/>
        <v/>
      </c>
      <c r="H42" s="2"/>
      <c r="I42" s="2"/>
      <c r="J42" s="21"/>
      <c r="K42" s="21"/>
      <c r="L42" s="2"/>
    </row>
    <row r="43" spans="2:12" ht="27.75" customHeight="1" x14ac:dyDescent="0.2">
      <c r="B43" s="13"/>
      <c r="C43" s="13"/>
      <c r="D43" s="13"/>
      <c r="E43" s="13"/>
      <c r="F43" s="13"/>
      <c r="G43" s="22" t="str">
        <f t="shared" si="0"/>
        <v/>
      </c>
      <c r="H43" s="13"/>
      <c r="I43" s="13"/>
      <c r="J43" s="23"/>
      <c r="K43" s="23"/>
      <c r="L43" s="13"/>
    </row>
    <row r="44" spans="2:12" ht="27.75" customHeight="1" x14ac:dyDescent="0.2">
      <c r="B44" s="2"/>
      <c r="C44" s="2"/>
      <c r="D44" s="2"/>
      <c r="E44" s="2"/>
      <c r="F44" s="2"/>
      <c r="G44" s="20" t="str">
        <f t="shared" si="0"/>
        <v/>
      </c>
      <c r="H44" s="2"/>
      <c r="I44" s="2"/>
      <c r="J44" s="21"/>
      <c r="K44" s="21"/>
      <c r="L44" s="2"/>
    </row>
    <row r="45" spans="2:12" ht="27.75" customHeight="1" x14ac:dyDescent="0.2">
      <c r="B45" s="13"/>
      <c r="C45" s="13"/>
      <c r="D45" s="13"/>
      <c r="E45" s="13"/>
      <c r="F45" s="13"/>
      <c r="G45" s="22" t="str">
        <f t="shared" si="0"/>
        <v/>
      </c>
      <c r="H45" s="13"/>
      <c r="I45" s="13"/>
      <c r="J45" s="23"/>
      <c r="K45" s="23"/>
      <c r="L45" s="13"/>
    </row>
  </sheetData>
  <conditionalFormatting sqref="G6:G45">
    <cfRule type="cellIs" dxfId="30" priority="2" operator="greaterThanOrEqual">
      <formula>6</formula>
    </cfRule>
    <cfRule type="cellIs" dxfId="29" priority="3" operator="between">
      <formula>3</formula>
      <formula>5</formula>
    </cfRule>
    <cfRule type="cellIs" dxfId="28" priority="4" operator="between">
      <formula>1</formula>
      <formula>2</formula>
    </cfRule>
  </conditionalFormatting>
  <dataValidations count="3">
    <dataValidation type="list" allowBlank="1" sqref="C6:C45" xr:uid="{00000000-0002-0000-0500-000000000000}">
      <formula1>"Risk,Assumption,Issue,Dependency"</formula1>
      <formula2>0</formula2>
    </dataValidation>
    <dataValidation type="list" allowBlank="1" sqref="E6:F45" xr:uid="{00000000-0002-0000-0500-000001000000}">
      <formula1>"High,Medium,Low"</formula1>
      <formula2>0</formula2>
    </dataValidation>
    <dataValidation type="list" allowBlank="1" sqref="H6:H45" xr:uid="{00000000-0002-0000-0500-000003000000}">
      <formula1>"Open,Mitigating,Monitoring,Closed,Realized"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J35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8" customWidth="1"/>
    <col min="3" max="3" width="36" customWidth="1"/>
    <col min="4" max="4" width="16" customWidth="1"/>
    <col min="5" max="9" width="14" customWidth="1"/>
    <col min="10" max="10" width="22" customWidth="1"/>
  </cols>
  <sheetData>
    <row r="1" spans="2:10" ht="16.5" customHeight="1" x14ac:dyDescent="0.2"/>
    <row r="2" spans="2:10" ht="27.75" customHeight="1" x14ac:dyDescent="0.2">
      <c r="B2" s="14" t="s">
        <v>257</v>
      </c>
    </row>
    <row r="3" spans="2:10" ht="16.5" customHeight="1" x14ac:dyDescent="0.2">
      <c r="B3" s="5" t="s">
        <v>258</v>
      </c>
    </row>
    <row r="4" spans="2:10" ht="16.5" customHeight="1" x14ac:dyDescent="0.2"/>
    <row r="5" spans="2:10" ht="31.5" customHeight="1" x14ac:dyDescent="0.2">
      <c r="B5" s="9" t="s">
        <v>233</v>
      </c>
      <c r="C5" s="9" t="s">
        <v>259</v>
      </c>
      <c r="D5" s="9" t="s">
        <v>238</v>
      </c>
      <c r="E5" s="9" t="s">
        <v>13</v>
      </c>
      <c r="F5" s="9" t="s">
        <v>260</v>
      </c>
      <c r="G5" s="9" t="s">
        <v>261</v>
      </c>
      <c r="H5" s="9" t="s">
        <v>262</v>
      </c>
      <c r="I5" s="9" t="s">
        <v>18</v>
      </c>
      <c r="J5" s="9" t="s">
        <v>263</v>
      </c>
    </row>
    <row r="6" spans="2:10" ht="27.75" customHeight="1" x14ac:dyDescent="0.2">
      <c r="B6" s="2"/>
      <c r="C6" s="2"/>
      <c r="D6" s="2"/>
      <c r="E6" s="2"/>
      <c r="F6" s="21"/>
      <c r="G6" s="21"/>
      <c r="H6" s="21"/>
      <c r="I6" s="2"/>
      <c r="J6" s="2"/>
    </row>
    <row r="7" spans="2:10" ht="27.75" customHeight="1" x14ac:dyDescent="0.2">
      <c r="B7" s="13"/>
      <c r="C7" s="13"/>
      <c r="D7" s="13"/>
      <c r="E7" s="13"/>
      <c r="F7" s="23"/>
      <c r="G7" s="23"/>
      <c r="H7" s="23"/>
      <c r="I7" s="13"/>
      <c r="J7" s="13"/>
    </row>
    <row r="8" spans="2:10" ht="27.75" customHeight="1" x14ac:dyDescent="0.2">
      <c r="B8" s="2"/>
      <c r="C8" s="2"/>
      <c r="D8" s="2"/>
      <c r="E8" s="2"/>
      <c r="F8" s="21"/>
      <c r="G8" s="21"/>
      <c r="H8" s="21"/>
      <c r="I8" s="2"/>
      <c r="J8" s="2"/>
    </row>
    <row r="9" spans="2:10" ht="27.75" customHeight="1" x14ac:dyDescent="0.2">
      <c r="B9" s="13"/>
      <c r="C9" s="13"/>
      <c r="D9" s="13"/>
      <c r="E9" s="13"/>
      <c r="F9" s="23"/>
      <c r="G9" s="23"/>
      <c r="H9" s="23"/>
      <c r="I9" s="13"/>
      <c r="J9" s="13"/>
    </row>
    <row r="10" spans="2:10" ht="27.75" customHeight="1" x14ac:dyDescent="0.2">
      <c r="B10" s="2"/>
      <c r="C10" s="2"/>
      <c r="D10" s="2"/>
      <c r="E10" s="2"/>
      <c r="F10" s="21"/>
      <c r="G10" s="21"/>
      <c r="H10" s="21"/>
      <c r="I10" s="2"/>
      <c r="J10" s="2"/>
    </row>
    <row r="11" spans="2:10" ht="27.75" customHeight="1" x14ac:dyDescent="0.2">
      <c r="B11" s="13"/>
      <c r="C11" s="13"/>
      <c r="D11" s="13"/>
      <c r="E11" s="13"/>
      <c r="F11" s="23"/>
      <c r="G11" s="23"/>
      <c r="H11" s="23"/>
      <c r="I11" s="13"/>
      <c r="J11" s="13"/>
    </row>
    <row r="12" spans="2:10" ht="27.75" customHeight="1" x14ac:dyDescent="0.2">
      <c r="B12" s="2"/>
      <c r="C12" s="2"/>
      <c r="D12" s="2"/>
      <c r="E12" s="2"/>
      <c r="F12" s="21"/>
      <c r="G12" s="21"/>
      <c r="H12" s="21"/>
      <c r="I12" s="2"/>
      <c r="J12" s="2"/>
    </row>
    <row r="13" spans="2:10" ht="27.75" customHeight="1" x14ac:dyDescent="0.2">
      <c r="B13" s="13"/>
      <c r="C13" s="13"/>
      <c r="D13" s="13"/>
      <c r="E13" s="13"/>
      <c r="F13" s="23"/>
      <c r="G13" s="23"/>
      <c r="H13" s="23"/>
      <c r="I13" s="13"/>
      <c r="J13" s="13"/>
    </row>
    <row r="14" spans="2:10" ht="27.75" customHeight="1" x14ac:dyDescent="0.2">
      <c r="B14" s="2"/>
      <c r="C14" s="2"/>
      <c r="D14" s="2"/>
      <c r="E14" s="2"/>
      <c r="F14" s="21"/>
      <c r="G14" s="21"/>
      <c r="H14" s="21"/>
      <c r="I14" s="2"/>
      <c r="J14" s="2"/>
    </row>
    <row r="15" spans="2:10" ht="27.75" customHeight="1" x14ac:dyDescent="0.2">
      <c r="B15" s="13"/>
      <c r="C15" s="13"/>
      <c r="D15" s="13"/>
      <c r="E15" s="13"/>
      <c r="F15" s="23"/>
      <c r="G15" s="23"/>
      <c r="H15" s="23"/>
      <c r="I15" s="13"/>
      <c r="J15" s="13"/>
    </row>
    <row r="16" spans="2:10" ht="27.75" customHeight="1" x14ac:dyDescent="0.2">
      <c r="B16" s="2"/>
      <c r="C16" s="2"/>
      <c r="D16" s="2"/>
      <c r="E16" s="2"/>
      <c r="F16" s="21"/>
      <c r="G16" s="21"/>
      <c r="H16" s="21"/>
      <c r="I16" s="2"/>
      <c r="J16" s="2"/>
    </row>
    <row r="17" spans="2:10" ht="27.75" customHeight="1" x14ac:dyDescent="0.2">
      <c r="B17" s="13"/>
      <c r="C17" s="13"/>
      <c r="D17" s="13"/>
      <c r="E17" s="13"/>
      <c r="F17" s="23"/>
      <c r="G17" s="23"/>
      <c r="H17" s="23"/>
      <c r="I17" s="13"/>
      <c r="J17" s="13"/>
    </row>
    <row r="18" spans="2:10" ht="27.75" customHeight="1" x14ac:dyDescent="0.2">
      <c r="B18" s="2"/>
      <c r="C18" s="2"/>
      <c r="D18" s="2"/>
      <c r="E18" s="2"/>
      <c r="F18" s="21"/>
      <c r="G18" s="21"/>
      <c r="H18" s="21"/>
      <c r="I18" s="2"/>
      <c r="J18" s="2"/>
    </row>
    <row r="19" spans="2:10" ht="27.75" customHeight="1" x14ac:dyDescent="0.2">
      <c r="B19" s="13"/>
      <c r="C19" s="13"/>
      <c r="D19" s="13"/>
      <c r="E19" s="13"/>
      <c r="F19" s="23"/>
      <c r="G19" s="23"/>
      <c r="H19" s="23"/>
      <c r="I19" s="13"/>
      <c r="J19" s="13"/>
    </row>
    <row r="20" spans="2:10" ht="27.75" customHeight="1" x14ac:dyDescent="0.2">
      <c r="B20" s="2"/>
      <c r="C20" s="2"/>
      <c r="D20" s="2"/>
      <c r="E20" s="2"/>
      <c r="F20" s="21"/>
      <c r="G20" s="21"/>
      <c r="H20" s="21"/>
      <c r="I20" s="2"/>
      <c r="J20" s="2"/>
    </row>
    <row r="21" spans="2:10" ht="27.75" customHeight="1" x14ac:dyDescent="0.2">
      <c r="B21" s="13"/>
      <c r="C21" s="13"/>
      <c r="D21" s="13"/>
      <c r="E21" s="13"/>
      <c r="F21" s="23"/>
      <c r="G21" s="23"/>
      <c r="H21" s="23"/>
      <c r="I21" s="13"/>
      <c r="J21" s="13"/>
    </row>
    <row r="22" spans="2:10" ht="27.75" customHeight="1" x14ac:dyDescent="0.2">
      <c r="B22" s="2"/>
      <c r="C22" s="2"/>
      <c r="D22" s="2"/>
      <c r="E22" s="2"/>
      <c r="F22" s="21"/>
      <c r="G22" s="21"/>
      <c r="H22" s="21"/>
      <c r="I22" s="2"/>
      <c r="J22" s="2"/>
    </row>
    <row r="23" spans="2:10" ht="27.75" customHeight="1" x14ac:dyDescent="0.2">
      <c r="B23" s="13"/>
      <c r="C23" s="13"/>
      <c r="D23" s="13"/>
      <c r="E23" s="13"/>
      <c r="F23" s="23"/>
      <c r="G23" s="23"/>
      <c r="H23" s="23"/>
      <c r="I23" s="13"/>
      <c r="J23" s="13"/>
    </row>
    <row r="24" spans="2:10" ht="27.75" customHeight="1" x14ac:dyDescent="0.2">
      <c r="B24" s="2"/>
      <c r="C24" s="2"/>
      <c r="D24" s="2"/>
      <c r="E24" s="2"/>
      <c r="F24" s="21"/>
      <c r="G24" s="21"/>
      <c r="H24" s="21"/>
      <c r="I24" s="2"/>
      <c r="J24" s="2"/>
    </row>
    <row r="25" spans="2:10" ht="27.75" customHeight="1" x14ac:dyDescent="0.2">
      <c r="B25" s="13"/>
      <c r="C25" s="13"/>
      <c r="D25" s="13"/>
      <c r="E25" s="13"/>
      <c r="F25" s="23"/>
      <c r="G25" s="23"/>
      <c r="H25" s="23"/>
      <c r="I25" s="13"/>
      <c r="J25" s="13"/>
    </row>
    <row r="26" spans="2:10" ht="27.75" customHeight="1" x14ac:dyDescent="0.2">
      <c r="B26" s="2"/>
      <c r="C26" s="2"/>
      <c r="D26" s="2"/>
      <c r="E26" s="2"/>
      <c r="F26" s="21"/>
      <c r="G26" s="21"/>
      <c r="H26" s="21"/>
      <c r="I26" s="2"/>
      <c r="J26" s="2"/>
    </row>
    <row r="27" spans="2:10" ht="27.75" customHeight="1" x14ac:dyDescent="0.2">
      <c r="B27" s="13"/>
      <c r="C27" s="13"/>
      <c r="D27" s="13"/>
      <c r="E27" s="13"/>
      <c r="F27" s="23"/>
      <c r="G27" s="23"/>
      <c r="H27" s="23"/>
      <c r="I27" s="13"/>
      <c r="J27" s="13"/>
    </row>
    <row r="28" spans="2:10" ht="27.75" customHeight="1" x14ac:dyDescent="0.2">
      <c r="B28" s="2"/>
      <c r="C28" s="2"/>
      <c r="D28" s="2"/>
      <c r="E28" s="2"/>
      <c r="F28" s="21"/>
      <c r="G28" s="21"/>
      <c r="H28" s="21"/>
      <c r="I28" s="2"/>
      <c r="J28" s="2"/>
    </row>
    <row r="29" spans="2:10" ht="27.75" customHeight="1" x14ac:dyDescent="0.2">
      <c r="B29" s="13"/>
      <c r="C29" s="13"/>
      <c r="D29" s="13"/>
      <c r="E29" s="13"/>
      <c r="F29" s="23"/>
      <c r="G29" s="23"/>
      <c r="H29" s="23"/>
      <c r="I29" s="13"/>
      <c r="J29" s="13"/>
    </row>
    <row r="30" spans="2:10" ht="27.75" customHeight="1" x14ac:dyDescent="0.2">
      <c r="B30" s="2"/>
      <c r="C30" s="2"/>
      <c r="D30" s="2"/>
      <c r="E30" s="2"/>
      <c r="F30" s="21"/>
      <c r="G30" s="21"/>
      <c r="H30" s="21"/>
      <c r="I30" s="2"/>
      <c r="J30" s="2"/>
    </row>
    <row r="31" spans="2:10" ht="27.75" customHeight="1" x14ac:dyDescent="0.2">
      <c r="B31" s="13"/>
      <c r="C31" s="13"/>
      <c r="D31" s="13"/>
      <c r="E31" s="13"/>
      <c r="F31" s="23"/>
      <c r="G31" s="23"/>
      <c r="H31" s="23"/>
      <c r="I31" s="13"/>
      <c r="J31" s="13"/>
    </row>
    <row r="32" spans="2:10" ht="27.75" customHeight="1" x14ac:dyDescent="0.2">
      <c r="B32" s="2"/>
      <c r="C32" s="2"/>
      <c r="D32" s="2"/>
      <c r="E32" s="2"/>
      <c r="F32" s="21"/>
      <c r="G32" s="21"/>
      <c r="H32" s="21"/>
      <c r="I32" s="2"/>
      <c r="J32" s="2"/>
    </row>
    <row r="33" spans="2:10" ht="27.75" customHeight="1" x14ac:dyDescent="0.2">
      <c r="B33" s="13"/>
      <c r="C33" s="13"/>
      <c r="D33" s="13"/>
      <c r="E33" s="13"/>
      <c r="F33" s="23"/>
      <c r="G33" s="23"/>
      <c r="H33" s="23"/>
      <c r="I33" s="13"/>
      <c r="J33" s="13"/>
    </row>
    <row r="34" spans="2:10" ht="27.75" customHeight="1" x14ac:dyDescent="0.2">
      <c r="B34" s="2"/>
      <c r="C34" s="2"/>
      <c r="D34" s="2"/>
      <c r="E34" s="2"/>
      <c r="F34" s="21"/>
      <c r="G34" s="21"/>
      <c r="H34" s="21"/>
      <c r="I34" s="2"/>
      <c r="J34" s="2"/>
    </row>
    <row r="35" spans="2:10" ht="27.75" customHeight="1" x14ac:dyDescent="0.2">
      <c r="B35" s="13"/>
      <c r="C35" s="13"/>
      <c r="D35" s="13"/>
      <c r="E35" s="13"/>
      <c r="F35" s="23"/>
      <c r="G35" s="23"/>
      <c r="H35" s="23"/>
      <c r="I35" s="13"/>
      <c r="J35" s="13"/>
    </row>
  </sheetData>
  <conditionalFormatting sqref="I6:I35">
    <cfRule type="expression" dxfId="27" priority="2">
      <formula>EXACT(I6,"Complete")</formula>
    </cfRule>
    <cfRule type="expression" dxfId="26" priority="3">
      <formula>OR(EXACT(I6,"Delayed"),EXACT(I6,"At-Risk"),EXACT(I6,"Blocked"))</formula>
    </cfRule>
    <cfRule type="expression" dxfId="25" priority="4">
      <formula>EXACT(I6,"In Progress")</formula>
    </cfRule>
  </conditionalFormatting>
  <dataValidations count="2">
    <dataValidation type="list" allowBlank="1" sqref="E6:E35" xr:uid="{00000000-0002-0000-0600-000000000000}">
      <formula1>"Initiate,Plan,Execute,Monitor,Close"</formula1>
      <formula2>0</formula2>
    </dataValidation>
    <dataValidation type="list" allowBlank="1" sqref="I6:I35" xr:uid="{00000000-0002-0000-0600-000001000000}">
      <formula1>"Not Started,In Progress,Complete,Delayed,At-Risk,Blocked"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J37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3" width="22" customWidth="1"/>
    <col min="4" max="4" width="18" customWidth="1"/>
    <col min="5" max="5" width="16" customWidth="1"/>
    <col min="6" max="9" width="14" customWidth="1"/>
    <col min="10" max="10" width="22" customWidth="1"/>
  </cols>
  <sheetData>
    <row r="1" spans="2:10" ht="16.5" customHeight="1" x14ac:dyDescent="0.2"/>
    <row r="2" spans="2:10" ht="27.75" customHeight="1" x14ac:dyDescent="0.2">
      <c r="B2" s="14" t="s">
        <v>264</v>
      </c>
    </row>
    <row r="3" spans="2:10" ht="16.5" customHeight="1" x14ac:dyDescent="0.2">
      <c r="B3" s="5" t="s">
        <v>265</v>
      </c>
    </row>
    <row r="4" spans="2:10" ht="16.5" customHeight="1" x14ac:dyDescent="0.2"/>
    <row r="5" spans="2:10" ht="31.5" customHeight="1" x14ac:dyDescent="0.2">
      <c r="B5" s="9" t="s">
        <v>186</v>
      </c>
      <c r="C5" s="9" t="s">
        <v>266</v>
      </c>
      <c r="D5" s="9" t="s">
        <v>267</v>
      </c>
      <c r="E5" s="9" t="s">
        <v>234</v>
      </c>
      <c r="F5" s="9" t="s">
        <v>268</v>
      </c>
      <c r="G5" s="9" t="s">
        <v>10</v>
      </c>
      <c r="H5" s="9" t="s">
        <v>269</v>
      </c>
      <c r="I5" s="9" t="s">
        <v>270</v>
      </c>
      <c r="J5" s="9" t="s">
        <v>271</v>
      </c>
    </row>
    <row r="6" spans="2:10" ht="27.75" customHeight="1" x14ac:dyDescent="0.2">
      <c r="B6" s="2"/>
      <c r="C6" s="2"/>
      <c r="D6" s="2"/>
      <c r="E6" s="2"/>
      <c r="F6" s="24"/>
      <c r="G6" s="21"/>
      <c r="H6" s="21"/>
      <c r="I6" s="25"/>
      <c r="J6" s="2"/>
    </row>
    <row r="7" spans="2:10" ht="27.75" customHeight="1" x14ac:dyDescent="0.2">
      <c r="B7" s="13"/>
      <c r="C7" s="13"/>
      <c r="D7" s="13"/>
      <c r="E7" s="13"/>
      <c r="F7" s="26"/>
      <c r="G7" s="23"/>
      <c r="H7" s="23"/>
      <c r="I7" s="27"/>
      <c r="J7" s="13"/>
    </row>
    <row r="8" spans="2:10" ht="27.75" customHeight="1" x14ac:dyDescent="0.2">
      <c r="B8" s="2"/>
      <c r="C8" s="2"/>
      <c r="D8" s="2"/>
      <c r="E8" s="2"/>
      <c r="F8" s="24"/>
      <c r="G8" s="21"/>
      <c r="H8" s="21"/>
      <c r="I8" s="25"/>
      <c r="J8" s="2"/>
    </row>
    <row r="9" spans="2:10" ht="27.75" customHeight="1" x14ac:dyDescent="0.2">
      <c r="B9" s="13"/>
      <c r="C9" s="13"/>
      <c r="D9" s="13"/>
      <c r="E9" s="13"/>
      <c r="F9" s="26"/>
      <c r="G9" s="23"/>
      <c r="H9" s="23"/>
      <c r="I9" s="27"/>
      <c r="J9" s="13"/>
    </row>
    <row r="10" spans="2:10" ht="27.75" customHeight="1" x14ac:dyDescent="0.2">
      <c r="B10" s="2"/>
      <c r="C10" s="2"/>
      <c r="D10" s="2"/>
      <c r="E10" s="2"/>
      <c r="F10" s="24"/>
      <c r="G10" s="21"/>
      <c r="H10" s="21"/>
      <c r="I10" s="25"/>
      <c r="J10" s="2"/>
    </row>
    <row r="11" spans="2:10" ht="27.75" customHeight="1" x14ac:dyDescent="0.2">
      <c r="B11" s="13"/>
      <c r="C11" s="13"/>
      <c r="D11" s="13"/>
      <c r="E11" s="13"/>
      <c r="F11" s="26"/>
      <c r="G11" s="23"/>
      <c r="H11" s="23"/>
      <c r="I11" s="27"/>
      <c r="J11" s="13"/>
    </row>
    <row r="12" spans="2:10" ht="27.75" customHeight="1" x14ac:dyDescent="0.2">
      <c r="B12" s="2"/>
      <c r="C12" s="2"/>
      <c r="D12" s="2"/>
      <c r="E12" s="2"/>
      <c r="F12" s="24"/>
      <c r="G12" s="21"/>
      <c r="H12" s="21"/>
      <c r="I12" s="25"/>
      <c r="J12" s="2"/>
    </row>
    <row r="13" spans="2:10" ht="27.75" customHeight="1" x14ac:dyDescent="0.2">
      <c r="B13" s="13"/>
      <c r="C13" s="13"/>
      <c r="D13" s="13"/>
      <c r="E13" s="13"/>
      <c r="F13" s="26"/>
      <c r="G13" s="23"/>
      <c r="H13" s="23"/>
      <c r="I13" s="27"/>
      <c r="J13" s="13"/>
    </row>
    <row r="14" spans="2:10" ht="27.75" customHeight="1" x14ac:dyDescent="0.2">
      <c r="B14" s="2"/>
      <c r="C14" s="2"/>
      <c r="D14" s="2"/>
      <c r="E14" s="2"/>
      <c r="F14" s="24"/>
      <c r="G14" s="21"/>
      <c r="H14" s="21"/>
      <c r="I14" s="25"/>
      <c r="J14" s="2"/>
    </row>
    <row r="15" spans="2:10" ht="27.75" customHeight="1" x14ac:dyDescent="0.2">
      <c r="B15" s="13"/>
      <c r="C15" s="13"/>
      <c r="D15" s="13"/>
      <c r="E15" s="13"/>
      <c r="F15" s="26"/>
      <c r="G15" s="23"/>
      <c r="H15" s="23"/>
      <c r="I15" s="27"/>
      <c r="J15" s="13"/>
    </row>
    <row r="16" spans="2:10" ht="27.75" customHeight="1" x14ac:dyDescent="0.2">
      <c r="B16" s="2"/>
      <c r="C16" s="2"/>
      <c r="D16" s="2"/>
      <c r="E16" s="2"/>
      <c r="F16" s="24"/>
      <c r="G16" s="21"/>
      <c r="H16" s="21"/>
      <c r="I16" s="25"/>
      <c r="J16" s="2"/>
    </row>
    <row r="17" spans="2:10" ht="27.75" customHeight="1" x14ac:dyDescent="0.2">
      <c r="B17" s="13"/>
      <c r="C17" s="13"/>
      <c r="D17" s="13"/>
      <c r="E17" s="13"/>
      <c r="F17" s="26"/>
      <c r="G17" s="23"/>
      <c r="H17" s="23"/>
      <c r="I17" s="27"/>
      <c r="J17" s="13"/>
    </row>
    <row r="18" spans="2:10" ht="27.75" customHeight="1" x14ac:dyDescent="0.2">
      <c r="B18" s="2"/>
      <c r="C18" s="2"/>
      <c r="D18" s="2"/>
      <c r="E18" s="2"/>
      <c r="F18" s="24"/>
      <c r="G18" s="21"/>
      <c r="H18" s="21"/>
      <c r="I18" s="25"/>
      <c r="J18" s="2"/>
    </row>
    <row r="19" spans="2:10" ht="27.75" customHeight="1" x14ac:dyDescent="0.2">
      <c r="B19" s="13"/>
      <c r="C19" s="13"/>
      <c r="D19" s="13"/>
      <c r="E19" s="13"/>
      <c r="F19" s="26"/>
      <c r="G19" s="23"/>
      <c r="H19" s="23"/>
      <c r="I19" s="27"/>
      <c r="J19" s="13"/>
    </row>
    <row r="20" spans="2:10" ht="27.75" customHeight="1" x14ac:dyDescent="0.2">
      <c r="B20" s="2"/>
      <c r="C20" s="2"/>
      <c r="D20" s="2"/>
      <c r="E20" s="2"/>
      <c r="F20" s="24"/>
      <c r="G20" s="21"/>
      <c r="H20" s="21"/>
      <c r="I20" s="25"/>
      <c r="J20" s="2"/>
    </row>
    <row r="21" spans="2:10" ht="27.75" customHeight="1" x14ac:dyDescent="0.2">
      <c r="B21" s="13"/>
      <c r="C21" s="13"/>
      <c r="D21" s="13"/>
      <c r="E21" s="13"/>
      <c r="F21" s="26"/>
      <c r="G21" s="23"/>
      <c r="H21" s="23"/>
      <c r="I21" s="27"/>
      <c r="J21" s="13"/>
    </row>
    <row r="22" spans="2:10" ht="27.75" customHeight="1" x14ac:dyDescent="0.2">
      <c r="B22" s="2"/>
      <c r="C22" s="2"/>
      <c r="D22" s="2"/>
      <c r="E22" s="2"/>
      <c r="F22" s="24"/>
      <c r="G22" s="21"/>
      <c r="H22" s="21"/>
      <c r="I22" s="25"/>
      <c r="J22" s="2"/>
    </row>
    <row r="23" spans="2:10" ht="27.75" customHeight="1" x14ac:dyDescent="0.2">
      <c r="B23" s="13"/>
      <c r="C23" s="13"/>
      <c r="D23" s="13"/>
      <c r="E23" s="13"/>
      <c r="F23" s="26"/>
      <c r="G23" s="23"/>
      <c r="H23" s="23"/>
      <c r="I23" s="27"/>
      <c r="J23" s="13"/>
    </row>
    <row r="24" spans="2:10" ht="27.75" customHeight="1" x14ac:dyDescent="0.2">
      <c r="B24" s="2"/>
      <c r="C24" s="2"/>
      <c r="D24" s="2"/>
      <c r="E24" s="2"/>
      <c r="F24" s="24"/>
      <c r="G24" s="21"/>
      <c r="H24" s="21"/>
      <c r="I24" s="25"/>
      <c r="J24" s="2"/>
    </row>
    <row r="25" spans="2:10" ht="27.75" customHeight="1" x14ac:dyDescent="0.2">
      <c r="B25" s="13"/>
      <c r="C25" s="13"/>
      <c r="D25" s="13"/>
      <c r="E25" s="13"/>
      <c r="F25" s="26"/>
      <c r="G25" s="23"/>
      <c r="H25" s="23"/>
      <c r="I25" s="27"/>
      <c r="J25" s="13"/>
    </row>
    <row r="26" spans="2:10" ht="27.75" customHeight="1" x14ac:dyDescent="0.2">
      <c r="B26" s="2"/>
      <c r="C26" s="2"/>
      <c r="D26" s="2"/>
      <c r="E26" s="2"/>
      <c r="F26" s="24"/>
      <c r="G26" s="21"/>
      <c r="H26" s="21"/>
      <c r="I26" s="25"/>
      <c r="J26" s="2"/>
    </row>
    <row r="27" spans="2:10" ht="27.75" customHeight="1" x14ac:dyDescent="0.2">
      <c r="B27" s="13"/>
      <c r="C27" s="13"/>
      <c r="D27" s="13"/>
      <c r="E27" s="13"/>
      <c r="F27" s="26"/>
      <c r="G27" s="23"/>
      <c r="H27" s="23"/>
      <c r="I27" s="27"/>
      <c r="J27" s="13"/>
    </row>
    <row r="28" spans="2:10" ht="27.75" customHeight="1" x14ac:dyDescent="0.2">
      <c r="B28" s="2"/>
      <c r="C28" s="2"/>
      <c r="D28" s="2"/>
      <c r="E28" s="2"/>
      <c r="F28" s="24"/>
      <c r="G28" s="21"/>
      <c r="H28" s="21"/>
      <c r="I28" s="25"/>
      <c r="J28" s="2"/>
    </row>
    <row r="29" spans="2:10" ht="27.75" customHeight="1" x14ac:dyDescent="0.2">
      <c r="B29" s="13"/>
      <c r="C29" s="13"/>
      <c r="D29" s="13"/>
      <c r="E29" s="13"/>
      <c r="F29" s="26"/>
      <c r="G29" s="23"/>
      <c r="H29" s="23"/>
      <c r="I29" s="27"/>
      <c r="J29" s="13"/>
    </row>
    <row r="30" spans="2:10" ht="27.75" customHeight="1" x14ac:dyDescent="0.2">
      <c r="B30" s="2"/>
      <c r="C30" s="2"/>
      <c r="D30" s="2"/>
      <c r="E30" s="2"/>
      <c r="F30" s="24"/>
      <c r="G30" s="21"/>
      <c r="H30" s="21"/>
      <c r="I30" s="25"/>
      <c r="J30" s="2"/>
    </row>
    <row r="31" spans="2:10" ht="16.5" customHeight="1" x14ac:dyDescent="0.2"/>
    <row r="32" spans="2:10" ht="16.5" customHeight="1" x14ac:dyDescent="0.2"/>
    <row r="33" spans="2:3" ht="16.5" customHeight="1" x14ac:dyDescent="0.2">
      <c r="B33" s="17" t="s">
        <v>272</v>
      </c>
    </row>
    <row r="34" spans="2:3" ht="16.5" customHeight="1" x14ac:dyDescent="0.2"/>
    <row r="35" spans="2:3" ht="16.5" customHeight="1" x14ac:dyDescent="0.2">
      <c r="B35" s="8" t="s">
        <v>273</v>
      </c>
      <c r="C35" s="28">
        <f>SUMIF(E6:E30,"FTE",F6:F30)</f>
        <v>0</v>
      </c>
    </row>
    <row r="36" spans="2:3" ht="31.5" customHeight="1" x14ac:dyDescent="0.2">
      <c r="B36" s="8" t="s">
        <v>274</v>
      </c>
      <c r="C36" s="28">
        <f>SUMIF(E6:E30,"Contractor",F6:F30)</f>
        <v>0</v>
      </c>
    </row>
    <row r="37" spans="2:3" ht="16.5" customHeight="1" x14ac:dyDescent="0.2">
      <c r="B37" s="8" t="s">
        <v>275</v>
      </c>
      <c r="C37" s="18">
        <f>COUNTA(B6:B30)</f>
        <v>0</v>
      </c>
    </row>
  </sheetData>
  <dataValidations count="1">
    <dataValidation type="list" allowBlank="1" sqref="E6:E30" xr:uid="{00000000-0002-0000-0700-000000000000}">
      <formula1>"FTE,Contractor,Vendor,Part-time,Advisor"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2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6" customWidth="1"/>
    <col min="3" max="6" width="16" customWidth="1"/>
    <col min="7" max="7" width="14" customWidth="1"/>
    <col min="8" max="8" width="30" customWidth="1"/>
  </cols>
  <sheetData>
    <row r="1" spans="2:8" ht="16.5" customHeight="1" x14ac:dyDescent="0.2"/>
    <row r="2" spans="2:8" ht="27.75" customHeight="1" x14ac:dyDescent="0.2">
      <c r="B2" s="14" t="s">
        <v>276</v>
      </c>
    </row>
    <row r="3" spans="2:8" ht="16.5" customHeight="1" x14ac:dyDescent="0.2">
      <c r="B3" s="5" t="s">
        <v>277</v>
      </c>
    </row>
    <row r="4" spans="2:8" ht="16.5" customHeight="1" x14ac:dyDescent="0.2"/>
    <row r="5" spans="2:8" ht="16.5" customHeight="1" x14ac:dyDescent="0.2">
      <c r="B5" s="8" t="s">
        <v>278</v>
      </c>
      <c r="C5" s="29"/>
      <c r="D5" s="8" t="s">
        <v>279</v>
      </c>
      <c r="E5" s="1" t="s">
        <v>280</v>
      </c>
      <c r="F5" s="8" t="s">
        <v>281</v>
      </c>
      <c r="G5" s="30"/>
    </row>
    <row r="6" spans="2:8" ht="16.5" customHeight="1" x14ac:dyDescent="0.2"/>
    <row r="7" spans="2:8" ht="16.5" customHeight="1" x14ac:dyDescent="0.2"/>
    <row r="8" spans="2:8" ht="31.5" customHeight="1" x14ac:dyDescent="0.2">
      <c r="B8" s="9" t="s">
        <v>282</v>
      </c>
      <c r="C8" s="9" t="s">
        <v>283</v>
      </c>
      <c r="D8" s="9" t="s">
        <v>284</v>
      </c>
      <c r="E8" s="9" t="s">
        <v>285</v>
      </c>
      <c r="F8" s="9" t="s">
        <v>286</v>
      </c>
      <c r="G8" s="9" t="s">
        <v>287</v>
      </c>
      <c r="H8" s="9" t="s">
        <v>271</v>
      </c>
    </row>
    <row r="9" spans="2:8" ht="31.5" customHeight="1" x14ac:dyDescent="0.2">
      <c r="B9" s="2" t="s">
        <v>288</v>
      </c>
      <c r="C9" s="31"/>
      <c r="D9" s="31"/>
      <c r="E9" s="31"/>
      <c r="F9" s="32" t="str">
        <f t="shared" ref="F9:F20" si="0">IF(C9="","",C9-E9)</f>
        <v/>
      </c>
      <c r="G9" s="33">
        <f t="shared" ref="G9:G20" si="1">IFERROR(IF(C9=0,0,E9/C9),0)</f>
        <v>0</v>
      </c>
      <c r="H9" s="2"/>
    </row>
    <row r="10" spans="2:8" ht="48" customHeight="1" x14ac:dyDescent="0.2">
      <c r="B10" s="13" t="s">
        <v>289</v>
      </c>
      <c r="C10" s="34"/>
      <c r="D10" s="34"/>
      <c r="E10" s="34"/>
      <c r="F10" s="35" t="str">
        <f t="shared" si="0"/>
        <v/>
      </c>
      <c r="G10" s="36">
        <f t="shared" si="1"/>
        <v>0</v>
      </c>
      <c r="H10" s="13"/>
    </row>
    <row r="11" spans="2:8" ht="48" customHeight="1" x14ac:dyDescent="0.2">
      <c r="B11" s="2" t="s">
        <v>290</v>
      </c>
      <c r="C11" s="31"/>
      <c r="D11" s="31"/>
      <c r="E11" s="31"/>
      <c r="F11" s="32" t="str">
        <f t="shared" si="0"/>
        <v/>
      </c>
      <c r="G11" s="33">
        <f t="shared" si="1"/>
        <v>0</v>
      </c>
      <c r="H11" s="2"/>
    </row>
    <row r="12" spans="2:8" ht="48" customHeight="1" x14ac:dyDescent="0.2">
      <c r="B12" s="13" t="s">
        <v>291</v>
      </c>
      <c r="C12" s="34"/>
      <c r="D12" s="34"/>
      <c r="E12" s="34"/>
      <c r="F12" s="35" t="str">
        <f t="shared" si="0"/>
        <v/>
      </c>
      <c r="G12" s="36">
        <f t="shared" si="1"/>
        <v>0</v>
      </c>
      <c r="H12" s="13"/>
    </row>
    <row r="13" spans="2:8" ht="48" customHeight="1" x14ac:dyDescent="0.2">
      <c r="B13" s="2" t="s">
        <v>292</v>
      </c>
      <c r="C13" s="31"/>
      <c r="D13" s="31"/>
      <c r="E13" s="31"/>
      <c r="F13" s="32" t="str">
        <f t="shared" si="0"/>
        <v/>
      </c>
      <c r="G13" s="33">
        <f t="shared" si="1"/>
        <v>0</v>
      </c>
      <c r="H13" s="2"/>
    </row>
    <row r="14" spans="2:8" ht="48" customHeight="1" x14ac:dyDescent="0.2">
      <c r="B14" s="13" t="s">
        <v>293</v>
      </c>
      <c r="C14" s="34"/>
      <c r="D14" s="34"/>
      <c r="E14" s="34"/>
      <c r="F14" s="35" t="str">
        <f t="shared" si="0"/>
        <v/>
      </c>
      <c r="G14" s="36">
        <f t="shared" si="1"/>
        <v>0</v>
      </c>
      <c r="H14" s="13"/>
    </row>
    <row r="15" spans="2:8" ht="48" customHeight="1" x14ac:dyDescent="0.2">
      <c r="B15" s="2" t="s">
        <v>294</v>
      </c>
      <c r="C15" s="31"/>
      <c r="D15" s="31"/>
      <c r="E15" s="31"/>
      <c r="F15" s="32" t="str">
        <f t="shared" si="0"/>
        <v/>
      </c>
      <c r="G15" s="33">
        <f t="shared" si="1"/>
        <v>0</v>
      </c>
      <c r="H15" s="2"/>
    </row>
    <row r="16" spans="2:8" ht="48" customHeight="1" x14ac:dyDescent="0.2">
      <c r="B16" s="13" t="s">
        <v>295</v>
      </c>
      <c r="C16" s="34"/>
      <c r="D16" s="34"/>
      <c r="E16" s="34"/>
      <c r="F16" s="35" t="str">
        <f t="shared" si="0"/>
        <v/>
      </c>
      <c r="G16" s="36">
        <f t="shared" si="1"/>
        <v>0</v>
      </c>
      <c r="H16" s="13"/>
    </row>
    <row r="17" spans="2:8" ht="48" customHeight="1" x14ac:dyDescent="0.2">
      <c r="B17" s="2" t="s">
        <v>296</v>
      </c>
      <c r="C17" s="31"/>
      <c r="D17" s="31"/>
      <c r="E17" s="31"/>
      <c r="F17" s="32" t="str">
        <f t="shared" si="0"/>
        <v/>
      </c>
      <c r="G17" s="33">
        <f t="shared" si="1"/>
        <v>0</v>
      </c>
      <c r="H17" s="2"/>
    </row>
    <row r="18" spans="2:8" ht="48" customHeight="1" x14ac:dyDescent="0.2">
      <c r="B18" s="13" t="s">
        <v>297</v>
      </c>
      <c r="C18" s="34"/>
      <c r="D18" s="34"/>
      <c r="E18" s="34"/>
      <c r="F18" s="35" t="str">
        <f t="shared" si="0"/>
        <v/>
      </c>
      <c r="G18" s="36">
        <f t="shared" si="1"/>
        <v>0</v>
      </c>
      <c r="H18" s="13"/>
    </row>
    <row r="19" spans="2:8" ht="48" customHeight="1" x14ac:dyDescent="0.2">
      <c r="B19" s="2"/>
      <c r="C19" s="31"/>
      <c r="D19" s="31"/>
      <c r="E19" s="31"/>
      <c r="F19" s="32" t="str">
        <f t="shared" si="0"/>
        <v/>
      </c>
      <c r="G19" s="33">
        <f t="shared" si="1"/>
        <v>0</v>
      </c>
      <c r="H19" s="2"/>
    </row>
    <row r="20" spans="2:8" ht="48" customHeight="1" x14ac:dyDescent="0.2">
      <c r="B20" s="13"/>
      <c r="C20" s="34"/>
      <c r="D20" s="34"/>
      <c r="E20" s="34"/>
      <c r="F20" s="35" t="str">
        <f t="shared" si="0"/>
        <v/>
      </c>
      <c r="G20" s="36">
        <f t="shared" si="1"/>
        <v>0</v>
      </c>
      <c r="H20" s="13"/>
    </row>
    <row r="21" spans="2:8" ht="16.5" customHeight="1" x14ac:dyDescent="0.2"/>
    <row r="22" spans="2:8" ht="16.5" customHeight="1" x14ac:dyDescent="0.2">
      <c r="B22" s="37" t="s">
        <v>298</v>
      </c>
      <c r="C22" s="38">
        <f>SUM(C9:C20)</f>
        <v>0</v>
      </c>
      <c r="D22" s="38">
        <f>SUM(D9:D20)</f>
        <v>0</v>
      </c>
      <c r="E22" s="38">
        <f>SUM(E9:E20)</f>
        <v>0</v>
      </c>
      <c r="F22" s="38">
        <f>SUM(F9:F20)</f>
        <v>0</v>
      </c>
      <c r="G22" s="39">
        <f>IFERROR(E22/C22,0)</f>
        <v>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L5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8" customWidth="1"/>
    <col min="3" max="3" width="12" customWidth="1"/>
    <col min="4" max="4" width="22" customWidth="1"/>
    <col min="5" max="5" width="32" customWidth="1"/>
    <col min="6" max="6" width="30" customWidth="1"/>
    <col min="7" max="7" width="18" customWidth="1"/>
    <col min="8" max="10" width="14" customWidth="1"/>
    <col min="11" max="11" width="18" customWidth="1"/>
    <col min="12" max="12" width="14" customWidth="1"/>
  </cols>
  <sheetData>
    <row r="1" spans="2:12" ht="16.5" customHeight="1" x14ac:dyDescent="0.2"/>
    <row r="2" spans="2:12" ht="27.75" customHeight="1" x14ac:dyDescent="0.2">
      <c r="B2" s="14" t="s">
        <v>299</v>
      </c>
    </row>
    <row r="3" spans="2:12" ht="16.5" customHeight="1" x14ac:dyDescent="0.2">
      <c r="B3" s="5" t="s">
        <v>300</v>
      </c>
    </row>
    <row r="4" spans="2:12" ht="16.5" customHeight="1" x14ac:dyDescent="0.2"/>
    <row r="5" spans="2:12" ht="36" customHeight="1" x14ac:dyDescent="0.2">
      <c r="B5" s="9" t="s">
        <v>233</v>
      </c>
      <c r="C5" s="9" t="s">
        <v>124</v>
      </c>
      <c r="D5" s="9" t="s">
        <v>234</v>
      </c>
      <c r="E5" s="9" t="s">
        <v>301</v>
      </c>
      <c r="F5" s="9" t="s">
        <v>302</v>
      </c>
      <c r="G5" s="9" t="s">
        <v>303</v>
      </c>
      <c r="H5" s="9" t="s">
        <v>304</v>
      </c>
      <c r="I5" s="9" t="s">
        <v>305</v>
      </c>
      <c r="J5" s="9" t="s">
        <v>306</v>
      </c>
      <c r="K5" s="9" t="s">
        <v>307</v>
      </c>
      <c r="L5" s="9" t="s">
        <v>18</v>
      </c>
    </row>
    <row r="6" spans="2:12" ht="27.75" customHeight="1" x14ac:dyDescent="0.2">
      <c r="B6" s="2"/>
      <c r="C6" s="21"/>
      <c r="D6" s="2"/>
      <c r="E6" s="2"/>
      <c r="F6" s="2"/>
      <c r="G6" s="2"/>
      <c r="H6" s="40"/>
      <c r="I6" s="32"/>
      <c r="J6" s="2"/>
      <c r="K6" s="2"/>
      <c r="L6" s="2"/>
    </row>
    <row r="7" spans="2:12" ht="27.75" customHeight="1" x14ac:dyDescent="0.2">
      <c r="B7" s="13"/>
      <c r="C7" s="23"/>
      <c r="D7" s="13"/>
      <c r="E7" s="13"/>
      <c r="F7" s="13"/>
      <c r="G7" s="13"/>
      <c r="H7" s="41"/>
      <c r="I7" s="35"/>
      <c r="J7" s="13"/>
      <c r="K7" s="13"/>
      <c r="L7" s="13"/>
    </row>
    <row r="8" spans="2:12" ht="27.75" customHeight="1" x14ac:dyDescent="0.2">
      <c r="B8" s="2"/>
      <c r="C8" s="21"/>
      <c r="D8" s="2"/>
      <c r="E8" s="2"/>
      <c r="F8" s="2"/>
      <c r="G8" s="2"/>
      <c r="H8" s="40"/>
      <c r="I8" s="32"/>
      <c r="J8" s="2"/>
      <c r="K8" s="2"/>
      <c r="L8" s="2"/>
    </row>
    <row r="9" spans="2:12" ht="27.75" customHeight="1" x14ac:dyDescent="0.2">
      <c r="B9" s="13"/>
      <c r="C9" s="23"/>
      <c r="D9" s="13"/>
      <c r="E9" s="13"/>
      <c r="F9" s="13"/>
      <c r="G9" s="13"/>
      <c r="H9" s="41"/>
      <c r="I9" s="35"/>
      <c r="J9" s="13"/>
      <c r="K9" s="13"/>
      <c r="L9" s="13"/>
    </row>
    <row r="10" spans="2:12" ht="27.75" customHeight="1" x14ac:dyDescent="0.2">
      <c r="B10" s="2"/>
      <c r="C10" s="21"/>
      <c r="D10" s="2"/>
      <c r="E10" s="2"/>
      <c r="F10" s="2"/>
      <c r="G10" s="2"/>
      <c r="H10" s="40"/>
      <c r="I10" s="32"/>
      <c r="J10" s="2"/>
      <c r="K10" s="2"/>
      <c r="L10" s="2"/>
    </row>
    <row r="11" spans="2:12" ht="27.75" customHeight="1" x14ac:dyDescent="0.2">
      <c r="B11" s="13"/>
      <c r="C11" s="23"/>
      <c r="D11" s="13"/>
      <c r="E11" s="13"/>
      <c r="F11" s="13"/>
      <c r="G11" s="13"/>
      <c r="H11" s="41"/>
      <c r="I11" s="35"/>
      <c r="J11" s="13"/>
      <c r="K11" s="13"/>
      <c r="L11" s="13"/>
    </row>
    <row r="12" spans="2:12" ht="27.75" customHeight="1" x14ac:dyDescent="0.2">
      <c r="B12" s="2"/>
      <c r="C12" s="21"/>
      <c r="D12" s="2"/>
      <c r="E12" s="2"/>
      <c r="F12" s="2"/>
      <c r="G12" s="2"/>
      <c r="H12" s="40"/>
      <c r="I12" s="32"/>
      <c r="J12" s="2"/>
      <c r="K12" s="2"/>
      <c r="L12" s="2"/>
    </row>
    <row r="13" spans="2:12" ht="27.75" customHeight="1" x14ac:dyDescent="0.2">
      <c r="B13" s="13"/>
      <c r="C13" s="23"/>
      <c r="D13" s="13"/>
      <c r="E13" s="13"/>
      <c r="F13" s="13"/>
      <c r="G13" s="13"/>
      <c r="H13" s="41"/>
      <c r="I13" s="35"/>
      <c r="J13" s="13"/>
      <c r="K13" s="13"/>
      <c r="L13" s="13"/>
    </row>
    <row r="14" spans="2:12" ht="27.75" customHeight="1" x14ac:dyDescent="0.2">
      <c r="B14" s="2"/>
      <c r="C14" s="21"/>
      <c r="D14" s="2"/>
      <c r="E14" s="2"/>
      <c r="F14" s="2"/>
      <c r="G14" s="2"/>
      <c r="H14" s="40"/>
      <c r="I14" s="32"/>
      <c r="J14" s="2"/>
      <c r="K14" s="2"/>
      <c r="L14" s="2"/>
    </row>
    <row r="15" spans="2:12" ht="27.75" customHeight="1" x14ac:dyDescent="0.2">
      <c r="B15" s="13"/>
      <c r="C15" s="23"/>
      <c r="D15" s="13"/>
      <c r="E15" s="13"/>
      <c r="F15" s="13"/>
      <c r="G15" s="13"/>
      <c r="H15" s="41"/>
      <c r="I15" s="35"/>
      <c r="J15" s="13"/>
      <c r="K15" s="13"/>
      <c r="L15" s="13"/>
    </row>
    <row r="16" spans="2:12" ht="27.75" customHeight="1" x14ac:dyDescent="0.2">
      <c r="B16" s="2"/>
      <c r="C16" s="21"/>
      <c r="D16" s="2"/>
      <c r="E16" s="2"/>
      <c r="F16" s="2"/>
      <c r="G16" s="2"/>
      <c r="H16" s="40"/>
      <c r="I16" s="32"/>
      <c r="J16" s="2"/>
      <c r="K16" s="2"/>
      <c r="L16" s="2"/>
    </row>
    <row r="17" spans="2:12" ht="27.75" customHeight="1" x14ac:dyDescent="0.2">
      <c r="B17" s="13"/>
      <c r="C17" s="23"/>
      <c r="D17" s="13"/>
      <c r="E17" s="13"/>
      <c r="F17" s="13"/>
      <c r="G17" s="13"/>
      <c r="H17" s="41"/>
      <c r="I17" s="35"/>
      <c r="J17" s="13"/>
      <c r="K17" s="13"/>
      <c r="L17" s="13"/>
    </row>
    <row r="18" spans="2:12" ht="27.75" customHeight="1" x14ac:dyDescent="0.2">
      <c r="B18" s="2"/>
      <c r="C18" s="21"/>
      <c r="D18" s="2"/>
      <c r="E18" s="2"/>
      <c r="F18" s="2"/>
      <c r="G18" s="2"/>
      <c r="H18" s="40"/>
      <c r="I18" s="32"/>
      <c r="J18" s="2"/>
      <c r="K18" s="2"/>
      <c r="L18" s="2"/>
    </row>
    <row r="19" spans="2:12" ht="27.75" customHeight="1" x14ac:dyDescent="0.2">
      <c r="B19" s="13"/>
      <c r="C19" s="23"/>
      <c r="D19" s="13"/>
      <c r="E19" s="13"/>
      <c r="F19" s="13"/>
      <c r="G19" s="13"/>
      <c r="H19" s="41"/>
      <c r="I19" s="35"/>
      <c r="J19" s="13"/>
      <c r="K19" s="13"/>
      <c r="L19" s="13"/>
    </row>
    <row r="20" spans="2:12" ht="27.75" customHeight="1" x14ac:dyDescent="0.2">
      <c r="B20" s="2"/>
      <c r="C20" s="21"/>
      <c r="D20" s="2"/>
      <c r="E20" s="2"/>
      <c r="F20" s="2"/>
      <c r="G20" s="2"/>
      <c r="H20" s="40"/>
      <c r="I20" s="32"/>
      <c r="J20" s="2"/>
      <c r="K20" s="2"/>
      <c r="L20" s="2"/>
    </row>
    <row r="21" spans="2:12" ht="27.75" customHeight="1" x14ac:dyDescent="0.2">
      <c r="B21" s="13"/>
      <c r="C21" s="23"/>
      <c r="D21" s="13"/>
      <c r="E21" s="13"/>
      <c r="F21" s="13"/>
      <c r="G21" s="13"/>
      <c r="H21" s="41"/>
      <c r="I21" s="35"/>
      <c r="J21" s="13"/>
      <c r="K21" s="13"/>
      <c r="L21" s="13"/>
    </row>
    <row r="22" spans="2:12" ht="27.75" customHeight="1" x14ac:dyDescent="0.2">
      <c r="B22" s="2"/>
      <c r="C22" s="21"/>
      <c r="D22" s="2"/>
      <c r="E22" s="2"/>
      <c r="F22" s="2"/>
      <c r="G22" s="2"/>
      <c r="H22" s="40"/>
      <c r="I22" s="32"/>
      <c r="J22" s="2"/>
      <c r="K22" s="2"/>
      <c r="L22" s="2"/>
    </row>
    <row r="23" spans="2:12" ht="27.75" customHeight="1" x14ac:dyDescent="0.2">
      <c r="B23" s="13"/>
      <c r="C23" s="23"/>
      <c r="D23" s="13"/>
      <c r="E23" s="13"/>
      <c r="F23" s="13"/>
      <c r="G23" s="13"/>
      <c r="H23" s="41"/>
      <c r="I23" s="35"/>
      <c r="J23" s="13"/>
      <c r="K23" s="13"/>
      <c r="L23" s="13"/>
    </row>
    <row r="24" spans="2:12" ht="27.75" customHeight="1" x14ac:dyDescent="0.2">
      <c r="B24" s="2"/>
      <c r="C24" s="21"/>
      <c r="D24" s="2"/>
      <c r="E24" s="2"/>
      <c r="F24" s="2"/>
      <c r="G24" s="2"/>
      <c r="H24" s="40"/>
      <c r="I24" s="32"/>
      <c r="J24" s="2"/>
      <c r="K24" s="2"/>
      <c r="L24" s="2"/>
    </row>
    <row r="25" spans="2:12" ht="27.75" customHeight="1" x14ac:dyDescent="0.2">
      <c r="B25" s="13"/>
      <c r="C25" s="23"/>
      <c r="D25" s="13"/>
      <c r="E25" s="13"/>
      <c r="F25" s="13"/>
      <c r="G25" s="13"/>
      <c r="H25" s="41"/>
      <c r="I25" s="35"/>
      <c r="J25" s="13"/>
      <c r="K25" s="13"/>
      <c r="L25" s="13"/>
    </row>
    <row r="26" spans="2:12" ht="27.75" customHeight="1" x14ac:dyDescent="0.2">
      <c r="B26" s="2"/>
      <c r="C26" s="21"/>
      <c r="D26" s="2"/>
      <c r="E26" s="2"/>
      <c r="F26" s="2"/>
      <c r="G26" s="2"/>
      <c r="H26" s="40"/>
      <c r="I26" s="32"/>
      <c r="J26" s="2"/>
      <c r="K26" s="2"/>
      <c r="L26" s="2"/>
    </row>
    <row r="27" spans="2:12" ht="27.75" customHeight="1" x14ac:dyDescent="0.2">
      <c r="B27" s="13"/>
      <c r="C27" s="23"/>
      <c r="D27" s="13"/>
      <c r="E27" s="13"/>
      <c r="F27" s="13"/>
      <c r="G27" s="13"/>
      <c r="H27" s="41"/>
      <c r="I27" s="35"/>
      <c r="J27" s="13"/>
      <c r="K27" s="13"/>
      <c r="L27" s="13"/>
    </row>
    <row r="28" spans="2:12" ht="27.75" customHeight="1" x14ac:dyDescent="0.2">
      <c r="B28" s="2"/>
      <c r="C28" s="21"/>
      <c r="D28" s="2"/>
      <c r="E28" s="2"/>
      <c r="F28" s="2"/>
      <c r="G28" s="2"/>
      <c r="H28" s="40"/>
      <c r="I28" s="32"/>
      <c r="J28" s="2"/>
      <c r="K28" s="2"/>
      <c r="L28" s="2"/>
    </row>
    <row r="29" spans="2:12" ht="27.75" customHeight="1" x14ac:dyDescent="0.2">
      <c r="B29" s="13"/>
      <c r="C29" s="23"/>
      <c r="D29" s="13"/>
      <c r="E29" s="13"/>
      <c r="F29" s="13"/>
      <c r="G29" s="13"/>
      <c r="H29" s="41"/>
      <c r="I29" s="35"/>
      <c r="J29" s="13"/>
      <c r="K29" s="13"/>
      <c r="L29" s="13"/>
    </row>
    <row r="30" spans="2:12" ht="27.75" customHeight="1" x14ac:dyDescent="0.2">
      <c r="B30" s="2"/>
      <c r="C30" s="21"/>
      <c r="D30" s="2"/>
      <c r="E30" s="2"/>
      <c r="F30" s="2"/>
      <c r="G30" s="2"/>
      <c r="H30" s="40"/>
      <c r="I30" s="32"/>
      <c r="J30" s="2"/>
      <c r="K30" s="2"/>
      <c r="L30" s="2"/>
    </row>
    <row r="31" spans="2:12" ht="27.75" customHeight="1" x14ac:dyDescent="0.2">
      <c r="B31" s="13"/>
      <c r="C31" s="23"/>
      <c r="D31" s="13"/>
      <c r="E31" s="13"/>
      <c r="F31" s="13"/>
      <c r="G31" s="13"/>
      <c r="H31" s="41"/>
      <c r="I31" s="35"/>
      <c r="J31" s="13"/>
      <c r="K31" s="13"/>
      <c r="L31" s="13"/>
    </row>
    <row r="32" spans="2:12" ht="27.75" customHeight="1" x14ac:dyDescent="0.2">
      <c r="B32" s="2"/>
      <c r="C32" s="21"/>
      <c r="D32" s="2"/>
      <c r="E32" s="2"/>
      <c r="F32" s="2"/>
      <c r="G32" s="2"/>
      <c r="H32" s="40"/>
      <c r="I32" s="32"/>
      <c r="J32" s="2"/>
      <c r="K32" s="2"/>
      <c r="L32" s="2"/>
    </row>
    <row r="33" spans="2:12" ht="27.75" customHeight="1" x14ac:dyDescent="0.2">
      <c r="B33" s="13"/>
      <c r="C33" s="23"/>
      <c r="D33" s="13"/>
      <c r="E33" s="13"/>
      <c r="F33" s="13"/>
      <c r="G33" s="13"/>
      <c r="H33" s="41"/>
      <c r="I33" s="35"/>
      <c r="J33" s="13"/>
      <c r="K33" s="13"/>
      <c r="L33" s="13"/>
    </row>
    <row r="34" spans="2:12" ht="27.75" customHeight="1" x14ac:dyDescent="0.2">
      <c r="B34" s="2"/>
      <c r="C34" s="21"/>
      <c r="D34" s="2"/>
      <c r="E34" s="2"/>
      <c r="F34" s="2"/>
      <c r="G34" s="2"/>
      <c r="H34" s="40"/>
      <c r="I34" s="32"/>
      <c r="J34" s="2"/>
      <c r="K34" s="2"/>
      <c r="L34" s="2"/>
    </row>
    <row r="35" spans="2:12" ht="27.75" customHeight="1" x14ac:dyDescent="0.2">
      <c r="B35" s="13"/>
      <c r="C35" s="23"/>
      <c r="D35" s="13"/>
      <c r="E35" s="13"/>
      <c r="F35" s="13"/>
      <c r="G35" s="13"/>
      <c r="H35" s="41"/>
      <c r="I35" s="35"/>
      <c r="J35" s="13"/>
      <c r="K35" s="13"/>
      <c r="L35" s="13"/>
    </row>
    <row r="36" spans="2:12" ht="27.75" customHeight="1" x14ac:dyDescent="0.2">
      <c r="B36" s="2"/>
      <c r="C36" s="21"/>
      <c r="D36" s="2"/>
      <c r="E36" s="2"/>
      <c r="F36" s="2"/>
      <c r="G36" s="2"/>
      <c r="H36" s="40"/>
      <c r="I36" s="32"/>
      <c r="J36" s="2"/>
      <c r="K36" s="2"/>
      <c r="L36" s="2"/>
    </row>
    <row r="37" spans="2:12" ht="27.75" customHeight="1" x14ac:dyDescent="0.2">
      <c r="B37" s="13"/>
      <c r="C37" s="23"/>
      <c r="D37" s="13"/>
      <c r="E37" s="13"/>
      <c r="F37" s="13"/>
      <c r="G37" s="13"/>
      <c r="H37" s="41"/>
      <c r="I37" s="35"/>
      <c r="J37" s="13"/>
      <c r="K37" s="13"/>
      <c r="L37" s="13"/>
    </row>
    <row r="38" spans="2:12" ht="27.75" customHeight="1" x14ac:dyDescent="0.2">
      <c r="B38" s="2"/>
      <c r="C38" s="21"/>
      <c r="D38" s="2"/>
      <c r="E38" s="2"/>
      <c r="F38" s="2"/>
      <c r="G38" s="2"/>
      <c r="H38" s="40"/>
      <c r="I38" s="32"/>
      <c r="J38" s="2"/>
      <c r="K38" s="2"/>
      <c r="L38" s="2"/>
    </row>
    <row r="39" spans="2:12" ht="27.75" customHeight="1" x14ac:dyDescent="0.2">
      <c r="B39" s="13"/>
      <c r="C39" s="23"/>
      <c r="D39" s="13"/>
      <c r="E39" s="13"/>
      <c r="F39" s="13"/>
      <c r="G39" s="13"/>
      <c r="H39" s="41"/>
      <c r="I39" s="35"/>
      <c r="J39" s="13"/>
      <c r="K39" s="13"/>
      <c r="L39" s="13"/>
    </row>
    <row r="40" spans="2:12" ht="27.75" customHeight="1" x14ac:dyDescent="0.2">
      <c r="B40" s="2"/>
      <c r="C40" s="21"/>
      <c r="D40" s="2"/>
      <c r="E40" s="2"/>
      <c r="F40" s="2"/>
      <c r="G40" s="2"/>
      <c r="H40" s="40"/>
      <c r="I40" s="32"/>
      <c r="J40" s="2"/>
      <c r="K40" s="2"/>
      <c r="L40" s="2"/>
    </row>
    <row r="41" spans="2:12" ht="27.75" customHeight="1" x14ac:dyDescent="0.2">
      <c r="B41" s="13"/>
      <c r="C41" s="23"/>
      <c r="D41" s="13"/>
      <c r="E41" s="13"/>
      <c r="F41" s="13"/>
      <c r="G41" s="13"/>
      <c r="H41" s="41"/>
      <c r="I41" s="35"/>
      <c r="J41" s="13"/>
      <c r="K41" s="13"/>
      <c r="L41" s="13"/>
    </row>
    <row r="42" spans="2:12" ht="27.75" customHeight="1" x14ac:dyDescent="0.2">
      <c r="B42" s="2"/>
      <c r="C42" s="21"/>
      <c r="D42" s="2"/>
      <c r="E42" s="2"/>
      <c r="F42" s="2"/>
      <c r="G42" s="2"/>
      <c r="H42" s="40"/>
      <c r="I42" s="32"/>
      <c r="J42" s="2"/>
      <c r="K42" s="2"/>
      <c r="L42" s="2"/>
    </row>
    <row r="43" spans="2:12" ht="27.75" customHeight="1" x14ac:dyDescent="0.2">
      <c r="B43" s="13"/>
      <c r="C43" s="23"/>
      <c r="D43" s="13"/>
      <c r="E43" s="13"/>
      <c r="F43" s="13"/>
      <c r="G43" s="13"/>
      <c r="H43" s="41"/>
      <c r="I43" s="35"/>
      <c r="J43" s="13"/>
      <c r="K43" s="13"/>
      <c r="L43" s="13"/>
    </row>
    <row r="44" spans="2:12" ht="27.75" customHeight="1" x14ac:dyDescent="0.2">
      <c r="B44" s="2"/>
      <c r="C44" s="21"/>
      <c r="D44" s="2"/>
      <c r="E44" s="2"/>
      <c r="F44" s="2"/>
      <c r="G44" s="2"/>
      <c r="H44" s="40"/>
      <c r="I44" s="32"/>
      <c r="J44" s="2"/>
      <c r="K44" s="2"/>
      <c r="L44" s="2"/>
    </row>
    <row r="45" spans="2:12" ht="27.75" customHeight="1" x14ac:dyDescent="0.2">
      <c r="B45" s="13"/>
      <c r="C45" s="23"/>
      <c r="D45" s="13"/>
      <c r="E45" s="13"/>
      <c r="F45" s="13"/>
      <c r="G45" s="13"/>
      <c r="H45" s="41"/>
      <c r="I45" s="35"/>
      <c r="J45" s="13"/>
      <c r="K45" s="13"/>
      <c r="L45" s="13"/>
    </row>
    <row r="46" spans="2:12" ht="16.5" customHeight="1" x14ac:dyDescent="0.2"/>
    <row r="47" spans="2:12" ht="16.5" customHeight="1" x14ac:dyDescent="0.2"/>
    <row r="48" spans="2:12" ht="16.5" customHeight="1" x14ac:dyDescent="0.2"/>
    <row r="49" spans="2:12" ht="16.5" customHeight="1" x14ac:dyDescent="0.2">
      <c r="B49" s="17" t="s">
        <v>220</v>
      </c>
    </row>
    <row r="50" spans="2:12" ht="16.5" customHeight="1" x14ac:dyDescent="0.2"/>
    <row r="51" spans="2:12" ht="36" customHeight="1" x14ac:dyDescent="0.2">
      <c r="B51" s="8" t="s">
        <v>234</v>
      </c>
      <c r="C51" s="51" t="s">
        <v>308</v>
      </c>
      <c r="D51" s="51"/>
      <c r="E51" s="51"/>
      <c r="F51" s="51"/>
      <c r="G51" s="51"/>
      <c r="H51" s="51"/>
      <c r="I51" s="51"/>
      <c r="J51" s="51"/>
      <c r="K51" s="51"/>
      <c r="L51" s="51"/>
    </row>
    <row r="52" spans="2:12" ht="36" customHeight="1" x14ac:dyDescent="0.2">
      <c r="B52" s="8" t="s">
        <v>309</v>
      </c>
      <c r="C52" s="51" t="s">
        <v>310</v>
      </c>
      <c r="D52" s="51"/>
      <c r="E52" s="51"/>
      <c r="F52" s="51"/>
      <c r="G52" s="51"/>
      <c r="H52" s="51"/>
      <c r="I52" s="51"/>
      <c r="J52" s="51"/>
      <c r="K52" s="51"/>
      <c r="L52" s="51"/>
    </row>
    <row r="53" spans="2:12" ht="36" customHeight="1" x14ac:dyDescent="0.2">
      <c r="B53" s="8" t="s">
        <v>311</v>
      </c>
      <c r="C53" s="51" t="s">
        <v>312</v>
      </c>
      <c r="D53" s="51"/>
      <c r="E53" s="51"/>
      <c r="F53" s="51"/>
      <c r="G53" s="51"/>
      <c r="H53" s="51"/>
      <c r="I53" s="51"/>
      <c r="J53" s="51"/>
      <c r="K53" s="51"/>
      <c r="L53" s="51"/>
    </row>
    <row r="54" spans="2:12" ht="36" customHeight="1" x14ac:dyDescent="0.2">
      <c r="B54" s="8" t="s">
        <v>313</v>
      </c>
      <c r="C54" s="51" t="s">
        <v>314</v>
      </c>
      <c r="D54" s="51"/>
      <c r="E54" s="51"/>
      <c r="F54" s="51"/>
      <c r="G54" s="51"/>
      <c r="H54" s="51"/>
      <c r="I54" s="51"/>
      <c r="J54" s="51"/>
      <c r="K54" s="51"/>
      <c r="L54" s="51"/>
    </row>
  </sheetData>
  <mergeCells count="4">
    <mergeCell ref="C51:L51"/>
    <mergeCell ref="C52:L52"/>
    <mergeCell ref="C53:L53"/>
    <mergeCell ref="C54:L54"/>
  </mergeCells>
  <conditionalFormatting sqref="L6:L45">
    <cfRule type="expression" dxfId="24" priority="2">
      <formula>OR(EXACT(L6,"Approved"),EXACT(L6,"Implemented"),EXACT(L6,"Active"))</formula>
    </cfRule>
    <cfRule type="expression" dxfId="23" priority="3">
      <formula>OR(EXACT(L6,"Rejected"),EXACT(L6,"Reversed"))</formula>
    </cfRule>
    <cfRule type="expression" dxfId="22" priority="4">
      <formula>OR(EXACT(L6,"Under Review"),EXACT(L6,"Submitted"),EXACT(L6,"Superseded"))</formula>
    </cfRule>
  </conditionalFormatting>
  <dataValidations count="3">
    <dataValidation type="list" allowBlank="1" sqref="D6:D45" xr:uid="{00000000-0002-0000-0900-000000000000}">
      <formula1>"Decision,Change Request — Scope,Change Request — Schedule,Change Request — Budget,Change Request — Resources,Change Request — Multiple"</formula1>
      <formula2>0</formula2>
    </dataValidation>
    <dataValidation type="list" allowBlank="1" sqref="J6:J45" xr:uid="{00000000-0002-0000-0900-000001000000}">
      <formula1>"None,Minor,Moderate,Significant"</formula1>
      <formula2>0</formula2>
    </dataValidation>
    <dataValidation type="list" allowBlank="1" sqref="L6:L45" xr:uid="{00000000-0002-0000-0900-000002000000}">
      <formula1>"Active,Superseded,Reversed,Submitted,Under Review,Approved,Rejected,Implemented"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J4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8" customWidth="1"/>
    <col min="3" max="3" width="14" customWidth="1"/>
    <col min="4" max="4" width="22" customWidth="1"/>
    <col min="5" max="5" width="36" customWidth="1"/>
    <col min="6" max="6" width="18" customWidth="1"/>
    <col min="7" max="8" width="14" customWidth="1"/>
    <col min="9" max="9" width="18" customWidth="1"/>
    <col min="10" max="10" width="28" customWidth="1"/>
  </cols>
  <sheetData>
    <row r="1" spans="2:10" ht="16.5" customHeight="1" x14ac:dyDescent="0.2"/>
    <row r="2" spans="2:10" ht="27.75" customHeight="1" x14ac:dyDescent="0.2">
      <c r="B2" s="14" t="s">
        <v>315</v>
      </c>
    </row>
    <row r="3" spans="2:10" ht="16.5" customHeight="1" x14ac:dyDescent="0.2">
      <c r="B3" s="5" t="s">
        <v>316</v>
      </c>
    </row>
    <row r="4" spans="2:10" ht="16.5" customHeight="1" x14ac:dyDescent="0.2"/>
    <row r="5" spans="2:10" ht="31.5" customHeight="1" x14ac:dyDescent="0.2">
      <c r="B5" s="9" t="s">
        <v>233</v>
      </c>
      <c r="C5" s="9" t="s">
        <v>254</v>
      </c>
      <c r="D5" s="9" t="s">
        <v>317</v>
      </c>
      <c r="E5" s="9" t="s">
        <v>250</v>
      </c>
      <c r="F5" s="9" t="s">
        <v>238</v>
      </c>
      <c r="G5" s="9" t="s">
        <v>318</v>
      </c>
      <c r="H5" s="9" t="s">
        <v>237</v>
      </c>
      <c r="I5" s="9" t="s">
        <v>18</v>
      </c>
      <c r="J5" s="9" t="s">
        <v>271</v>
      </c>
    </row>
    <row r="6" spans="2:10" ht="27.75" customHeight="1" x14ac:dyDescent="0.2">
      <c r="B6" s="2"/>
      <c r="C6" s="21"/>
      <c r="D6" s="2"/>
      <c r="E6" s="2"/>
      <c r="F6" s="2"/>
      <c r="G6" s="21"/>
      <c r="H6" s="2"/>
      <c r="I6" s="2"/>
      <c r="J6" s="2"/>
    </row>
    <row r="7" spans="2:10" ht="27.75" customHeight="1" x14ac:dyDescent="0.2">
      <c r="B7" s="2"/>
      <c r="C7" s="21"/>
      <c r="D7" s="2"/>
      <c r="E7" s="2"/>
      <c r="F7" s="2"/>
      <c r="G7" s="21"/>
      <c r="H7" s="2"/>
      <c r="I7" s="2"/>
      <c r="J7" s="2"/>
    </row>
    <row r="8" spans="2:10" ht="27.75" customHeight="1" x14ac:dyDescent="0.2">
      <c r="B8" s="2"/>
      <c r="C8" s="21"/>
      <c r="D8" s="2"/>
      <c r="E8" s="2"/>
      <c r="F8" s="2"/>
      <c r="G8" s="21"/>
      <c r="H8" s="2"/>
      <c r="I8" s="2"/>
      <c r="J8" s="2"/>
    </row>
    <row r="9" spans="2:10" ht="27.75" customHeight="1" x14ac:dyDescent="0.2">
      <c r="B9" s="2"/>
      <c r="C9" s="21"/>
      <c r="D9" s="2"/>
      <c r="E9" s="2"/>
      <c r="F9" s="2"/>
      <c r="G9" s="21"/>
      <c r="H9" s="2"/>
      <c r="I9" s="2"/>
      <c r="J9" s="2"/>
    </row>
    <row r="10" spans="2:10" ht="27.75" customHeight="1" x14ac:dyDescent="0.2">
      <c r="B10" s="2"/>
      <c r="C10" s="21"/>
      <c r="D10" s="2"/>
      <c r="E10" s="2"/>
      <c r="F10" s="2"/>
      <c r="G10" s="21"/>
      <c r="H10" s="2"/>
      <c r="I10" s="2"/>
      <c r="J10" s="2"/>
    </row>
    <row r="11" spans="2:10" ht="27.75" customHeight="1" x14ac:dyDescent="0.2">
      <c r="B11" s="2"/>
      <c r="C11" s="21"/>
      <c r="D11" s="2"/>
      <c r="E11" s="2"/>
      <c r="F11" s="2"/>
      <c r="G11" s="21"/>
      <c r="H11" s="2"/>
      <c r="I11" s="2"/>
      <c r="J11" s="2"/>
    </row>
    <row r="12" spans="2:10" ht="27.75" customHeight="1" x14ac:dyDescent="0.2">
      <c r="B12" s="2"/>
      <c r="C12" s="21"/>
      <c r="D12" s="2"/>
      <c r="E12" s="2"/>
      <c r="F12" s="2"/>
      <c r="G12" s="21"/>
      <c r="H12" s="2"/>
      <c r="I12" s="2"/>
      <c r="J12" s="2"/>
    </row>
    <row r="13" spans="2:10" ht="27.75" customHeight="1" x14ac:dyDescent="0.2">
      <c r="B13" s="2"/>
      <c r="C13" s="21"/>
      <c r="D13" s="2"/>
      <c r="E13" s="2"/>
      <c r="F13" s="2"/>
      <c r="G13" s="21"/>
      <c r="H13" s="2"/>
      <c r="I13" s="2"/>
      <c r="J13" s="2"/>
    </row>
    <row r="14" spans="2:10" ht="27.75" customHeight="1" x14ac:dyDescent="0.2">
      <c r="B14" s="2"/>
      <c r="C14" s="21"/>
      <c r="D14" s="2"/>
      <c r="E14" s="2"/>
      <c r="F14" s="2"/>
      <c r="G14" s="21"/>
      <c r="H14" s="2"/>
      <c r="I14" s="2"/>
      <c r="J14" s="2"/>
    </row>
    <row r="15" spans="2:10" ht="27.75" customHeight="1" x14ac:dyDescent="0.2">
      <c r="B15" s="2"/>
      <c r="C15" s="21"/>
      <c r="D15" s="2"/>
      <c r="E15" s="2"/>
      <c r="F15" s="2"/>
      <c r="G15" s="21"/>
      <c r="H15" s="2"/>
      <c r="I15" s="2"/>
      <c r="J15" s="2"/>
    </row>
    <row r="16" spans="2:10" ht="27.75" customHeight="1" x14ac:dyDescent="0.2">
      <c r="B16" s="2"/>
      <c r="C16" s="21"/>
      <c r="D16" s="2"/>
      <c r="E16" s="2"/>
      <c r="F16" s="2"/>
      <c r="G16" s="21"/>
      <c r="H16" s="2"/>
      <c r="I16" s="2"/>
      <c r="J16" s="2"/>
    </row>
    <row r="17" spans="2:10" ht="27.75" customHeight="1" x14ac:dyDescent="0.2">
      <c r="B17" s="2"/>
      <c r="C17" s="21"/>
      <c r="D17" s="2"/>
      <c r="E17" s="2"/>
      <c r="F17" s="2"/>
      <c r="G17" s="21"/>
      <c r="H17" s="2"/>
      <c r="I17" s="2"/>
      <c r="J17" s="2"/>
    </row>
    <row r="18" spans="2:10" ht="27.75" customHeight="1" x14ac:dyDescent="0.2">
      <c r="B18" s="2"/>
      <c r="C18" s="21"/>
      <c r="D18" s="2"/>
      <c r="E18" s="2"/>
      <c r="F18" s="2"/>
      <c r="G18" s="21"/>
      <c r="H18" s="2"/>
      <c r="I18" s="2"/>
      <c r="J18" s="2"/>
    </row>
    <row r="19" spans="2:10" ht="27.75" customHeight="1" x14ac:dyDescent="0.2">
      <c r="B19" s="2"/>
      <c r="C19" s="21"/>
      <c r="D19" s="2"/>
      <c r="E19" s="2"/>
      <c r="F19" s="2"/>
      <c r="G19" s="21"/>
      <c r="H19" s="2"/>
      <c r="I19" s="2"/>
      <c r="J19" s="2"/>
    </row>
    <row r="20" spans="2:10" ht="27.75" customHeight="1" x14ac:dyDescent="0.2">
      <c r="B20" s="2"/>
      <c r="C20" s="21"/>
      <c r="D20" s="2"/>
      <c r="E20" s="2"/>
      <c r="F20" s="2"/>
      <c r="G20" s="21"/>
      <c r="H20" s="2"/>
      <c r="I20" s="2"/>
      <c r="J20" s="2"/>
    </row>
    <row r="21" spans="2:10" ht="27.75" customHeight="1" x14ac:dyDescent="0.2">
      <c r="B21" s="2"/>
      <c r="C21" s="21"/>
      <c r="D21" s="2"/>
      <c r="E21" s="2"/>
      <c r="F21" s="2"/>
      <c r="G21" s="21"/>
      <c r="H21" s="2"/>
      <c r="I21" s="2"/>
      <c r="J21" s="2"/>
    </row>
    <row r="22" spans="2:10" ht="27.75" customHeight="1" x14ac:dyDescent="0.2">
      <c r="B22" s="2"/>
      <c r="C22" s="21"/>
      <c r="D22" s="2"/>
      <c r="E22" s="2"/>
      <c r="F22" s="2"/>
      <c r="G22" s="21"/>
      <c r="H22" s="2"/>
      <c r="I22" s="2"/>
      <c r="J22" s="2"/>
    </row>
    <row r="23" spans="2:10" ht="27.75" customHeight="1" x14ac:dyDescent="0.2">
      <c r="B23" s="2"/>
      <c r="C23" s="21"/>
      <c r="D23" s="2"/>
      <c r="E23" s="2"/>
      <c r="F23" s="2"/>
      <c r="G23" s="21"/>
      <c r="H23" s="2"/>
      <c r="I23" s="2"/>
      <c r="J23" s="2"/>
    </row>
    <row r="24" spans="2:10" ht="27.75" customHeight="1" x14ac:dyDescent="0.2">
      <c r="B24" s="2"/>
      <c r="C24" s="21"/>
      <c r="D24" s="2"/>
      <c r="E24" s="2"/>
      <c r="F24" s="2"/>
      <c r="G24" s="21"/>
      <c r="H24" s="2"/>
      <c r="I24" s="2"/>
      <c r="J24" s="2"/>
    </row>
    <row r="25" spans="2:10" ht="27.75" customHeight="1" x14ac:dyDescent="0.2">
      <c r="B25" s="2"/>
      <c r="C25" s="21"/>
      <c r="D25" s="2"/>
      <c r="E25" s="2"/>
      <c r="F25" s="2"/>
      <c r="G25" s="21"/>
      <c r="H25" s="2"/>
      <c r="I25" s="2"/>
      <c r="J25" s="2"/>
    </row>
    <row r="26" spans="2:10" ht="27.75" customHeight="1" x14ac:dyDescent="0.2">
      <c r="B26" s="2"/>
      <c r="C26" s="21"/>
      <c r="D26" s="2"/>
      <c r="E26" s="2"/>
      <c r="F26" s="2"/>
      <c r="G26" s="21"/>
      <c r="H26" s="2"/>
      <c r="I26" s="2"/>
      <c r="J26" s="2"/>
    </row>
    <row r="27" spans="2:10" ht="27.75" customHeight="1" x14ac:dyDescent="0.2">
      <c r="B27" s="2"/>
      <c r="C27" s="21"/>
      <c r="D27" s="2"/>
      <c r="E27" s="2"/>
      <c r="F27" s="2"/>
      <c r="G27" s="21"/>
      <c r="H27" s="2"/>
      <c r="I27" s="2"/>
      <c r="J27" s="2"/>
    </row>
    <row r="28" spans="2:10" ht="27.75" customHeight="1" x14ac:dyDescent="0.2">
      <c r="B28" s="2"/>
      <c r="C28" s="21"/>
      <c r="D28" s="2"/>
      <c r="E28" s="2"/>
      <c r="F28" s="2"/>
      <c r="G28" s="21"/>
      <c r="H28" s="2"/>
      <c r="I28" s="2"/>
      <c r="J28" s="2"/>
    </row>
    <row r="29" spans="2:10" ht="27.75" customHeight="1" x14ac:dyDescent="0.2">
      <c r="B29" s="2"/>
      <c r="C29" s="21"/>
      <c r="D29" s="2"/>
      <c r="E29" s="2"/>
      <c r="F29" s="2"/>
      <c r="G29" s="21"/>
      <c r="H29" s="2"/>
      <c r="I29" s="2"/>
      <c r="J29" s="2"/>
    </row>
    <row r="30" spans="2:10" ht="27.75" customHeight="1" x14ac:dyDescent="0.2">
      <c r="B30" s="2"/>
      <c r="C30" s="21"/>
      <c r="D30" s="2"/>
      <c r="E30" s="2"/>
      <c r="F30" s="2"/>
      <c r="G30" s="21"/>
      <c r="H30" s="2"/>
      <c r="I30" s="2"/>
      <c r="J30" s="2"/>
    </row>
    <row r="31" spans="2:10" ht="27.75" customHeight="1" x14ac:dyDescent="0.2">
      <c r="B31" s="2"/>
      <c r="C31" s="21"/>
      <c r="D31" s="2"/>
      <c r="E31" s="2"/>
      <c r="F31" s="2"/>
      <c r="G31" s="21"/>
      <c r="H31" s="2"/>
      <c r="I31" s="2"/>
      <c r="J31" s="2"/>
    </row>
    <row r="32" spans="2:10" ht="27.75" customHeight="1" x14ac:dyDescent="0.2">
      <c r="B32" s="2"/>
      <c r="C32" s="21"/>
      <c r="D32" s="2"/>
      <c r="E32" s="2"/>
      <c r="F32" s="2"/>
      <c r="G32" s="21"/>
      <c r="H32" s="2"/>
      <c r="I32" s="2"/>
      <c r="J32" s="2"/>
    </row>
    <row r="33" spans="2:10" ht="27.75" customHeight="1" x14ac:dyDescent="0.2">
      <c r="B33" s="2"/>
      <c r="C33" s="21"/>
      <c r="D33" s="2"/>
      <c r="E33" s="2"/>
      <c r="F33" s="2"/>
      <c r="G33" s="21"/>
      <c r="H33" s="2"/>
      <c r="I33" s="2"/>
      <c r="J33" s="2"/>
    </row>
    <row r="34" spans="2:10" ht="27.75" customHeight="1" x14ac:dyDescent="0.2">
      <c r="B34" s="2"/>
      <c r="C34" s="21"/>
      <c r="D34" s="2"/>
      <c r="E34" s="2"/>
      <c r="F34" s="2"/>
      <c r="G34" s="21"/>
      <c r="H34" s="2"/>
      <c r="I34" s="2"/>
      <c r="J34" s="2"/>
    </row>
    <row r="35" spans="2:10" ht="27.75" customHeight="1" x14ac:dyDescent="0.2">
      <c r="B35" s="2"/>
      <c r="C35" s="21"/>
      <c r="D35" s="2"/>
      <c r="E35" s="2"/>
      <c r="F35" s="2"/>
      <c r="G35" s="21"/>
      <c r="H35" s="2"/>
      <c r="I35" s="2"/>
      <c r="J35" s="2"/>
    </row>
    <row r="36" spans="2:10" ht="16.5" customHeight="1" x14ac:dyDescent="0.2"/>
    <row r="37" spans="2:10" ht="16.5" customHeight="1" x14ac:dyDescent="0.2"/>
    <row r="38" spans="2:10" ht="16.5" customHeight="1" x14ac:dyDescent="0.2">
      <c r="B38" s="17" t="s">
        <v>319</v>
      </c>
    </row>
    <row r="39" spans="2:10" ht="16.5" customHeight="1" x14ac:dyDescent="0.2"/>
    <row r="40" spans="2:10" ht="48" customHeight="1" x14ac:dyDescent="0.2">
      <c r="B40" s="8" t="s">
        <v>320</v>
      </c>
      <c r="D40" s="42">
        <f>COUNTIF(I6:I35,"Open")+COUNTIF(I6:I35,"In Progress")</f>
        <v>0</v>
      </c>
    </row>
    <row r="41" spans="2:10" ht="16.5" customHeight="1" x14ac:dyDescent="0.2">
      <c r="B41" s="8" t="s">
        <v>321</v>
      </c>
      <c r="D41" s="42">
        <f>COUNTIF(I6:I35,"Done")</f>
        <v>0</v>
      </c>
    </row>
    <row r="42" spans="2:10" ht="16.5" customHeight="1" x14ac:dyDescent="0.2">
      <c r="B42" s="8" t="s">
        <v>322</v>
      </c>
      <c r="D42" s="42">
        <f>COUNTIF(I6:I35,"Blocked")</f>
        <v>0</v>
      </c>
    </row>
    <row r="43" spans="2:10" ht="31.5" customHeight="1" x14ac:dyDescent="0.2">
      <c r="B43" s="8" t="s">
        <v>323</v>
      </c>
      <c r="D43" s="42">
        <f>COUNTIF(I6:I35,"Carried Over")</f>
        <v>0</v>
      </c>
    </row>
  </sheetData>
  <conditionalFormatting sqref="I6:I35">
    <cfRule type="expression" dxfId="21" priority="2">
      <formula>EXACT(I6,"Done")</formula>
    </cfRule>
    <cfRule type="expression" dxfId="20" priority="3">
      <formula>EXACT(I6,"Blocked")</formula>
    </cfRule>
    <cfRule type="expression" dxfId="19" priority="4">
      <formula>OR(EXACT(I6,"In Progress"),EXACT(I6,"Carried Over"))</formula>
    </cfRule>
  </conditionalFormatting>
  <dataValidations count="2">
    <dataValidation type="list" allowBlank="1" sqref="H6:H35" xr:uid="{00000000-0002-0000-0A00-000000000000}">
      <formula1>"High,Medium,Low"</formula1>
      <formula2>0</formula2>
    </dataValidation>
    <dataValidation type="list" allowBlank="1" sqref="I6:I35" xr:uid="{00000000-0002-0000-0A00-000001000000}">
      <formula1>"Open,In Progress,Done,Blocked,Cancelled,Carried Over"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J3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3" width="18" customWidth="1"/>
    <col min="4" max="5" width="14" customWidth="1"/>
    <col min="6" max="6" width="16" customWidth="1"/>
    <col min="7" max="7" width="14" customWidth="1"/>
    <col min="8" max="9" width="16" customWidth="1"/>
    <col min="10" max="10" width="22" customWidth="1"/>
  </cols>
  <sheetData>
    <row r="1" spans="2:10" ht="16.5" customHeight="1" x14ac:dyDescent="0.2"/>
    <row r="2" spans="2:10" ht="27.75" customHeight="1" x14ac:dyDescent="0.2">
      <c r="B2" s="14" t="s">
        <v>324</v>
      </c>
    </row>
    <row r="3" spans="2:10" ht="16.5" customHeight="1" x14ac:dyDescent="0.2">
      <c r="B3" s="5" t="s">
        <v>325</v>
      </c>
    </row>
    <row r="4" spans="2:10" ht="16.5" customHeight="1" x14ac:dyDescent="0.2"/>
    <row r="5" spans="2:10" ht="36" customHeight="1" x14ac:dyDescent="0.2">
      <c r="B5" s="9" t="s">
        <v>203</v>
      </c>
      <c r="C5" s="9" t="s">
        <v>326</v>
      </c>
      <c r="D5" s="9" t="s">
        <v>327</v>
      </c>
      <c r="E5" s="9" t="s">
        <v>328</v>
      </c>
      <c r="F5" s="9" t="s">
        <v>329</v>
      </c>
      <c r="G5" s="9" t="s">
        <v>330</v>
      </c>
      <c r="H5" s="9" t="s">
        <v>331</v>
      </c>
      <c r="I5" s="9" t="s">
        <v>332</v>
      </c>
      <c r="J5" s="9" t="s">
        <v>333</v>
      </c>
    </row>
    <row r="6" spans="2:10" ht="27.75" customHeight="1" x14ac:dyDescent="0.2">
      <c r="B6" s="2"/>
      <c r="C6" s="2"/>
      <c r="D6" s="21"/>
      <c r="E6" s="31"/>
      <c r="F6" s="2"/>
      <c r="G6" s="2"/>
      <c r="H6" s="21"/>
      <c r="I6" s="2"/>
      <c r="J6" s="2"/>
    </row>
    <row r="7" spans="2:10" ht="27.75" customHeight="1" x14ac:dyDescent="0.2">
      <c r="B7" s="2"/>
      <c r="C7" s="2"/>
      <c r="D7" s="21"/>
      <c r="E7" s="31"/>
      <c r="F7" s="2"/>
      <c r="G7" s="2"/>
      <c r="H7" s="21"/>
      <c r="I7" s="2"/>
      <c r="J7" s="2"/>
    </row>
    <row r="8" spans="2:10" ht="27.75" customHeight="1" x14ac:dyDescent="0.2">
      <c r="B8" s="2"/>
      <c r="C8" s="2"/>
      <c r="D8" s="21"/>
      <c r="E8" s="31"/>
      <c r="F8" s="2"/>
      <c r="G8" s="2"/>
      <c r="H8" s="21"/>
      <c r="I8" s="2"/>
      <c r="J8" s="2"/>
    </row>
    <row r="9" spans="2:10" ht="27.75" customHeight="1" x14ac:dyDescent="0.2">
      <c r="B9" s="2"/>
      <c r="C9" s="2"/>
      <c r="D9" s="21"/>
      <c r="E9" s="31"/>
      <c r="F9" s="2"/>
      <c r="G9" s="2"/>
      <c r="H9" s="21"/>
      <c r="I9" s="2"/>
      <c r="J9" s="2"/>
    </row>
    <row r="10" spans="2:10" ht="27.75" customHeight="1" x14ac:dyDescent="0.2">
      <c r="B10" s="2"/>
      <c r="C10" s="2"/>
      <c r="D10" s="21"/>
      <c r="E10" s="31"/>
      <c r="F10" s="2"/>
      <c r="G10" s="2"/>
      <c r="H10" s="21"/>
      <c r="I10" s="2"/>
      <c r="J10" s="2"/>
    </row>
    <row r="11" spans="2:10" ht="27.75" customHeight="1" x14ac:dyDescent="0.2">
      <c r="B11" s="2"/>
      <c r="C11" s="2"/>
      <c r="D11" s="21"/>
      <c r="E11" s="31"/>
      <c r="F11" s="2"/>
      <c r="G11" s="2"/>
      <c r="H11" s="21"/>
      <c r="I11" s="2"/>
      <c r="J11" s="2"/>
    </row>
    <row r="12" spans="2:10" ht="27.75" customHeight="1" x14ac:dyDescent="0.2">
      <c r="B12" s="2"/>
      <c r="C12" s="2"/>
      <c r="D12" s="21"/>
      <c r="E12" s="31"/>
      <c r="F12" s="2"/>
      <c r="G12" s="2"/>
      <c r="H12" s="21"/>
      <c r="I12" s="2"/>
      <c r="J12" s="2"/>
    </row>
    <row r="13" spans="2:10" ht="27.75" customHeight="1" x14ac:dyDescent="0.2">
      <c r="B13" s="2"/>
      <c r="C13" s="2"/>
      <c r="D13" s="21"/>
      <c r="E13" s="31"/>
      <c r="F13" s="2"/>
      <c r="G13" s="2"/>
      <c r="H13" s="21"/>
      <c r="I13" s="2"/>
      <c r="J13" s="2"/>
    </row>
    <row r="14" spans="2:10" ht="27.75" customHeight="1" x14ac:dyDescent="0.2">
      <c r="B14" s="2"/>
      <c r="C14" s="2"/>
      <c r="D14" s="21"/>
      <c r="E14" s="31"/>
      <c r="F14" s="2"/>
      <c r="G14" s="2"/>
      <c r="H14" s="21"/>
      <c r="I14" s="2"/>
      <c r="J14" s="2"/>
    </row>
    <row r="15" spans="2:10" ht="27.75" customHeight="1" x14ac:dyDescent="0.2">
      <c r="B15" s="2"/>
      <c r="C15" s="2"/>
      <c r="D15" s="21"/>
      <c r="E15" s="31"/>
      <c r="F15" s="2"/>
      <c r="G15" s="2"/>
      <c r="H15" s="21"/>
      <c r="I15" s="2"/>
      <c r="J15" s="2"/>
    </row>
    <row r="16" spans="2:10" ht="27.75" customHeight="1" x14ac:dyDescent="0.2">
      <c r="B16" s="2"/>
      <c r="C16" s="2"/>
      <c r="D16" s="21"/>
      <c r="E16" s="31"/>
      <c r="F16" s="2"/>
      <c r="G16" s="2"/>
      <c r="H16" s="21"/>
      <c r="I16" s="2"/>
      <c r="J16" s="2"/>
    </row>
    <row r="17" spans="2:10" ht="27.75" customHeight="1" x14ac:dyDescent="0.2">
      <c r="B17" s="2"/>
      <c r="C17" s="2"/>
      <c r="D17" s="21"/>
      <c r="E17" s="31"/>
      <c r="F17" s="2"/>
      <c r="G17" s="2"/>
      <c r="H17" s="21"/>
      <c r="I17" s="2"/>
      <c r="J17" s="2"/>
    </row>
    <row r="18" spans="2:10" ht="27.75" customHeight="1" x14ac:dyDescent="0.2">
      <c r="B18" s="2"/>
      <c r="C18" s="2"/>
      <c r="D18" s="21"/>
      <c r="E18" s="31"/>
      <c r="F18" s="2"/>
      <c r="G18" s="2"/>
      <c r="H18" s="21"/>
      <c r="I18" s="2"/>
      <c r="J18" s="2"/>
    </row>
    <row r="19" spans="2:10" ht="27.75" customHeight="1" x14ac:dyDescent="0.2">
      <c r="B19" s="2"/>
      <c r="C19" s="2"/>
      <c r="D19" s="21"/>
      <c r="E19" s="31"/>
      <c r="F19" s="2"/>
      <c r="G19" s="2"/>
      <c r="H19" s="21"/>
      <c r="I19" s="2"/>
      <c r="J19" s="2"/>
    </row>
    <row r="20" spans="2:10" ht="27.75" customHeight="1" x14ac:dyDescent="0.2">
      <c r="B20" s="2"/>
      <c r="C20" s="2"/>
      <c r="D20" s="21"/>
      <c r="E20" s="31"/>
      <c r="F20" s="2"/>
      <c r="G20" s="2"/>
      <c r="H20" s="21"/>
      <c r="I20" s="2"/>
      <c r="J20" s="2"/>
    </row>
    <row r="21" spans="2:10" ht="27.75" customHeight="1" x14ac:dyDescent="0.2">
      <c r="B21" s="2"/>
      <c r="C21" s="2"/>
      <c r="D21" s="21"/>
      <c r="E21" s="31"/>
      <c r="F21" s="2"/>
      <c r="G21" s="2"/>
      <c r="H21" s="21"/>
      <c r="I21" s="2"/>
      <c r="J21" s="2"/>
    </row>
    <row r="22" spans="2:10" ht="27.75" customHeight="1" x14ac:dyDescent="0.2">
      <c r="B22" s="2"/>
      <c r="C22" s="2"/>
      <c r="D22" s="21"/>
      <c r="E22" s="31"/>
      <c r="F22" s="2"/>
      <c r="G22" s="2"/>
      <c r="H22" s="21"/>
      <c r="I22" s="2"/>
      <c r="J22" s="2"/>
    </row>
    <row r="23" spans="2:10" ht="27.75" customHeight="1" x14ac:dyDescent="0.2">
      <c r="B23" s="2"/>
      <c r="C23" s="2"/>
      <c r="D23" s="21"/>
      <c r="E23" s="31"/>
      <c r="F23" s="2"/>
      <c r="G23" s="2"/>
      <c r="H23" s="21"/>
      <c r="I23" s="2"/>
      <c r="J23" s="2"/>
    </row>
    <row r="24" spans="2:10" ht="27.75" customHeight="1" x14ac:dyDescent="0.2">
      <c r="B24" s="2"/>
      <c r="C24" s="2"/>
      <c r="D24" s="21"/>
      <c r="E24" s="31"/>
      <c r="F24" s="2"/>
      <c r="G24" s="2"/>
      <c r="H24" s="21"/>
      <c r="I24" s="2"/>
      <c r="J24" s="2"/>
    </row>
    <row r="25" spans="2:10" ht="27.75" customHeight="1" x14ac:dyDescent="0.2">
      <c r="B25" s="2"/>
      <c r="C25" s="2"/>
      <c r="D25" s="21"/>
      <c r="E25" s="31"/>
      <c r="F25" s="2"/>
      <c r="G25" s="2"/>
      <c r="H25" s="21"/>
      <c r="I25" s="2"/>
      <c r="J25" s="2"/>
    </row>
    <row r="26" spans="2:10" ht="16.5" customHeight="1" x14ac:dyDescent="0.2"/>
    <row r="27" spans="2:10" ht="16.5" customHeight="1" x14ac:dyDescent="0.2"/>
    <row r="28" spans="2:10" ht="16.5" customHeight="1" x14ac:dyDescent="0.2">
      <c r="B28" s="17" t="s">
        <v>319</v>
      </c>
    </row>
    <row r="29" spans="2:10" ht="16.5" customHeight="1" x14ac:dyDescent="0.2"/>
    <row r="30" spans="2:10" ht="31.5" customHeight="1" x14ac:dyDescent="0.2">
      <c r="B30" s="8" t="s">
        <v>334</v>
      </c>
      <c r="D30" s="43">
        <f>SUM(E6:E25)</f>
        <v>0</v>
      </c>
    </row>
    <row r="31" spans="2:10" ht="16.5" customHeight="1" x14ac:dyDescent="0.2"/>
    <row r="32" spans="2:10" ht="16.5" customHeight="1" x14ac:dyDescent="0.2"/>
    <row r="33" spans="2:10" ht="16.5" customHeight="1" x14ac:dyDescent="0.2">
      <c r="B33" s="17" t="s">
        <v>335</v>
      </c>
    </row>
    <row r="34" spans="2:10" ht="39.75" customHeight="1" x14ac:dyDescent="0.2">
      <c r="B34" s="48" t="s">
        <v>336</v>
      </c>
      <c r="C34" s="48"/>
      <c r="D34" s="48"/>
      <c r="E34" s="48"/>
      <c r="F34" s="48"/>
      <c r="G34" s="48"/>
      <c r="H34" s="48"/>
      <c r="I34" s="48"/>
      <c r="J34" s="48"/>
    </row>
  </sheetData>
  <mergeCells count="1">
    <mergeCell ref="B34:J34"/>
  </mergeCells>
  <conditionalFormatting sqref="F6:F25">
    <cfRule type="expression" dxfId="18" priority="2">
      <formula>EXACT(F6,"On-Track")</formula>
    </cfRule>
    <cfRule type="expression" dxfId="17" priority="3">
      <formula>EXACT(F6,"At-Risk")</formula>
    </cfRule>
    <cfRule type="expression" dxfId="16" priority="4">
      <formula>EXACT(F6,"Off-Track")</formula>
    </cfRule>
  </conditionalFormatting>
  <dataValidations count="1">
    <dataValidation type="list" allowBlank="1" sqref="F6:F25" xr:uid="{00000000-0002-0000-0B00-000000000000}">
      <formula1>"On-Track,At-Risk,Off-Track,—"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I35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4" width="14" customWidth="1"/>
    <col min="5" max="5" width="12" customWidth="1"/>
    <col min="6" max="9" width="30" customWidth="1"/>
  </cols>
  <sheetData>
    <row r="1" spans="2:9" ht="16.5" customHeight="1" x14ac:dyDescent="0.2"/>
    <row r="2" spans="2:9" ht="27.75" customHeight="1" x14ac:dyDescent="0.2">
      <c r="B2" s="14" t="s">
        <v>337</v>
      </c>
    </row>
    <row r="3" spans="2:9" ht="16.5" customHeight="1" x14ac:dyDescent="0.2">
      <c r="B3" s="5" t="s">
        <v>338</v>
      </c>
    </row>
    <row r="4" spans="2:9" ht="16.5" customHeight="1" x14ac:dyDescent="0.2"/>
    <row r="5" spans="2:9" ht="36" customHeight="1" x14ac:dyDescent="0.2">
      <c r="B5" s="9" t="s">
        <v>339</v>
      </c>
      <c r="C5" s="9" t="s">
        <v>340</v>
      </c>
      <c r="D5" s="9" t="s">
        <v>341</v>
      </c>
      <c r="E5" s="9" t="s">
        <v>342</v>
      </c>
      <c r="F5" s="9" t="s">
        <v>343</v>
      </c>
      <c r="G5" s="9" t="s">
        <v>344</v>
      </c>
      <c r="H5" s="9" t="s">
        <v>345</v>
      </c>
      <c r="I5" s="9" t="s">
        <v>346</v>
      </c>
    </row>
    <row r="6" spans="2:9" ht="60" customHeight="1" x14ac:dyDescent="0.2">
      <c r="B6" s="21"/>
      <c r="C6" s="2"/>
      <c r="D6" s="2"/>
      <c r="E6" s="2"/>
      <c r="F6" s="2"/>
      <c r="G6" s="2"/>
      <c r="H6" s="2"/>
      <c r="I6" s="2"/>
    </row>
    <row r="7" spans="2:9" ht="60" customHeight="1" x14ac:dyDescent="0.2">
      <c r="B7" s="23"/>
      <c r="C7" s="13"/>
      <c r="D7" s="13"/>
      <c r="E7" s="13"/>
      <c r="F7" s="13"/>
      <c r="G7" s="13"/>
      <c r="H7" s="13"/>
      <c r="I7" s="13"/>
    </row>
    <row r="8" spans="2:9" ht="60" customHeight="1" x14ac:dyDescent="0.2">
      <c r="B8" s="21"/>
      <c r="C8" s="2"/>
      <c r="D8" s="2"/>
      <c r="E8" s="2"/>
      <c r="F8" s="2"/>
      <c r="G8" s="2"/>
      <c r="H8" s="2"/>
      <c r="I8" s="2"/>
    </row>
    <row r="9" spans="2:9" ht="60" customHeight="1" x14ac:dyDescent="0.2">
      <c r="B9" s="23"/>
      <c r="C9" s="13"/>
      <c r="D9" s="13"/>
      <c r="E9" s="13"/>
      <c r="F9" s="13"/>
      <c r="G9" s="13"/>
      <c r="H9" s="13"/>
      <c r="I9" s="13"/>
    </row>
    <row r="10" spans="2:9" ht="60" customHeight="1" x14ac:dyDescent="0.2">
      <c r="B10" s="21"/>
      <c r="C10" s="2"/>
      <c r="D10" s="2"/>
      <c r="E10" s="2"/>
      <c r="F10" s="2"/>
      <c r="G10" s="2"/>
      <c r="H10" s="2"/>
      <c r="I10" s="2"/>
    </row>
    <row r="11" spans="2:9" ht="60" customHeight="1" x14ac:dyDescent="0.2">
      <c r="B11" s="23"/>
      <c r="C11" s="13"/>
      <c r="D11" s="13"/>
      <c r="E11" s="13"/>
      <c r="F11" s="13"/>
      <c r="G11" s="13"/>
      <c r="H11" s="13"/>
      <c r="I11" s="13"/>
    </row>
    <row r="12" spans="2:9" ht="60" customHeight="1" x14ac:dyDescent="0.2">
      <c r="B12" s="21"/>
      <c r="C12" s="2"/>
      <c r="D12" s="2"/>
      <c r="E12" s="2"/>
      <c r="F12" s="2"/>
      <c r="G12" s="2"/>
      <c r="H12" s="2"/>
      <c r="I12" s="2"/>
    </row>
    <row r="13" spans="2:9" ht="60" customHeight="1" x14ac:dyDescent="0.2">
      <c r="B13" s="23"/>
      <c r="C13" s="13"/>
      <c r="D13" s="13"/>
      <c r="E13" s="13"/>
      <c r="F13" s="13"/>
      <c r="G13" s="13"/>
      <c r="H13" s="13"/>
      <c r="I13" s="13"/>
    </row>
    <row r="14" spans="2:9" ht="60" customHeight="1" x14ac:dyDescent="0.2">
      <c r="B14" s="21"/>
      <c r="C14" s="2"/>
      <c r="D14" s="2"/>
      <c r="E14" s="2"/>
      <c r="F14" s="2"/>
      <c r="G14" s="2"/>
      <c r="H14" s="2"/>
      <c r="I14" s="2"/>
    </row>
    <row r="15" spans="2:9" ht="60" customHeight="1" x14ac:dyDescent="0.2">
      <c r="B15" s="23"/>
      <c r="C15" s="13"/>
      <c r="D15" s="13"/>
      <c r="E15" s="13"/>
      <c r="F15" s="13"/>
      <c r="G15" s="13"/>
      <c r="H15" s="13"/>
      <c r="I15" s="13"/>
    </row>
    <row r="16" spans="2:9" ht="60" customHeight="1" x14ac:dyDescent="0.2">
      <c r="B16" s="21"/>
      <c r="C16" s="2"/>
      <c r="D16" s="2"/>
      <c r="E16" s="2"/>
      <c r="F16" s="2"/>
      <c r="G16" s="2"/>
      <c r="H16" s="2"/>
      <c r="I16" s="2"/>
    </row>
    <row r="17" spans="2:9" ht="60" customHeight="1" x14ac:dyDescent="0.2">
      <c r="B17" s="23"/>
      <c r="C17" s="13"/>
      <c r="D17" s="13"/>
      <c r="E17" s="13"/>
      <c r="F17" s="13"/>
      <c r="G17" s="13"/>
      <c r="H17" s="13"/>
      <c r="I17" s="13"/>
    </row>
    <row r="18" spans="2:9" ht="60" customHeight="1" x14ac:dyDescent="0.2">
      <c r="B18" s="21"/>
      <c r="C18" s="2"/>
      <c r="D18" s="2"/>
      <c r="E18" s="2"/>
      <c r="F18" s="2"/>
      <c r="G18" s="2"/>
      <c r="H18" s="2"/>
      <c r="I18" s="2"/>
    </row>
    <row r="19" spans="2:9" ht="60" customHeight="1" x14ac:dyDescent="0.2">
      <c r="B19" s="23"/>
      <c r="C19" s="13"/>
      <c r="D19" s="13"/>
      <c r="E19" s="13"/>
      <c r="F19" s="13"/>
      <c r="G19" s="13"/>
      <c r="H19" s="13"/>
      <c r="I19" s="13"/>
    </row>
    <row r="20" spans="2:9" ht="60" customHeight="1" x14ac:dyDescent="0.2">
      <c r="B20" s="21"/>
      <c r="C20" s="2"/>
      <c r="D20" s="2"/>
      <c r="E20" s="2"/>
      <c r="F20" s="2"/>
      <c r="G20" s="2"/>
      <c r="H20" s="2"/>
      <c r="I20" s="2"/>
    </row>
    <row r="21" spans="2:9" ht="60" customHeight="1" x14ac:dyDescent="0.2">
      <c r="B21" s="23"/>
      <c r="C21" s="13"/>
      <c r="D21" s="13"/>
      <c r="E21" s="13"/>
      <c r="F21" s="13"/>
      <c r="G21" s="13"/>
      <c r="H21" s="13"/>
      <c r="I21" s="13"/>
    </row>
    <row r="22" spans="2:9" ht="60" customHeight="1" x14ac:dyDescent="0.2">
      <c r="B22" s="21"/>
      <c r="C22" s="2"/>
      <c r="D22" s="2"/>
      <c r="E22" s="2"/>
      <c r="F22" s="2"/>
      <c r="G22" s="2"/>
      <c r="H22" s="2"/>
      <c r="I22" s="2"/>
    </row>
    <row r="23" spans="2:9" ht="60" customHeight="1" x14ac:dyDescent="0.2">
      <c r="B23" s="23"/>
      <c r="C23" s="13"/>
      <c r="D23" s="13"/>
      <c r="E23" s="13"/>
      <c r="F23" s="13"/>
      <c r="G23" s="13"/>
      <c r="H23" s="13"/>
      <c r="I23" s="13"/>
    </row>
    <row r="24" spans="2:9" ht="60" customHeight="1" x14ac:dyDescent="0.2">
      <c r="B24" s="21"/>
      <c r="C24" s="2"/>
      <c r="D24" s="2"/>
      <c r="E24" s="2"/>
      <c r="F24" s="2"/>
      <c r="G24" s="2"/>
      <c r="H24" s="2"/>
      <c r="I24" s="2"/>
    </row>
    <row r="25" spans="2:9" ht="60" customHeight="1" x14ac:dyDescent="0.2">
      <c r="B25" s="23"/>
      <c r="C25" s="13"/>
      <c r="D25" s="13"/>
      <c r="E25" s="13"/>
      <c r="F25" s="13"/>
      <c r="G25" s="13"/>
      <c r="H25" s="13"/>
      <c r="I25" s="13"/>
    </row>
    <row r="26" spans="2:9" ht="60" customHeight="1" x14ac:dyDescent="0.2">
      <c r="B26" s="21"/>
      <c r="C26" s="2"/>
      <c r="D26" s="2"/>
      <c r="E26" s="2"/>
      <c r="F26" s="2"/>
      <c r="G26" s="2"/>
      <c r="H26" s="2"/>
      <c r="I26" s="2"/>
    </row>
    <row r="27" spans="2:9" ht="60" customHeight="1" x14ac:dyDescent="0.2">
      <c r="B27" s="23"/>
      <c r="C27" s="13"/>
      <c r="D27" s="13"/>
      <c r="E27" s="13"/>
      <c r="F27" s="13"/>
      <c r="G27" s="13"/>
      <c r="H27" s="13"/>
      <c r="I27" s="13"/>
    </row>
    <row r="28" spans="2:9" ht="60" customHeight="1" x14ac:dyDescent="0.2">
      <c r="B28" s="21"/>
      <c r="C28" s="2"/>
      <c r="D28" s="2"/>
      <c r="E28" s="2"/>
      <c r="F28" s="2"/>
      <c r="G28" s="2"/>
      <c r="H28" s="2"/>
      <c r="I28" s="2"/>
    </row>
    <row r="29" spans="2:9" ht="60" customHeight="1" x14ac:dyDescent="0.2">
      <c r="B29" s="23"/>
      <c r="C29" s="13"/>
      <c r="D29" s="13"/>
      <c r="E29" s="13"/>
      <c r="F29" s="13"/>
      <c r="G29" s="13"/>
      <c r="H29" s="13"/>
      <c r="I29" s="13"/>
    </row>
    <row r="30" spans="2:9" ht="60" customHeight="1" x14ac:dyDescent="0.2">
      <c r="B30" s="21"/>
      <c r="C30" s="2"/>
      <c r="D30" s="2"/>
      <c r="E30" s="2"/>
      <c r="F30" s="2"/>
      <c r="G30" s="2"/>
      <c r="H30" s="2"/>
      <c r="I30" s="2"/>
    </row>
    <row r="31" spans="2:9" ht="60" customHeight="1" x14ac:dyDescent="0.2">
      <c r="B31" s="23"/>
      <c r="C31" s="13"/>
      <c r="D31" s="13"/>
      <c r="E31" s="13"/>
      <c r="F31" s="13"/>
      <c r="G31" s="13"/>
      <c r="H31" s="13"/>
      <c r="I31" s="13"/>
    </row>
    <row r="32" spans="2:9" ht="60" customHeight="1" x14ac:dyDescent="0.2">
      <c r="B32" s="21"/>
      <c r="C32" s="2"/>
      <c r="D32" s="2"/>
      <c r="E32" s="2"/>
      <c r="F32" s="2"/>
      <c r="G32" s="2"/>
      <c r="H32" s="2"/>
      <c r="I32" s="2"/>
    </row>
    <row r="33" spans="2:9" ht="60" customHeight="1" x14ac:dyDescent="0.2">
      <c r="B33" s="23"/>
      <c r="C33" s="13"/>
      <c r="D33" s="13"/>
      <c r="E33" s="13"/>
      <c r="F33" s="13"/>
      <c r="G33" s="13"/>
      <c r="H33" s="13"/>
      <c r="I33" s="13"/>
    </row>
    <row r="34" spans="2:9" ht="60" customHeight="1" x14ac:dyDescent="0.2">
      <c r="B34" s="21"/>
      <c r="C34" s="2"/>
      <c r="D34" s="2"/>
      <c r="E34" s="2"/>
      <c r="F34" s="2"/>
      <c r="G34" s="2"/>
      <c r="H34" s="2"/>
      <c r="I34" s="2"/>
    </row>
    <row r="35" spans="2:9" ht="60" customHeight="1" x14ac:dyDescent="0.2">
      <c r="B35" s="23"/>
      <c r="C35" s="13"/>
      <c r="D35" s="13"/>
      <c r="E35" s="13"/>
      <c r="F35" s="13"/>
      <c r="G35" s="13"/>
      <c r="H35" s="13"/>
      <c r="I35" s="13"/>
    </row>
  </sheetData>
  <conditionalFormatting sqref="E6:E35">
    <cfRule type="expression" dxfId="15" priority="2">
      <formula>EXACT(E6,"Off-Track")</formula>
    </cfRule>
    <cfRule type="expression" dxfId="14" priority="3">
      <formula>EXACT(E6,"At-Risk")</formula>
    </cfRule>
    <cfRule type="expression" dxfId="13" priority="4">
      <formula>EXACT(E6,"On-Track")</formula>
    </cfRule>
  </conditionalFormatting>
  <dataValidations count="1">
    <dataValidation type="list" allowBlank="1" sqref="E6:E35" xr:uid="{00000000-0002-0000-0C00-000000000000}">
      <formula1>"On-Track,At-Risk,Off-Track"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K7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0" customWidth="1"/>
    <col min="3" max="3" width="30" customWidth="1"/>
    <col min="4" max="4" width="16" customWidth="1"/>
    <col min="5" max="6" width="18" customWidth="1"/>
    <col min="7" max="7" width="16" customWidth="1"/>
    <col min="8" max="8" width="14" customWidth="1"/>
    <col min="9" max="10" width="18" customWidth="1"/>
    <col min="11" max="11" width="24" customWidth="1"/>
  </cols>
  <sheetData>
    <row r="1" spans="2:11" ht="16.5" customHeight="1" x14ac:dyDescent="0.2"/>
    <row r="2" spans="2:11" ht="27.75" customHeight="1" x14ac:dyDescent="0.2">
      <c r="B2" s="14" t="s">
        <v>347</v>
      </c>
    </row>
    <row r="3" spans="2:11" ht="16.5" customHeight="1" x14ac:dyDescent="0.2">
      <c r="B3" s="5" t="s">
        <v>348</v>
      </c>
    </row>
    <row r="4" spans="2:11" ht="16.5" customHeight="1" x14ac:dyDescent="0.2"/>
    <row r="5" spans="2:11" ht="16.5" customHeight="1" x14ac:dyDescent="0.2">
      <c r="B5" s="17" t="s">
        <v>349</v>
      </c>
    </row>
    <row r="6" spans="2:11" ht="16.5" customHeight="1" x14ac:dyDescent="0.2"/>
    <row r="7" spans="2:11" ht="63" customHeight="1" x14ac:dyDescent="0.2">
      <c r="B7" s="8" t="s">
        <v>350</v>
      </c>
      <c r="C7" s="49"/>
      <c r="D7" s="49"/>
      <c r="E7" s="49"/>
      <c r="F7" s="49"/>
    </row>
    <row r="8" spans="2:11" ht="48" customHeight="1" x14ac:dyDescent="0.2">
      <c r="B8" s="8" t="s">
        <v>351</v>
      </c>
      <c r="C8" s="49"/>
      <c r="D8" s="49"/>
      <c r="E8" s="49"/>
      <c r="F8" s="49"/>
    </row>
    <row r="9" spans="2:11" ht="31.5" customHeight="1" x14ac:dyDescent="0.2">
      <c r="B9" s="8" t="s">
        <v>352</v>
      </c>
      <c r="C9" s="52">
        <f>IFERROR(COUNTIF(I16:I65,"Pass")/(COUNTIF(I16:I65,"Pass")+COUNTIF(I16:I65,"Fail")),0)</f>
        <v>0</v>
      </c>
      <c r="D9" s="52"/>
      <c r="E9" s="52"/>
      <c r="F9" s="52"/>
    </row>
    <row r="10" spans="2:11" ht="16.5" customHeight="1" x14ac:dyDescent="0.2">
      <c r="B10" s="8" t="s">
        <v>353</v>
      </c>
      <c r="C10" s="49"/>
      <c r="D10" s="49"/>
      <c r="E10" s="49"/>
      <c r="F10" s="49"/>
    </row>
    <row r="11" spans="2:11" ht="16.5" customHeight="1" x14ac:dyDescent="0.2">
      <c r="B11" s="8" t="s">
        <v>354</v>
      </c>
      <c r="C11" s="49"/>
      <c r="D11" s="49"/>
      <c r="E11" s="49"/>
      <c r="F11" s="49"/>
    </row>
    <row r="12" spans="2:11" ht="48" customHeight="1" x14ac:dyDescent="0.2">
      <c r="B12" s="8" t="s">
        <v>355</v>
      </c>
      <c r="C12" s="49"/>
      <c r="D12" s="49"/>
      <c r="E12" s="49"/>
      <c r="F12" s="49"/>
    </row>
    <row r="13" spans="2:11" ht="16.5" customHeight="1" x14ac:dyDescent="0.2"/>
    <row r="14" spans="2:11" ht="16.5" customHeight="1" x14ac:dyDescent="0.2">
      <c r="B14" s="17" t="s">
        <v>356</v>
      </c>
    </row>
    <row r="15" spans="2:11" ht="48" customHeight="1" x14ac:dyDescent="0.2">
      <c r="B15" s="9" t="s">
        <v>357</v>
      </c>
      <c r="C15" s="9" t="s">
        <v>358</v>
      </c>
      <c r="D15" s="9" t="s">
        <v>359</v>
      </c>
      <c r="E15" s="9" t="s">
        <v>360</v>
      </c>
      <c r="F15" s="9" t="s">
        <v>361</v>
      </c>
      <c r="G15" s="9" t="s">
        <v>362</v>
      </c>
      <c r="H15" s="9" t="s">
        <v>363</v>
      </c>
      <c r="I15" s="9" t="s">
        <v>364</v>
      </c>
      <c r="J15" s="9" t="s">
        <v>365</v>
      </c>
      <c r="K15" s="9" t="s">
        <v>271</v>
      </c>
    </row>
    <row r="16" spans="2:11" ht="27.75" customHeight="1" x14ac:dyDescent="0.2">
      <c r="B16" s="2"/>
      <c r="C16" s="2"/>
      <c r="D16" s="2"/>
      <c r="E16" s="2"/>
      <c r="F16" s="2"/>
      <c r="G16" s="2"/>
      <c r="H16" s="21"/>
      <c r="I16" s="2"/>
      <c r="J16" s="2"/>
      <c r="K16" s="2"/>
    </row>
    <row r="17" spans="2:11" ht="27.75" customHeight="1" x14ac:dyDescent="0.2">
      <c r="B17" s="13"/>
      <c r="C17" s="13"/>
      <c r="D17" s="13"/>
      <c r="E17" s="13"/>
      <c r="F17" s="13"/>
      <c r="G17" s="13"/>
      <c r="H17" s="23"/>
      <c r="I17" s="13"/>
      <c r="J17" s="13"/>
      <c r="K17" s="13"/>
    </row>
    <row r="18" spans="2:11" ht="27.75" customHeight="1" x14ac:dyDescent="0.2">
      <c r="B18" s="2"/>
      <c r="C18" s="2"/>
      <c r="D18" s="2"/>
      <c r="E18" s="2"/>
      <c r="F18" s="2"/>
      <c r="G18" s="2"/>
      <c r="H18" s="21"/>
      <c r="I18" s="2"/>
      <c r="J18" s="2"/>
      <c r="K18" s="2"/>
    </row>
    <row r="19" spans="2:11" ht="27.75" customHeight="1" x14ac:dyDescent="0.2">
      <c r="B19" s="13"/>
      <c r="C19" s="13"/>
      <c r="D19" s="13"/>
      <c r="E19" s="13"/>
      <c r="F19" s="13"/>
      <c r="G19" s="13"/>
      <c r="H19" s="23"/>
      <c r="I19" s="13"/>
      <c r="J19" s="13"/>
      <c r="K19" s="13"/>
    </row>
    <row r="20" spans="2:11" ht="27.75" customHeight="1" x14ac:dyDescent="0.2">
      <c r="B20" s="2"/>
      <c r="C20" s="2"/>
      <c r="D20" s="2"/>
      <c r="E20" s="2"/>
      <c r="F20" s="2"/>
      <c r="G20" s="2"/>
      <c r="H20" s="21"/>
      <c r="I20" s="2"/>
      <c r="J20" s="2"/>
      <c r="K20" s="2"/>
    </row>
    <row r="21" spans="2:11" ht="27.75" customHeight="1" x14ac:dyDescent="0.2">
      <c r="B21" s="13"/>
      <c r="C21" s="13"/>
      <c r="D21" s="13"/>
      <c r="E21" s="13"/>
      <c r="F21" s="13"/>
      <c r="G21" s="13"/>
      <c r="H21" s="23"/>
      <c r="I21" s="13"/>
      <c r="J21" s="13"/>
      <c r="K21" s="13"/>
    </row>
    <row r="22" spans="2:11" ht="27.75" customHeight="1" x14ac:dyDescent="0.2">
      <c r="B22" s="2"/>
      <c r="C22" s="2"/>
      <c r="D22" s="2"/>
      <c r="E22" s="2"/>
      <c r="F22" s="2"/>
      <c r="G22" s="2"/>
      <c r="H22" s="21"/>
      <c r="I22" s="2"/>
      <c r="J22" s="2"/>
      <c r="K22" s="2"/>
    </row>
    <row r="23" spans="2:11" ht="27.75" customHeight="1" x14ac:dyDescent="0.2">
      <c r="B23" s="13"/>
      <c r="C23" s="13"/>
      <c r="D23" s="13"/>
      <c r="E23" s="13"/>
      <c r="F23" s="13"/>
      <c r="G23" s="13"/>
      <c r="H23" s="23"/>
      <c r="I23" s="13"/>
      <c r="J23" s="13"/>
      <c r="K23" s="13"/>
    </row>
    <row r="24" spans="2:11" ht="27.75" customHeight="1" x14ac:dyDescent="0.2">
      <c r="B24" s="2"/>
      <c r="C24" s="2"/>
      <c r="D24" s="2"/>
      <c r="E24" s="2"/>
      <c r="F24" s="2"/>
      <c r="G24" s="2"/>
      <c r="H24" s="21"/>
      <c r="I24" s="2"/>
      <c r="J24" s="2"/>
      <c r="K24" s="2"/>
    </row>
    <row r="25" spans="2:11" ht="27.75" customHeight="1" x14ac:dyDescent="0.2">
      <c r="B25" s="13"/>
      <c r="C25" s="13"/>
      <c r="D25" s="13"/>
      <c r="E25" s="13"/>
      <c r="F25" s="13"/>
      <c r="G25" s="13"/>
      <c r="H25" s="23"/>
      <c r="I25" s="13"/>
      <c r="J25" s="13"/>
      <c r="K25" s="13"/>
    </row>
    <row r="26" spans="2:11" ht="27.75" customHeight="1" x14ac:dyDescent="0.2">
      <c r="B26" s="2"/>
      <c r="C26" s="2"/>
      <c r="D26" s="2"/>
      <c r="E26" s="2"/>
      <c r="F26" s="2"/>
      <c r="G26" s="2"/>
      <c r="H26" s="21"/>
      <c r="I26" s="2"/>
      <c r="J26" s="2"/>
      <c r="K26" s="2"/>
    </row>
    <row r="27" spans="2:11" ht="27.75" customHeight="1" x14ac:dyDescent="0.2">
      <c r="B27" s="13"/>
      <c r="C27" s="13"/>
      <c r="D27" s="13"/>
      <c r="E27" s="13"/>
      <c r="F27" s="13"/>
      <c r="G27" s="13"/>
      <c r="H27" s="23"/>
      <c r="I27" s="13"/>
      <c r="J27" s="13"/>
      <c r="K27" s="13"/>
    </row>
    <row r="28" spans="2:11" ht="27.75" customHeight="1" x14ac:dyDescent="0.2">
      <c r="B28" s="2"/>
      <c r="C28" s="2"/>
      <c r="D28" s="2"/>
      <c r="E28" s="2"/>
      <c r="F28" s="2"/>
      <c r="G28" s="2"/>
      <c r="H28" s="21"/>
      <c r="I28" s="2"/>
      <c r="J28" s="2"/>
      <c r="K28" s="2"/>
    </row>
    <row r="29" spans="2:11" ht="27.75" customHeight="1" x14ac:dyDescent="0.2">
      <c r="B29" s="13"/>
      <c r="C29" s="13"/>
      <c r="D29" s="13"/>
      <c r="E29" s="13"/>
      <c r="F29" s="13"/>
      <c r="G29" s="13"/>
      <c r="H29" s="23"/>
      <c r="I29" s="13"/>
      <c r="J29" s="13"/>
      <c r="K29" s="13"/>
    </row>
    <row r="30" spans="2:11" ht="27.75" customHeight="1" x14ac:dyDescent="0.2">
      <c r="B30" s="2"/>
      <c r="C30" s="2"/>
      <c r="D30" s="2"/>
      <c r="E30" s="2"/>
      <c r="F30" s="2"/>
      <c r="G30" s="2"/>
      <c r="H30" s="21"/>
      <c r="I30" s="2"/>
      <c r="J30" s="2"/>
      <c r="K30" s="2"/>
    </row>
    <row r="31" spans="2:11" ht="27.75" customHeight="1" x14ac:dyDescent="0.2">
      <c r="B31" s="13"/>
      <c r="C31" s="13"/>
      <c r="D31" s="13"/>
      <c r="E31" s="13"/>
      <c r="F31" s="13"/>
      <c r="G31" s="13"/>
      <c r="H31" s="23"/>
      <c r="I31" s="13"/>
      <c r="J31" s="13"/>
      <c r="K31" s="13"/>
    </row>
    <row r="32" spans="2:11" ht="27.75" customHeight="1" x14ac:dyDescent="0.2">
      <c r="B32" s="2"/>
      <c r="C32" s="2"/>
      <c r="D32" s="2"/>
      <c r="E32" s="2"/>
      <c r="F32" s="2"/>
      <c r="G32" s="2"/>
      <c r="H32" s="21"/>
      <c r="I32" s="2"/>
      <c r="J32" s="2"/>
      <c r="K32" s="2"/>
    </row>
    <row r="33" spans="2:11" ht="27.75" customHeight="1" x14ac:dyDescent="0.2">
      <c r="B33" s="13"/>
      <c r="C33" s="13"/>
      <c r="D33" s="13"/>
      <c r="E33" s="13"/>
      <c r="F33" s="13"/>
      <c r="G33" s="13"/>
      <c r="H33" s="23"/>
      <c r="I33" s="13"/>
      <c r="J33" s="13"/>
      <c r="K33" s="13"/>
    </row>
    <row r="34" spans="2:11" ht="27.75" customHeight="1" x14ac:dyDescent="0.2">
      <c r="B34" s="2"/>
      <c r="C34" s="2"/>
      <c r="D34" s="2"/>
      <c r="E34" s="2"/>
      <c r="F34" s="2"/>
      <c r="G34" s="2"/>
      <c r="H34" s="21"/>
      <c r="I34" s="2"/>
      <c r="J34" s="2"/>
      <c r="K34" s="2"/>
    </row>
    <row r="35" spans="2:11" ht="27.75" customHeight="1" x14ac:dyDescent="0.2">
      <c r="B35" s="13"/>
      <c r="C35" s="13"/>
      <c r="D35" s="13"/>
      <c r="E35" s="13"/>
      <c r="F35" s="13"/>
      <c r="G35" s="13"/>
      <c r="H35" s="23"/>
      <c r="I35" s="13"/>
      <c r="J35" s="13"/>
      <c r="K35" s="13"/>
    </row>
    <row r="36" spans="2:11" ht="27.75" customHeight="1" x14ac:dyDescent="0.2">
      <c r="B36" s="2"/>
      <c r="C36" s="2"/>
      <c r="D36" s="2"/>
      <c r="E36" s="2"/>
      <c r="F36" s="2"/>
      <c r="G36" s="2"/>
      <c r="H36" s="21"/>
      <c r="I36" s="2"/>
      <c r="J36" s="2"/>
      <c r="K36" s="2"/>
    </row>
    <row r="37" spans="2:11" ht="27.75" customHeight="1" x14ac:dyDescent="0.2">
      <c r="B37" s="13"/>
      <c r="C37" s="13"/>
      <c r="D37" s="13"/>
      <c r="E37" s="13"/>
      <c r="F37" s="13"/>
      <c r="G37" s="13"/>
      <c r="H37" s="23"/>
      <c r="I37" s="13"/>
      <c r="J37" s="13"/>
      <c r="K37" s="13"/>
    </row>
    <row r="38" spans="2:11" ht="27.75" customHeight="1" x14ac:dyDescent="0.2">
      <c r="B38" s="2"/>
      <c r="C38" s="2"/>
      <c r="D38" s="2"/>
      <c r="E38" s="2"/>
      <c r="F38" s="2"/>
      <c r="G38" s="2"/>
      <c r="H38" s="21"/>
      <c r="I38" s="2"/>
      <c r="J38" s="2"/>
      <c r="K38" s="2"/>
    </row>
    <row r="39" spans="2:11" ht="27.75" customHeight="1" x14ac:dyDescent="0.2">
      <c r="B39" s="13"/>
      <c r="C39" s="13"/>
      <c r="D39" s="13"/>
      <c r="E39" s="13"/>
      <c r="F39" s="13"/>
      <c r="G39" s="13"/>
      <c r="H39" s="23"/>
      <c r="I39" s="13"/>
      <c r="J39" s="13"/>
      <c r="K39" s="13"/>
    </row>
    <row r="40" spans="2:11" ht="27.75" customHeight="1" x14ac:dyDescent="0.2">
      <c r="B40" s="2"/>
      <c r="C40" s="2"/>
      <c r="D40" s="2"/>
      <c r="E40" s="2"/>
      <c r="F40" s="2"/>
      <c r="G40" s="2"/>
      <c r="H40" s="21"/>
      <c r="I40" s="2"/>
      <c r="J40" s="2"/>
      <c r="K40" s="2"/>
    </row>
    <row r="41" spans="2:11" ht="27.75" customHeight="1" x14ac:dyDescent="0.2">
      <c r="B41" s="13"/>
      <c r="C41" s="13"/>
      <c r="D41" s="13"/>
      <c r="E41" s="13"/>
      <c r="F41" s="13"/>
      <c r="G41" s="13"/>
      <c r="H41" s="23"/>
      <c r="I41" s="13"/>
      <c r="J41" s="13"/>
      <c r="K41" s="13"/>
    </row>
    <row r="42" spans="2:11" ht="27.75" customHeight="1" x14ac:dyDescent="0.2">
      <c r="B42" s="2"/>
      <c r="C42" s="2"/>
      <c r="D42" s="2"/>
      <c r="E42" s="2"/>
      <c r="F42" s="2"/>
      <c r="G42" s="2"/>
      <c r="H42" s="21"/>
      <c r="I42" s="2"/>
      <c r="J42" s="2"/>
      <c r="K42" s="2"/>
    </row>
    <row r="43" spans="2:11" ht="27.75" customHeight="1" x14ac:dyDescent="0.2">
      <c r="B43" s="13"/>
      <c r="C43" s="13"/>
      <c r="D43" s="13"/>
      <c r="E43" s="13"/>
      <c r="F43" s="13"/>
      <c r="G43" s="13"/>
      <c r="H43" s="23"/>
      <c r="I43" s="13"/>
      <c r="J43" s="13"/>
      <c r="K43" s="13"/>
    </row>
    <row r="44" spans="2:11" ht="27.75" customHeight="1" x14ac:dyDescent="0.2">
      <c r="B44" s="2"/>
      <c r="C44" s="2"/>
      <c r="D44" s="2"/>
      <c r="E44" s="2"/>
      <c r="F44" s="2"/>
      <c r="G44" s="2"/>
      <c r="H44" s="21"/>
      <c r="I44" s="2"/>
      <c r="J44" s="2"/>
      <c r="K44" s="2"/>
    </row>
    <row r="45" spans="2:11" ht="27.75" customHeight="1" x14ac:dyDescent="0.2">
      <c r="B45" s="13"/>
      <c r="C45" s="13"/>
      <c r="D45" s="13"/>
      <c r="E45" s="13"/>
      <c r="F45" s="13"/>
      <c r="G45" s="13"/>
      <c r="H45" s="23"/>
      <c r="I45" s="13"/>
      <c r="J45" s="13"/>
      <c r="K45" s="13"/>
    </row>
    <row r="46" spans="2:11" ht="27.75" customHeight="1" x14ac:dyDescent="0.2">
      <c r="B46" s="2"/>
      <c r="C46" s="2"/>
      <c r="D46" s="2"/>
      <c r="E46" s="2"/>
      <c r="F46" s="2"/>
      <c r="G46" s="2"/>
      <c r="H46" s="21"/>
      <c r="I46" s="2"/>
      <c r="J46" s="2"/>
      <c r="K46" s="2"/>
    </row>
    <row r="47" spans="2:11" ht="27.75" customHeight="1" x14ac:dyDescent="0.2">
      <c r="B47" s="13"/>
      <c r="C47" s="13"/>
      <c r="D47" s="13"/>
      <c r="E47" s="13"/>
      <c r="F47" s="13"/>
      <c r="G47" s="13"/>
      <c r="H47" s="23"/>
      <c r="I47" s="13"/>
      <c r="J47" s="13"/>
      <c r="K47" s="13"/>
    </row>
    <row r="48" spans="2:11" ht="27.75" customHeight="1" x14ac:dyDescent="0.2">
      <c r="B48" s="2"/>
      <c r="C48" s="2"/>
      <c r="D48" s="2"/>
      <c r="E48" s="2"/>
      <c r="F48" s="2"/>
      <c r="G48" s="2"/>
      <c r="H48" s="21"/>
      <c r="I48" s="2"/>
      <c r="J48" s="2"/>
      <c r="K48" s="2"/>
    </row>
    <row r="49" spans="2:11" ht="27.75" customHeight="1" x14ac:dyDescent="0.2">
      <c r="B49" s="13"/>
      <c r="C49" s="13"/>
      <c r="D49" s="13"/>
      <c r="E49" s="13"/>
      <c r="F49" s="13"/>
      <c r="G49" s="13"/>
      <c r="H49" s="23"/>
      <c r="I49" s="13"/>
      <c r="J49" s="13"/>
      <c r="K49" s="13"/>
    </row>
    <row r="50" spans="2:11" ht="27.75" customHeight="1" x14ac:dyDescent="0.2">
      <c r="B50" s="2"/>
      <c r="C50" s="2"/>
      <c r="D50" s="2"/>
      <c r="E50" s="2"/>
      <c r="F50" s="2"/>
      <c r="G50" s="2"/>
      <c r="H50" s="21"/>
      <c r="I50" s="2"/>
      <c r="J50" s="2"/>
      <c r="K50" s="2"/>
    </row>
    <row r="51" spans="2:11" ht="27.75" customHeight="1" x14ac:dyDescent="0.2">
      <c r="B51" s="13"/>
      <c r="C51" s="13"/>
      <c r="D51" s="13"/>
      <c r="E51" s="13"/>
      <c r="F51" s="13"/>
      <c r="G51" s="13"/>
      <c r="H51" s="23"/>
      <c r="I51" s="13"/>
      <c r="J51" s="13"/>
      <c r="K51" s="13"/>
    </row>
    <row r="52" spans="2:11" ht="27.75" customHeight="1" x14ac:dyDescent="0.2">
      <c r="B52" s="2"/>
      <c r="C52" s="2"/>
      <c r="D52" s="2"/>
      <c r="E52" s="2"/>
      <c r="F52" s="2"/>
      <c r="G52" s="2"/>
      <c r="H52" s="21"/>
      <c r="I52" s="2"/>
      <c r="J52" s="2"/>
      <c r="K52" s="2"/>
    </row>
    <row r="53" spans="2:11" ht="27.75" customHeight="1" x14ac:dyDescent="0.2">
      <c r="B53" s="13"/>
      <c r="C53" s="13"/>
      <c r="D53" s="13"/>
      <c r="E53" s="13"/>
      <c r="F53" s="13"/>
      <c r="G53" s="13"/>
      <c r="H53" s="23"/>
      <c r="I53" s="13"/>
      <c r="J53" s="13"/>
      <c r="K53" s="13"/>
    </row>
    <row r="54" spans="2:11" ht="27.75" customHeight="1" x14ac:dyDescent="0.2">
      <c r="B54" s="2"/>
      <c r="C54" s="2"/>
      <c r="D54" s="2"/>
      <c r="E54" s="2"/>
      <c r="F54" s="2"/>
      <c r="G54" s="2"/>
      <c r="H54" s="21"/>
      <c r="I54" s="2"/>
      <c r="J54" s="2"/>
      <c r="K54" s="2"/>
    </row>
    <row r="55" spans="2:11" ht="27.75" customHeight="1" x14ac:dyDescent="0.2">
      <c r="B55" s="13"/>
      <c r="C55" s="13"/>
      <c r="D55" s="13"/>
      <c r="E55" s="13"/>
      <c r="F55" s="13"/>
      <c r="G55" s="13"/>
      <c r="H55" s="23"/>
      <c r="I55" s="13"/>
      <c r="J55" s="13"/>
      <c r="K55" s="13"/>
    </row>
    <row r="56" spans="2:11" ht="27.75" customHeight="1" x14ac:dyDescent="0.2">
      <c r="B56" s="2"/>
      <c r="C56" s="2"/>
      <c r="D56" s="2"/>
      <c r="E56" s="2"/>
      <c r="F56" s="2"/>
      <c r="G56" s="2"/>
      <c r="H56" s="21"/>
      <c r="I56" s="2"/>
      <c r="J56" s="2"/>
      <c r="K56" s="2"/>
    </row>
    <row r="57" spans="2:11" ht="27.75" customHeight="1" x14ac:dyDescent="0.2">
      <c r="B57" s="13"/>
      <c r="C57" s="13"/>
      <c r="D57" s="13"/>
      <c r="E57" s="13"/>
      <c r="F57" s="13"/>
      <c r="G57" s="13"/>
      <c r="H57" s="23"/>
      <c r="I57" s="13"/>
      <c r="J57" s="13"/>
      <c r="K57" s="13"/>
    </row>
    <row r="58" spans="2:11" ht="27.75" customHeight="1" x14ac:dyDescent="0.2">
      <c r="B58" s="2"/>
      <c r="C58" s="2"/>
      <c r="D58" s="2"/>
      <c r="E58" s="2"/>
      <c r="F58" s="2"/>
      <c r="G58" s="2"/>
      <c r="H58" s="21"/>
      <c r="I58" s="2"/>
      <c r="J58" s="2"/>
      <c r="K58" s="2"/>
    </row>
    <row r="59" spans="2:11" ht="27.75" customHeight="1" x14ac:dyDescent="0.2">
      <c r="B59" s="13"/>
      <c r="C59" s="13"/>
      <c r="D59" s="13"/>
      <c r="E59" s="13"/>
      <c r="F59" s="13"/>
      <c r="G59" s="13"/>
      <c r="H59" s="23"/>
      <c r="I59" s="13"/>
      <c r="J59" s="13"/>
      <c r="K59" s="13"/>
    </row>
    <row r="60" spans="2:11" ht="27.75" customHeight="1" x14ac:dyDescent="0.2">
      <c r="B60" s="2"/>
      <c r="C60" s="2"/>
      <c r="D60" s="2"/>
      <c r="E60" s="2"/>
      <c r="F60" s="2"/>
      <c r="G60" s="2"/>
      <c r="H60" s="21"/>
      <c r="I60" s="2"/>
      <c r="J60" s="2"/>
      <c r="K60" s="2"/>
    </row>
    <row r="61" spans="2:11" ht="27.75" customHeight="1" x14ac:dyDescent="0.2">
      <c r="B61" s="13"/>
      <c r="C61" s="13"/>
      <c r="D61" s="13"/>
      <c r="E61" s="13"/>
      <c r="F61" s="13"/>
      <c r="G61" s="13"/>
      <c r="H61" s="23"/>
      <c r="I61" s="13"/>
      <c r="J61" s="13"/>
      <c r="K61" s="13"/>
    </row>
    <row r="62" spans="2:11" ht="27.75" customHeight="1" x14ac:dyDescent="0.2">
      <c r="B62" s="2"/>
      <c r="C62" s="2"/>
      <c r="D62" s="2"/>
      <c r="E62" s="2"/>
      <c r="F62" s="2"/>
      <c r="G62" s="2"/>
      <c r="H62" s="21"/>
      <c r="I62" s="2"/>
      <c r="J62" s="2"/>
      <c r="K62" s="2"/>
    </row>
    <row r="63" spans="2:11" ht="27.75" customHeight="1" x14ac:dyDescent="0.2">
      <c r="B63" s="13"/>
      <c r="C63" s="13"/>
      <c r="D63" s="13"/>
      <c r="E63" s="13"/>
      <c r="F63" s="13"/>
      <c r="G63" s="13"/>
      <c r="H63" s="23"/>
      <c r="I63" s="13"/>
      <c r="J63" s="13"/>
      <c r="K63" s="13"/>
    </row>
    <row r="64" spans="2:11" ht="27.75" customHeight="1" x14ac:dyDescent="0.2">
      <c r="B64" s="2"/>
      <c r="C64" s="2"/>
      <c r="D64" s="2"/>
      <c r="E64" s="2"/>
      <c r="F64" s="2"/>
      <c r="G64" s="2"/>
      <c r="H64" s="21"/>
      <c r="I64" s="2"/>
      <c r="J64" s="2"/>
      <c r="K64" s="2"/>
    </row>
    <row r="65" spans="2:11" ht="27.75" customHeight="1" x14ac:dyDescent="0.2">
      <c r="B65" s="13"/>
      <c r="C65" s="13"/>
      <c r="D65" s="13"/>
      <c r="E65" s="13"/>
      <c r="F65" s="13"/>
      <c r="G65" s="13"/>
      <c r="H65" s="23"/>
      <c r="I65" s="13"/>
      <c r="J65" s="13"/>
      <c r="K65" s="13"/>
    </row>
    <row r="66" spans="2:11" ht="16.5" customHeight="1" x14ac:dyDescent="0.2"/>
    <row r="67" spans="2:11" ht="16.5" customHeight="1" x14ac:dyDescent="0.2"/>
    <row r="68" spans="2:11" ht="16.5" customHeight="1" x14ac:dyDescent="0.2">
      <c r="B68" s="17" t="s">
        <v>366</v>
      </c>
    </row>
    <row r="69" spans="2:11" ht="16.5" customHeight="1" x14ac:dyDescent="0.2"/>
    <row r="70" spans="2:11" ht="31.5" customHeight="1" x14ac:dyDescent="0.2">
      <c r="B70" s="8" t="s">
        <v>367</v>
      </c>
      <c r="D70" s="18">
        <f>COUNTA(C16:C65)</f>
        <v>0</v>
      </c>
    </row>
    <row r="71" spans="2:11" ht="24" customHeight="1" x14ac:dyDescent="0.2">
      <c r="B71" s="8" t="s">
        <v>368</v>
      </c>
      <c r="D71" s="18">
        <f>COUNTIF(I16:I65,"Pass")</f>
        <v>0</v>
      </c>
    </row>
    <row r="72" spans="2:11" ht="24" customHeight="1" x14ac:dyDescent="0.2">
      <c r="B72" s="8" t="s">
        <v>369</v>
      </c>
      <c r="D72" s="18">
        <f>COUNTIF(I16:I65,"Fail")</f>
        <v>0</v>
      </c>
    </row>
    <row r="73" spans="2:11" ht="24" customHeight="1" x14ac:dyDescent="0.2">
      <c r="B73" s="8" t="s">
        <v>322</v>
      </c>
      <c r="D73" s="18">
        <f>COUNTIF(I16:I65,"Blocked")</f>
        <v>0</v>
      </c>
    </row>
    <row r="74" spans="2:11" ht="24" customHeight="1" x14ac:dyDescent="0.2">
      <c r="B74" s="8" t="s">
        <v>370</v>
      </c>
      <c r="D74" s="18">
        <f>COUNTIF(I16:I65,"Not Run")</f>
        <v>0</v>
      </c>
    </row>
    <row r="75" spans="2:11" ht="48" customHeight="1" x14ac:dyDescent="0.2">
      <c r="B75" s="8" t="s">
        <v>371</v>
      </c>
      <c r="D75" s="19">
        <f>IFERROR(COUNTIF(I16:I65,"Pass")/(COUNTIF(I16:I65,"Pass")+COUNTIF(I16:I65,"Fail")),0)</f>
        <v>0</v>
      </c>
    </row>
    <row r="76" spans="2:11" ht="63" customHeight="1" x14ac:dyDescent="0.2">
      <c r="B76" s="8" t="s">
        <v>372</v>
      </c>
      <c r="D76" s="18">
        <f>COUNTA(J16:J65)</f>
        <v>0</v>
      </c>
    </row>
  </sheetData>
  <mergeCells count="6">
    <mergeCell ref="C12:F12"/>
    <mergeCell ref="C7:F7"/>
    <mergeCell ref="C8:F8"/>
    <mergeCell ref="C9:F9"/>
    <mergeCell ref="C10:F10"/>
    <mergeCell ref="C11:F11"/>
  </mergeCells>
  <conditionalFormatting sqref="I16:I65">
    <cfRule type="expression" dxfId="12" priority="2">
      <formula>EXACT(I16,"Pass")</formula>
    </cfRule>
    <cfRule type="expression" dxfId="11" priority="3">
      <formula>EXACT(I16,"Fail")</formula>
    </cfRule>
    <cfRule type="expression" dxfId="10" priority="4">
      <formula>EXACT(I16,"Blocked")</formula>
    </cfRule>
    <cfRule type="expression" dxfId="9" priority="5">
      <formula>EXACT(I16,"Not Run")</formula>
    </cfRule>
  </conditionalFormatting>
  <dataValidations count="1">
    <dataValidation type="list" allowBlank="1" sqref="I16:I65" xr:uid="{00000000-0002-0000-0D00-000000000000}">
      <formula1>"Pass,Fail,Blocked,Not Run,N/A"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N8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0" customWidth="1"/>
    <col min="3" max="3" width="14" customWidth="1"/>
    <col min="4" max="4" width="12" customWidth="1"/>
    <col min="5" max="5" width="14" customWidth="1"/>
    <col min="6" max="6" width="36" customWidth="1"/>
    <col min="7" max="8" width="14" customWidth="1"/>
    <col min="9" max="9" width="18" customWidth="1"/>
    <col min="10" max="11" width="14" customWidth="1"/>
    <col min="12" max="12" width="18" customWidth="1"/>
    <col min="13" max="13" width="24" customWidth="1"/>
    <col min="14" max="14" width="28" customWidth="1"/>
  </cols>
  <sheetData>
    <row r="1" spans="2:14" ht="16.5" customHeight="1" x14ac:dyDescent="0.2"/>
    <row r="2" spans="2:14" ht="27.75" customHeight="1" x14ac:dyDescent="0.2">
      <c r="B2" s="14" t="s">
        <v>373</v>
      </c>
    </row>
    <row r="3" spans="2:14" ht="16.5" customHeight="1" x14ac:dyDescent="0.2">
      <c r="B3" s="5" t="s">
        <v>374</v>
      </c>
    </row>
    <row r="4" spans="2:14" ht="16.5" customHeight="1" x14ac:dyDescent="0.2"/>
    <row r="5" spans="2:14" ht="16.5" customHeight="1" x14ac:dyDescent="0.2">
      <c r="B5" s="17" t="s">
        <v>375</v>
      </c>
    </row>
    <row r="6" spans="2:14" ht="16.5" customHeight="1" x14ac:dyDescent="0.2"/>
    <row r="7" spans="2:14" ht="16.5" customHeight="1" x14ac:dyDescent="0.2">
      <c r="B7" s="44" t="s">
        <v>376</v>
      </c>
      <c r="C7" s="45">
        <f>COUNTIF(K12:K71,"Open")+COUNTIF(K12:K71,"In Progress")</f>
        <v>0</v>
      </c>
      <c r="D7" s="44" t="s">
        <v>377</v>
      </c>
      <c r="E7" s="45">
        <f ca="1">SUMPRODUCT((K12:K71&lt;&gt;"Done")*(K12:K71&lt;&gt;"Verified")*(K12:K71&lt;&gt;"Dropped")*(I12:I71&lt;&gt;"")*(I12:I71&lt;TODAY()))</f>
        <v>0</v>
      </c>
      <c r="F7" s="44" t="s">
        <v>378</v>
      </c>
      <c r="G7" s="45">
        <f>COUNTIF(K12:K71,"Done")</f>
        <v>0</v>
      </c>
      <c r="H7" s="44" t="s">
        <v>379</v>
      </c>
      <c r="I7" s="45">
        <f>COUNTIF(L12:L71,"Confirmed effective")</f>
        <v>0</v>
      </c>
      <c r="J7" s="44" t="s">
        <v>380</v>
      </c>
      <c r="K7" s="45">
        <f>COUNTIF(M12:M71,"Yes")</f>
        <v>0</v>
      </c>
    </row>
    <row r="8" spans="2:14" ht="16.5" customHeight="1" x14ac:dyDescent="0.2"/>
    <row r="9" spans="2:14" ht="16.5" customHeight="1" x14ac:dyDescent="0.2"/>
    <row r="10" spans="2:14" ht="16.5" customHeight="1" x14ac:dyDescent="0.2">
      <c r="B10" s="17" t="s">
        <v>381</v>
      </c>
    </row>
    <row r="11" spans="2:14" ht="36" customHeight="1" x14ac:dyDescent="0.2">
      <c r="B11" s="9" t="s">
        <v>382</v>
      </c>
      <c r="C11" s="9" t="s">
        <v>383</v>
      </c>
      <c r="D11" s="9" t="s">
        <v>384</v>
      </c>
      <c r="E11" s="9" t="s">
        <v>234</v>
      </c>
      <c r="F11" s="9" t="s">
        <v>385</v>
      </c>
      <c r="G11" s="9" t="s">
        <v>386</v>
      </c>
      <c r="H11" s="9" t="s">
        <v>238</v>
      </c>
      <c r="I11" s="9" t="s">
        <v>318</v>
      </c>
      <c r="J11" s="9" t="s">
        <v>237</v>
      </c>
      <c r="K11" s="9" t="s">
        <v>18</v>
      </c>
      <c r="L11" s="9" t="s">
        <v>387</v>
      </c>
      <c r="M11" s="9" t="s">
        <v>388</v>
      </c>
      <c r="N11" s="9" t="s">
        <v>271</v>
      </c>
    </row>
    <row r="12" spans="2:14" ht="27.75" customHeight="1" x14ac:dyDescent="0.2">
      <c r="B12" s="2"/>
      <c r="C12" s="2"/>
      <c r="D12" s="2"/>
      <c r="E12" s="2"/>
      <c r="F12" s="2"/>
      <c r="G12" s="2"/>
      <c r="H12" s="2"/>
      <c r="I12" s="21"/>
      <c r="J12" s="2"/>
      <c r="K12" s="2"/>
      <c r="L12" s="2"/>
      <c r="M12" s="2"/>
      <c r="N12" s="2"/>
    </row>
    <row r="13" spans="2:14" ht="27.75" customHeight="1" x14ac:dyDescent="0.2">
      <c r="B13" s="13"/>
      <c r="C13" s="13"/>
      <c r="D13" s="13"/>
      <c r="E13" s="13"/>
      <c r="F13" s="13"/>
      <c r="G13" s="13"/>
      <c r="H13" s="13"/>
      <c r="I13" s="23"/>
      <c r="J13" s="13"/>
      <c r="K13" s="13"/>
      <c r="L13" s="13"/>
      <c r="M13" s="13"/>
      <c r="N13" s="13"/>
    </row>
    <row r="14" spans="2:14" ht="27.75" customHeight="1" x14ac:dyDescent="0.2">
      <c r="B14" s="2"/>
      <c r="C14" s="2"/>
      <c r="D14" s="2"/>
      <c r="E14" s="2"/>
      <c r="F14" s="2"/>
      <c r="G14" s="2"/>
      <c r="H14" s="2"/>
      <c r="I14" s="21"/>
      <c r="J14" s="2"/>
      <c r="K14" s="2"/>
      <c r="L14" s="2"/>
      <c r="M14" s="2"/>
      <c r="N14" s="2"/>
    </row>
    <row r="15" spans="2:14" ht="27.75" customHeight="1" x14ac:dyDescent="0.2">
      <c r="B15" s="13"/>
      <c r="C15" s="13"/>
      <c r="D15" s="13"/>
      <c r="E15" s="13"/>
      <c r="F15" s="13"/>
      <c r="G15" s="13"/>
      <c r="H15" s="13"/>
      <c r="I15" s="23"/>
      <c r="J15" s="13"/>
      <c r="K15" s="13"/>
      <c r="L15" s="13"/>
      <c r="M15" s="13"/>
      <c r="N15" s="13"/>
    </row>
    <row r="16" spans="2:14" ht="27.75" customHeight="1" x14ac:dyDescent="0.2">
      <c r="B16" s="2"/>
      <c r="C16" s="2"/>
      <c r="D16" s="2"/>
      <c r="E16" s="2"/>
      <c r="F16" s="2"/>
      <c r="G16" s="2"/>
      <c r="H16" s="2"/>
      <c r="I16" s="21"/>
      <c r="J16" s="2"/>
      <c r="K16" s="2"/>
      <c r="L16" s="2"/>
      <c r="M16" s="2"/>
      <c r="N16" s="2"/>
    </row>
    <row r="17" spans="2:14" ht="27.75" customHeight="1" x14ac:dyDescent="0.2">
      <c r="B17" s="13"/>
      <c r="C17" s="13"/>
      <c r="D17" s="13"/>
      <c r="E17" s="13"/>
      <c r="F17" s="13"/>
      <c r="G17" s="13"/>
      <c r="H17" s="13"/>
      <c r="I17" s="23"/>
      <c r="J17" s="13"/>
      <c r="K17" s="13"/>
      <c r="L17" s="13"/>
      <c r="M17" s="13"/>
      <c r="N17" s="13"/>
    </row>
    <row r="18" spans="2:14" ht="27.75" customHeight="1" x14ac:dyDescent="0.2">
      <c r="B18" s="2"/>
      <c r="C18" s="2"/>
      <c r="D18" s="2"/>
      <c r="E18" s="2"/>
      <c r="F18" s="2"/>
      <c r="G18" s="2"/>
      <c r="H18" s="2"/>
      <c r="I18" s="21"/>
      <c r="J18" s="2"/>
      <c r="K18" s="2"/>
      <c r="L18" s="2"/>
      <c r="M18" s="2"/>
      <c r="N18" s="2"/>
    </row>
    <row r="19" spans="2:14" ht="27.75" customHeight="1" x14ac:dyDescent="0.2">
      <c r="B19" s="13"/>
      <c r="C19" s="13"/>
      <c r="D19" s="13"/>
      <c r="E19" s="13"/>
      <c r="F19" s="13"/>
      <c r="G19" s="13"/>
      <c r="H19" s="13"/>
      <c r="I19" s="23"/>
      <c r="J19" s="13"/>
      <c r="K19" s="13"/>
      <c r="L19" s="13"/>
      <c r="M19" s="13"/>
      <c r="N19" s="13"/>
    </row>
    <row r="20" spans="2:14" ht="27.75" customHeight="1" x14ac:dyDescent="0.2">
      <c r="B20" s="2"/>
      <c r="C20" s="2"/>
      <c r="D20" s="2"/>
      <c r="E20" s="2"/>
      <c r="F20" s="2"/>
      <c r="G20" s="2"/>
      <c r="H20" s="2"/>
      <c r="I20" s="21"/>
      <c r="J20" s="2"/>
      <c r="K20" s="2"/>
      <c r="L20" s="2"/>
      <c r="M20" s="2"/>
      <c r="N20" s="2"/>
    </row>
    <row r="21" spans="2:14" ht="27.75" customHeight="1" x14ac:dyDescent="0.2">
      <c r="B21" s="13"/>
      <c r="C21" s="13"/>
      <c r="D21" s="13"/>
      <c r="E21" s="13"/>
      <c r="F21" s="13"/>
      <c r="G21" s="13"/>
      <c r="H21" s="13"/>
      <c r="I21" s="23"/>
      <c r="J21" s="13"/>
      <c r="K21" s="13"/>
      <c r="L21" s="13"/>
      <c r="M21" s="13"/>
      <c r="N21" s="13"/>
    </row>
    <row r="22" spans="2:14" ht="27.75" customHeight="1" x14ac:dyDescent="0.2">
      <c r="B22" s="2"/>
      <c r="C22" s="2"/>
      <c r="D22" s="2"/>
      <c r="E22" s="2"/>
      <c r="F22" s="2"/>
      <c r="G22" s="2"/>
      <c r="H22" s="2"/>
      <c r="I22" s="21"/>
      <c r="J22" s="2"/>
      <c r="K22" s="2"/>
      <c r="L22" s="2"/>
      <c r="M22" s="2"/>
      <c r="N22" s="2"/>
    </row>
    <row r="23" spans="2:14" ht="27.75" customHeight="1" x14ac:dyDescent="0.2">
      <c r="B23" s="13"/>
      <c r="C23" s="13"/>
      <c r="D23" s="13"/>
      <c r="E23" s="13"/>
      <c r="F23" s="13"/>
      <c r="G23" s="13"/>
      <c r="H23" s="13"/>
      <c r="I23" s="23"/>
      <c r="J23" s="13"/>
      <c r="K23" s="13"/>
      <c r="L23" s="13"/>
      <c r="M23" s="13"/>
      <c r="N23" s="13"/>
    </row>
    <row r="24" spans="2:14" ht="27.75" customHeight="1" x14ac:dyDescent="0.2">
      <c r="B24" s="2"/>
      <c r="C24" s="2"/>
      <c r="D24" s="2"/>
      <c r="E24" s="2"/>
      <c r="F24" s="2"/>
      <c r="G24" s="2"/>
      <c r="H24" s="2"/>
      <c r="I24" s="21"/>
      <c r="J24" s="2"/>
      <c r="K24" s="2"/>
      <c r="L24" s="2"/>
      <c r="M24" s="2"/>
      <c r="N24" s="2"/>
    </row>
    <row r="25" spans="2:14" ht="27.75" customHeight="1" x14ac:dyDescent="0.2">
      <c r="B25" s="13"/>
      <c r="C25" s="13"/>
      <c r="D25" s="13"/>
      <c r="E25" s="13"/>
      <c r="F25" s="13"/>
      <c r="G25" s="13"/>
      <c r="H25" s="13"/>
      <c r="I25" s="23"/>
      <c r="J25" s="13"/>
      <c r="K25" s="13"/>
      <c r="L25" s="13"/>
      <c r="M25" s="13"/>
      <c r="N25" s="13"/>
    </row>
    <row r="26" spans="2:14" ht="27.75" customHeight="1" x14ac:dyDescent="0.2">
      <c r="B26" s="2"/>
      <c r="C26" s="2"/>
      <c r="D26" s="2"/>
      <c r="E26" s="2"/>
      <c r="F26" s="2"/>
      <c r="G26" s="2"/>
      <c r="H26" s="2"/>
      <c r="I26" s="21"/>
      <c r="J26" s="2"/>
      <c r="K26" s="2"/>
      <c r="L26" s="2"/>
      <c r="M26" s="2"/>
      <c r="N26" s="2"/>
    </row>
    <row r="27" spans="2:14" ht="27.75" customHeight="1" x14ac:dyDescent="0.2">
      <c r="B27" s="13"/>
      <c r="C27" s="13"/>
      <c r="D27" s="13"/>
      <c r="E27" s="13"/>
      <c r="F27" s="13"/>
      <c r="G27" s="13"/>
      <c r="H27" s="13"/>
      <c r="I27" s="23"/>
      <c r="J27" s="13"/>
      <c r="K27" s="13"/>
      <c r="L27" s="13"/>
      <c r="M27" s="13"/>
      <c r="N27" s="13"/>
    </row>
    <row r="28" spans="2:14" ht="27.75" customHeight="1" x14ac:dyDescent="0.2">
      <c r="B28" s="2"/>
      <c r="C28" s="2"/>
      <c r="D28" s="2"/>
      <c r="E28" s="2"/>
      <c r="F28" s="2"/>
      <c r="G28" s="2"/>
      <c r="H28" s="2"/>
      <c r="I28" s="21"/>
      <c r="J28" s="2"/>
      <c r="K28" s="2"/>
      <c r="L28" s="2"/>
      <c r="M28" s="2"/>
      <c r="N28" s="2"/>
    </row>
    <row r="29" spans="2:14" ht="27.75" customHeight="1" x14ac:dyDescent="0.2">
      <c r="B29" s="13"/>
      <c r="C29" s="13"/>
      <c r="D29" s="13"/>
      <c r="E29" s="13"/>
      <c r="F29" s="13"/>
      <c r="G29" s="13"/>
      <c r="H29" s="13"/>
      <c r="I29" s="23"/>
      <c r="J29" s="13"/>
      <c r="K29" s="13"/>
      <c r="L29" s="13"/>
      <c r="M29" s="13"/>
      <c r="N29" s="13"/>
    </row>
    <row r="30" spans="2:14" ht="27.75" customHeight="1" x14ac:dyDescent="0.2">
      <c r="B30" s="2"/>
      <c r="C30" s="2"/>
      <c r="D30" s="2"/>
      <c r="E30" s="2"/>
      <c r="F30" s="2"/>
      <c r="G30" s="2"/>
      <c r="H30" s="2"/>
      <c r="I30" s="21"/>
      <c r="J30" s="2"/>
      <c r="K30" s="2"/>
      <c r="L30" s="2"/>
      <c r="M30" s="2"/>
      <c r="N30" s="2"/>
    </row>
    <row r="31" spans="2:14" ht="27.75" customHeight="1" x14ac:dyDescent="0.2">
      <c r="B31" s="13"/>
      <c r="C31" s="13"/>
      <c r="D31" s="13"/>
      <c r="E31" s="13"/>
      <c r="F31" s="13"/>
      <c r="G31" s="13"/>
      <c r="H31" s="13"/>
      <c r="I31" s="23"/>
      <c r="J31" s="13"/>
      <c r="K31" s="13"/>
      <c r="L31" s="13"/>
      <c r="M31" s="13"/>
      <c r="N31" s="13"/>
    </row>
    <row r="32" spans="2:14" ht="27.75" customHeight="1" x14ac:dyDescent="0.2">
      <c r="B32" s="2"/>
      <c r="C32" s="2"/>
      <c r="D32" s="2"/>
      <c r="E32" s="2"/>
      <c r="F32" s="2"/>
      <c r="G32" s="2"/>
      <c r="H32" s="2"/>
      <c r="I32" s="21"/>
      <c r="J32" s="2"/>
      <c r="K32" s="2"/>
      <c r="L32" s="2"/>
      <c r="M32" s="2"/>
      <c r="N32" s="2"/>
    </row>
    <row r="33" spans="2:14" ht="27.75" customHeight="1" x14ac:dyDescent="0.2">
      <c r="B33" s="13"/>
      <c r="C33" s="13"/>
      <c r="D33" s="13"/>
      <c r="E33" s="13"/>
      <c r="F33" s="13"/>
      <c r="G33" s="13"/>
      <c r="H33" s="13"/>
      <c r="I33" s="23"/>
      <c r="J33" s="13"/>
      <c r="K33" s="13"/>
      <c r="L33" s="13"/>
      <c r="M33" s="13"/>
      <c r="N33" s="13"/>
    </row>
    <row r="34" spans="2:14" ht="27.75" customHeight="1" x14ac:dyDescent="0.2">
      <c r="B34" s="2"/>
      <c r="C34" s="2"/>
      <c r="D34" s="2"/>
      <c r="E34" s="2"/>
      <c r="F34" s="2"/>
      <c r="G34" s="2"/>
      <c r="H34" s="2"/>
      <c r="I34" s="21"/>
      <c r="J34" s="2"/>
      <c r="K34" s="2"/>
      <c r="L34" s="2"/>
      <c r="M34" s="2"/>
      <c r="N34" s="2"/>
    </row>
    <row r="35" spans="2:14" ht="27.75" customHeight="1" x14ac:dyDescent="0.2">
      <c r="B35" s="13"/>
      <c r="C35" s="13"/>
      <c r="D35" s="13"/>
      <c r="E35" s="13"/>
      <c r="F35" s="13"/>
      <c r="G35" s="13"/>
      <c r="H35" s="13"/>
      <c r="I35" s="23"/>
      <c r="J35" s="13"/>
      <c r="K35" s="13"/>
      <c r="L35" s="13"/>
      <c r="M35" s="13"/>
      <c r="N35" s="13"/>
    </row>
    <row r="36" spans="2:14" ht="27.75" customHeight="1" x14ac:dyDescent="0.2">
      <c r="B36" s="2"/>
      <c r="C36" s="2"/>
      <c r="D36" s="2"/>
      <c r="E36" s="2"/>
      <c r="F36" s="2"/>
      <c r="G36" s="2"/>
      <c r="H36" s="2"/>
      <c r="I36" s="21"/>
      <c r="J36" s="2"/>
      <c r="K36" s="2"/>
      <c r="L36" s="2"/>
      <c r="M36" s="2"/>
      <c r="N36" s="2"/>
    </row>
    <row r="37" spans="2:14" ht="27.75" customHeight="1" x14ac:dyDescent="0.2">
      <c r="B37" s="13"/>
      <c r="C37" s="13"/>
      <c r="D37" s="13"/>
      <c r="E37" s="13"/>
      <c r="F37" s="13"/>
      <c r="G37" s="13"/>
      <c r="H37" s="13"/>
      <c r="I37" s="23"/>
      <c r="J37" s="13"/>
      <c r="K37" s="13"/>
      <c r="L37" s="13"/>
      <c r="M37" s="13"/>
      <c r="N37" s="13"/>
    </row>
    <row r="38" spans="2:14" ht="27.75" customHeight="1" x14ac:dyDescent="0.2">
      <c r="B38" s="2"/>
      <c r="C38" s="2"/>
      <c r="D38" s="2"/>
      <c r="E38" s="2"/>
      <c r="F38" s="2"/>
      <c r="G38" s="2"/>
      <c r="H38" s="2"/>
      <c r="I38" s="21"/>
      <c r="J38" s="2"/>
      <c r="K38" s="2"/>
      <c r="L38" s="2"/>
      <c r="M38" s="2"/>
      <c r="N38" s="2"/>
    </row>
    <row r="39" spans="2:14" ht="27.75" customHeight="1" x14ac:dyDescent="0.2">
      <c r="B39" s="13"/>
      <c r="C39" s="13"/>
      <c r="D39" s="13"/>
      <c r="E39" s="13"/>
      <c r="F39" s="13"/>
      <c r="G39" s="13"/>
      <c r="H39" s="13"/>
      <c r="I39" s="23"/>
      <c r="J39" s="13"/>
      <c r="K39" s="13"/>
      <c r="L39" s="13"/>
      <c r="M39" s="13"/>
      <c r="N39" s="13"/>
    </row>
    <row r="40" spans="2:14" ht="27.75" customHeight="1" x14ac:dyDescent="0.2">
      <c r="B40" s="2"/>
      <c r="C40" s="2"/>
      <c r="D40" s="2"/>
      <c r="E40" s="2"/>
      <c r="F40" s="2"/>
      <c r="G40" s="2"/>
      <c r="H40" s="2"/>
      <c r="I40" s="21"/>
      <c r="J40" s="2"/>
      <c r="K40" s="2"/>
      <c r="L40" s="2"/>
      <c r="M40" s="2"/>
      <c r="N40" s="2"/>
    </row>
    <row r="41" spans="2:14" ht="27.75" customHeight="1" x14ac:dyDescent="0.2">
      <c r="B41" s="13"/>
      <c r="C41" s="13"/>
      <c r="D41" s="13"/>
      <c r="E41" s="13"/>
      <c r="F41" s="13"/>
      <c r="G41" s="13"/>
      <c r="H41" s="13"/>
      <c r="I41" s="23"/>
      <c r="J41" s="13"/>
      <c r="K41" s="13"/>
      <c r="L41" s="13"/>
      <c r="M41" s="13"/>
      <c r="N41" s="13"/>
    </row>
    <row r="42" spans="2:14" ht="27.75" customHeight="1" x14ac:dyDescent="0.2">
      <c r="B42" s="2"/>
      <c r="C42" s="2"/>
      <c r="D42" s="2"/>
      <c r="E42" s="2"/>
      <c r="F42" s="2"/>
      <c r="G42" s="2"/>
      <c r="H42" s="2"/>
      <c r="I42" s="21"/>
      <c r="J42" s="2"/>
      <c r="K42" s="2"/>
      <c r="L42" s="2"/>
      <c r="M42" s="2"/>
      <c r="N42" s="2"/>
    </row>
    <row r="43" spans="2:14" ht="27.75" customHeight="1" x14ac:dyDescent="0.2">
      <c r="B43" s="13"/>
      <c r="C43" s="13"/>
      <c r="D43" s="13"/>
      <c r="E43" s="13"/>
      <c r="F43" s="13"/>
      <c r="G43" s="13"/>
      <c r="H43" s="13"/>
      <c r="I43" s="23"/>
      <c r="J43" s="13"/>
      <c r="K43" s="13"/>
      <c r="L43" s="13"/>
      <c r="M43" s="13"/>
      <c r="N43" s="13"/>
    </row>
    <row r="44" spans="2:14" ht="27.75" customHeight="1" x14ac:dyDescent="0.2">
      <c r="B44" s="2"/>
      <c r="C44" s="2"/>
      <c r="D44" s="2"/>
      <c r="E44" s="2"/>
      <c r="F44" s="2"/>
      <c r="G44" s="2"/>
      <c r="H44" s="2"/>
      <c r="I44" s="21"/>
      <c r="J44" s="2"/>
      <c r="K44" s="2"/>
      <c r="L44" s="2"/>
      <c r="M44" s="2"/>
      <c r="N44" s="2"/>
    </row>
    <row r="45" spans="2:14" ht="27.75" customHeight="1" x14ac:dyDescent="0.2">
      <c r="B45" s="13"/>
      <c r="C45" s="13"/>
      <c r="D45" s="13"/>
      <c r="E45" s="13"/>
      <c r="F45" s="13"/>
      <c r="G45" s="13"/>
      <c r="H45" s="13"/>
      <c r="I45" s="23"/>
      <c r="J45" s="13"/>
      <c r="K45" s="13"/>
      <c r="L45" s="13"/>
      <c r="M45" s="13"/>
      <c r="N45" s="13"/>
    </row>
    <row r="46" spans="2:14" ht="27.75" customHeight="1" x14ac:dyDescent="0.2">
      <c r="B46" s="2"/>
      <c r="C46" s="2"/>
      <c r="D46" s="2"/>
      <c r="E46" s="2"/>
      <c r="F46" s="2"/>
      <c r="G46" s="2"/>
      <c r="H46" s="2"/>
      <c r="I46" s="21"/>
      <c r="J46" s="2"/>
      <c r="K46" s="2"/>
      <c r="L46" s="2"/>
      <c r="M46" s="2"/>
      <c r="N46" s="2"/>
    </row>
    <row r="47" spans="2:14" ht="27.75" customHeight="1" x14ac:dyDescent="0.2">
      <c r="B47" s="13"/>
      <c r="C47" s="13"/>
      <c r="D47" s="13"/>
      <c r="E47" s="13"/>
      <c r="F47" s="13"/>
      <c r="G47" s="13"/>
      <c r="H47" s="13"/>
      <c r="I47" s="23"/>
      <c r="J47" s="13"/>
      <c r="K47" s="13"/>
      <c r="L47" s="13"/>
      <c r="M47" s="13"/>
      <c r="N47" s="13"/>
    </row>
    <row r="48" spans="2:14" ht="27.75" customHeight="1" x14ac:dyDescent="0.2">
      <c r="B48" s="2"/>
      <c r="C48" s="2"/>
      <c r="D48" s="2"/>
      <c r="E48" s="2"/>
      <c r="F48" s="2"/>
      <c r="G48" s="2"/>
      <c r="H48" s="2"/>
      <c r="I48" s="21"/>
      <c r="J48" s="2"/>
      <c r="K48" s="2"/>
      <c r="L48" s="2"/>
      <c r="M48" s="2"/>
      <c r="N48" s="2"/>
    </row>
    <row r="49" spans="2:14" ht="27.75" customHeight="1" x14ac:dyDescent="0.2">
      <c r="B49" s="13"/>
      <c r="C49" s="13"/>
      <c r="D49" s="13"/>
      <c r="E49" s="13"/>
      <c r="F49" s="13"/>
      <c r="G49" s="13"/>
      <c r="H49" s="13"/>
      <c r="I49" s="23"/>
      <c r="J49" s="13"/>
      <c r="K49" s="13"/>
      <c r="L49" s="13"/>
      <c r="M49" s="13"/>
      <c r="N49" s="13"/>
    </row>
    <row r="50" spans="2:14" ht="27.75" customHeight="1" x14ac:dyDescent="0.2">
      <c r="B50" s="2"/>
      <c r="C50" s="2"/>
      <c r="D50" s="2"/>
      <c r="E50" s="2"/>
      <c r="F50" s="2"/>
      <c r="G50" s="2"/>
      <c r="H50" s="2"/>
      <c r="I50" s="21"/>
      <c r="J50" s="2"/>
      <c r="K50" s="2"/>
      <c r="L50" s="2"/>
      <c r="M50" s="2"/>
      <c r="N50" s="2"/>
    </row>
    <row r="51" spans="2:14" ht="27.75" customHeight="1" x14ac:dyDescent="0.2">
      <c r="B51" s="13"/>
      <c r="C51" s="13"/>
      <c r="D51" s="13"/>
      <c r="E51" s="13"/>
      <c r="F51" s="13"/>
      <c r="G51" s="13"/>
      <c r="H51" s="13"/>
      <c r="I51" s="23"/>
      <c r="J51" s="13"/>
      <c r="K51" s="13"/>
      <c r="L51" s="13"/>
      <c r="M51" s="13"/>
      <c r="N51" s="13"/>
    </row>
    <row r="52" spans="2:14" ht="27.75" customHeight="1" x14ac:dyDescent="0.2">
      <c r="B52" s="2"/>
      <c r="C52" s="2"/>
      <c r="D52" s="2"/>
      <c r="E52" s="2"/>
      <c r="F52" s="2"/>
      <c r="G52" s="2"/>
      <c r="H52" s="2"/>
      <c r="I52" s="21"/>
      <c r="J52" s="2"/>
      <c r="K52" s="2"/>
      <c r="L52" s="2"/>
      <c r="M52" s="2"/>
      <c r="N52" s="2"/>
    </row>
    <row r="53" spans="2:14" ht="27.75" customHeight="1" x14ac:dyDescent="0.2">
      <c r="B53" s="13"/>
      <c r="C53" s="13"/>
      <c r="D53" s="13"/>
      <c r="E53" s="13"/>
      <c r="F53" s="13"/>
      <c r="G53" s="13"/>
      <c r="H53" s="13"/>
      <c r="I53" s="23"/>
      <c r="J53" s="13"/>
      <c r="K53" s="13"/>
      <c r="L53" s="13"/>
      <c r="M53" s="13"/>
      <c r="N53" s="13"/>
    </row>
    <row r="54" spans="2:14" ht="27.75" customHeight="1" x14ac:dyDescent="0.2">
      <c r="B54" s="2"/>
      <c r="C54" s="2"/>
      <c r="D54" s="2"/>
      <c r="E54" s="2"/>
      <c r="F54" s="2"/>
      <c r="G54" s="2"/>
      <c r="H54" s="2"/>
      <c r="I54" s="21"/>
      <c r="J54" s="2"/>
      <c r="K54" s="2"/>
      <c r="L54" s="2"/>
      <c r="M54" s="2"/>
      <c r="N54" s="2"/>
    </row>
    <row r="55" spans="2:14" ht="27.75" customHeight="1" x14ac:dyDescent="0.2">
      <c r="B55" s="13"/>
      <c r="C55" s="13"/>
      <c r="D55" s="13"/>
      <c r="E55" s="13"/>
      <c r="F55" s="13"/>
      <c r="G55" s="13"/>
      <c r="H55" s="13"/>
      <c r="I55" s="23"/>
      <c r="J55" s="13"/>
      <c r="K55" s="13"/>
      <c r="L55" s="13"/>
      <c r="M55" s="13"/>
      <c r="N55" s="13"/>
    </row>
    <row r="56" spans="2:14" ht="27.75" customHeight="1" x14ac:dyDescent="0.2">
      <c r="B56" s="2"/>
      <c r="C56" s="2"/>
      <c r="D56" s="2"/>
      <c r="E56" s="2"/>
      <c r="F56" s="2"/>
      <c r="G56" s="2"/>
      <c r="H56" s="2"/>
      <c r="I56" s="21"/>
      <c r="J56" s="2"/>
      <c r="K56" s="2"/>
      <c r="L56" s="2"/>
      <c r="M56" s="2"/>
      <c r="N56" s="2"/>
    </row>
    <row r="57" spans="2:14" ht="27.75" customHeight="1" x14ac:dyDescent="0.2">
      <c r="B57" s="13"/>
      <c r="C57" s="13"/>
      <c r="D57" s="13"/>
      <c r="E57" s="13"/>
      <c r="F57" s="13"/>
      <c r="G57" s="13"/>
      <c r="H57" s="13"/>
      <c r="I57" s="23"/>
      <c r="J57" s="13"/>
      <c r="K57" s="13"/>
      <c r="L57" s="13"/>
      <c r="M57" s="13"/>
      <c r="N57" s="13"/>
    </row>
    <row r="58" spans="2:14" ht="27.75" customHeight="1" x14ac:dyDescent="0.2">
      <c r="B58" s="2"/>
      <c r="C58" s="2"/>
      <c r="D58" s="2"/>
      <c r="E58" s="2"/>
      <c r="F58" s="2"/>
      <c r="G58" s="2"/>
      <c r="H58" s="2"/>
      <c r="I58" s="21"/>
      <c r="J58" s="2"/>
      <c r="K58" s="2"/>
      <c r="L58" s="2"/>
      <c r="M58" s="2"/>
      <c r="N58" s="2"/>
    </row>
    <row r="59" spans="2:14" ht="27.75" customHeight="1" x14ac:dyDescent="0.2">
      <c r="B59" s="13"/>
      <c r="C59" s="13"/>
      <c r="D59" s="13"/>
      <c r="E59" s="13"/>
      <c r="F59" s="13"/>
      <c r="G59" s="13"/>
      <c r="H59" s="13"/>
      <c r="I59" s="23"/>
      <c r="J59" s="13"/>
      <c r="K59" s="13"/>
      <c r="L59" s="13"/>
      <c r="M59" s="13"/>
      <c r="N59" s="13"/>
    </row>
    <row r="60" spans="2:14" ht="27.75" customHeight="1" x14ac:dyDescent="0.2">
      <c r="B60" s="2"/>
      <c r="C60" s="2"/>
      <c r="D60" s="2"/>
      <c r="E60" s="2"/>
      <c r="F60" s="2"/>
      <c r="G60" s="2"/>
      <c r="H60" s="2"/>
      <c r="I60" s="21"/>
      <c r="J60" s="2"/>
      <c r="K60" s="2"/>
      <c r="L60" s="2"/>
      <c r="M60" s="2"/>
      <c r="N60" s="2"/>
    </row>
    <row r="61" spans="2:14" ht="27.75" customHeight="1" x14ac:dyDescent="0.2">
      <c r="B61" s="13"/>
      <c r="C61" s="13"/>
      <c r="D61" s="13"/>
      <c r="E61" s="13"/>
      <c r="F61" s="13"/>
      <c r="G61" s="13"/>
      <c r="H61" s="13"/>
      <c r="I61" s="23"/>
      <c r="J61" s="13"/>
      <c r="K61" s="13"/>
      <c r="L61" s="13"/>
      <c r="M61" s="13"/>
      <c r="N61" s="13"/>
    </row>
    <row r="62" spans="2:14" ht="27.75" customHeight="1" x14ac:dyDescent="0.2">
      <c r="B62" s="2"/>
      <c r="C62" s="2"/>
      <c r="D62" s="2"/>
      <c r="E62" s="2"/>
      <c r="F62" s="2"/>
      <c r="G62" s="2"/>
      <c r="H62" s="2"/>
      <c r="I62" s="21"/>
      <c r="J62" s="2"/>
      <c r="K62" s="2"/>
      <c r="L62" s="2"/>
      <c r="M62" s="2"/>
      <c r="N62" s="2"/>
    </row>
    <row r="63" spans="2:14" ht="27.75" customHeight="1" x14ac:dyDescent="0.2">
      <c r="B63" s="13"/>
      <c r="C63" s="13"/>
      <c r="D63" s="13"/>
      <c r="E63" s="13"/>
      <c r="F63" s="13"/>
      <c r="G63" s="13"/>
      <c r="H63" s="13"/>
      <c r="I63" s="23"/>
      <c r="J63" s="13"/>
      <c r="K63" s="13"/>
      <c r="L63" s="13"/>
      <c r="M63" s="13"/>
      <c r="N63" s="13"/>
    </row>
    <row r="64" spans="2:14" ht="27.75" customHeight="1" x14ac:dyDescent="0.2">
      <c r="B64" s="2"/>
      <c r="C64" s="2"/>
      <c r="D64" s="2"/>
      <c r="E64" s="2"/>
      <c r="F64" s="2"/>
      <c r="G64" s="2"/>
      <c r="H64" s="2"/>
      <c r="I64" s="21"/>
      <c r="J64" s="2"/>
      <c r="K64" s="2"/>
      <c r="L64" s="2"/>
      <c r="M64" s="2"/>
      <c r="N64" s="2"/>
    </row>
    <row r="65" spans="2:14" ht="27.75" customHeight="1" x14ac:dyDescent="0.2">
      <c r="B65" s="13"/>
      <c r="C65" s="13"/>
      <c r="D65" s="13"/>
      <c r="E65" s="13"/>
      <c r="F65" s="13"/>
      <c r="G65" s="13"/>
      <c r="H65" s="13"/>
      <c r="I65" s="23"/>
      <c r="J65" s="13"/>
      <c r="K65" s="13"/>
      <c r="L65" s="13"/>
      <c r="M65" s="13"/>
      <c r="N65" s="13"/>
    </row>
    <row r="66" spans="2:14" ht="27.75" customHeight="1" x14ac:dyDescent="0.2">
      <c r="B66" s="2"/>
      <c r="C66" s="2"/>
      <c r="D66" s="2"/>
      <c r="E66" s="2"/>
      <c r="F66" s="2"/>
      <c r="G66" s="2"/>
      <c r="H66" s="2"/>
      <c r="I66" s="21"/>
      <c r="J66" s="2"/>
      <c r="K66" s="2"/>
      <c r="L66" s="2"/>
      <c r="M66" s="2"/>
      <c r="N66" s="2"/>
    </row>
    <row r="67" spans="2:14" ht="27.75" customHeight="1" x14ac:dyDescent="0.2">
      <c r="B67" s="13"/>
      <c r="C67" s="13"/>
      <c r="D67" s="13"/>
      <c r="E67" s="13"/>
      <c r="F67" s="13"/>
      <c r="G67" s="13"/>
      <c r="H67" s="13"/>
      <c r="I67" s="23"/>
      <c r="J67" s="13"/>
      <c r="K67" s="13"/>
      <c r="L67" s="13"/>
      <c r="M67" s="13"/>
      <c r="N67" s="13"/>
    </row>
    <row r="68" spans="2:14" ht="27.75" customHeight="1" x14ac:dyDescent="0.2">
      <c r="B68" s="2"/>
      <c r="C68" s="2"/>
      <c r="D68" s="2"/>
      <c r="E68" s="2"/>
      <c r="F68" s="2"/>
      <c r="G68" s="2"/>
      <c r="H68" s="2"/>
      <c r="I68" s="21"/>
      <c r="J68" s="2"/>
      <c r="K68" s="2"/>
      <c r="L68" s="2"/>
      <c r="M68" s="2"/>
      <c r="N68" s="2"/>
    </row>
    <row r="69" spans="2:14" ht="27.75" customHeight="1" x14ac:dyDescent="0.2">
      <c r="B69" s="13"/>
      <c r="C69" s="13"/>
      <c r="D69" s="13"/>
      <c r="E69" s="13"/>
      <c r="F69" s="13"/>
      <c r="G69" s="13"/>
      <c r="H69" s="13"/>
      <c r="I69" s="23"/>
      <c r="J69" s="13"/>
      <c r="K69" s="13"/>
      <c r="L69" s="13"/>
      <c r="M69" s="13"/>
      <c r="N69" s="13"/>
    </row>
    <row r="70" spans="2:14" ht="27.75" customHeight="1" x14ac:dyDescent="0.2">
      <c r="B70" s="2"/>
      <c r="C70" s="2"/>
      <c r="D70" s="2"/>
      <c r="E70" s="2"/>
      <c r="F70" s="2"/>
      <c r="G70" s="2"/>
      <c r="H70" s="2"/>
      <c r="I70" s="21"/>
      <c r="J70" s="2"/>
      <c r="K70" s="2"/>
      <c r="L70" s="2"/>
      <c r="M70" s="2"/>
      <c r="N70" s="2"/>
    </row>
    <row r="71" spans="2:14" ht="27.75" customHeight="1" x14ac:dyDescent="0.2">
      <c r="B71" s="13"/>
      <c r="C71" s="13"/>
      <c r="D71" s="13"/>
      <c r="E71" s="13"/>
      <c r="F71" s="13"/>
      <c r="G71" s="13"/>
      <c r="H71" s="13"/>
      <c r="I71" s="23"/>
      <c r="J71" s="13"/>
      <c r="K71" s="13"/>
      <c r="L71" s="13"/>
      <c r="M71" s="13"/>
      <c r="N71" s="13"/>
    </row>
    <row r="72" spans="2:14" ht="16.5" customHeight="1" x14ac:dyDescent="0.2"/>
    <row r="73" spans="2:14" ht="16.5" customHeight="1" x14ac:dyDescent="0.2"/>
    <row r="74" spans="2:14" ht="16.5" customHeight="1" x14ac:dyDescent="0.2"/>
    <row r="75" spans="2:14" ht="16.5" customHeight="1" x14ac:dyDescent="0.2">
      <c r="B75" s="17" t="s">
        <v>220</v>
      </c>
    </row>
    <row r="76" spans="2:14" ht="16.5" customHeight="1" x14ac:dyDescent="0.2"/>
    <row r="77" spans="2:14" ht="36" customHeight="1" x14ac:dyDescent="0.2">
      <c r="B77" s="8" t="s">
        <v>382</v>
      </c>
      <c r="C77" s="51" t="s">
        <v>389</v>
      </c>
      <c r="D77" s="51"/>
      <c r="E77" s="51"/>
      <c r="F77" s="51"/>
      <c r="G77" s="51"/>
      <c r="H77" s="51"/>
      <c r="I77" s="51"/>
      <c r="J77" s="51"/>
      <c r="K77" s="51"/>
      <c r="L77" s="51"/>
      <c r="M77" s="51"/>
    </row>
    <row r="78" spans="2:14" ht="36" customHeight="1" x14ac:dyDescent="0.2">
      <c r="B78" s="8" t="s">
        <v>383</v>
      </c>
      <c r="C78" s="51" t="s">
        <v>390</v>
      </c>
      <c r="D78" s="51"/>
      <c r="E78" s="51"/>
      <c r="F78" s="51"/>
      <c r="G78" s="51"/>
      <c r="H78" s="51"/>
      <c r="I78" s="51"/>
      <c r="J78" s="51"/>
      <c r="K78" s="51"/>
      <c r="L78" s="51"/>
      <c r="M78" s="51"/>
    </row>
    <row r="79" spans="2:14" ht="36" customHeight="1" x14ac:dyDescent="0.2">
      <c r="B79" s="8" t="s">
        <v>234</v>
      </c>
      <c r="C79" s="51" t="s">
        <v>391</v>
      </c>
      <c r="D79" s="51"/>
      <c r="E79" s="51"/>
      <c r="F79" s="51"/>
      <c r="G79" s="51"/>
      <c r="H79" s="51"/>
      <c r="I79" s="51"/>
      <c r="J79" s="51"/>
      <c r="K79" s="51"/>
      <c r="L79" s="51"/>
      <c r="M79" s="51"/>
    </row>
    <row r="80" spans="2:14" ht="36" customHeight="1" x14ac:dyDescent="0.2">
      <c r="B80" s="8" t="s">
        <v>386</v>
      </c>
      <c r="C80" s="51" t="s">
        <v>392</v>
      </c>
      <c r="D80" s="51"/>
      <c r="E80" s="51"/>
      <c r="F80" s="51"/>
      <c r="G80" s="51"/>
      <c r="H80" s="51"/>
      <c r="I80" s="51"/>
      <c r="J80" s="51"/>
      <c r="K80" s="51"/>
      <c r="L80" s="51"/>
      <c r="M80" s="51"/>
    </row>
    <row r="81" spans="2:13" ht="36" customHeight="1" x14ac:dyDescent="0.2">
      <c r="B81" s="8" t="s">
        <v>18</v>
      </c>
      <c r="C81" s="51" t="s">
        <v>393</v>
      </c>
      <c r="D81" s="51"/>
      <c r="E81" s="51"/>
      <c r="F81" s="51"/>
      <c r="G81" s="51"/>
      <c r="H81" s="51"/>
      <c r="I81" s="51"/>
      <c r="J81" s="51"/>
      <c r="K81" s="51"/>
      <c r="L81" s="51"/>
      <c r="M81" s="51"/>
    </row>
    <row r="82" spans="2:13" ht="36" customHeight="1" x14ac:dyDescent="0.2">
      <c r="B82" s="8" t="s">
        <v>394</v>
      </c>
      <c r="C82" s="51" t="s">
        <v>395</v>
      </c>
      <c r="D82" s="51"/>
      <c r="E82" s="51"/>
      <c r="F82" s="51"/>
      <c r="G82" s="51"/>
      <c r="H82" s="51"/>
      <c r="I82" s="51"/>
      <c r="J82" s="51"/>
      <c r="K82" s="51"/>
      <c r="L82" s="51"/>
      <c r="M82" s="51"/>
    </row>
    <row r="83" spans="2:13" ht="36" customHeight="1" x14ac:dyDescent="0.2">
      <c r="B83" s="8" t="s">
        <v>396</v>
      </c>
      <c r="C83" s="51" t="s">
        <v>397</v>
      </c>
      <c r="D83" s="51"/>
      <c r="E83" s="51"/>
      <c r="F83" s="51"/>
      <c r="G83" s="51"/>
      <c r="H83" s="51"/>
      <c r="I83" s="51"/>
      <c r="J83" s="51"/>
      <c r="K83" s="51"/>
      <c r="L83" s="51"/>
      <c r="M83" s="51"/>
    </row>
    <row r="84" spans="2:13" ht="36" customHeight="1" x14ac:dyDescent="0.2">
      <c r="B84" s="8" t="s">
        <v>377</v>
      </c>
      <c r="C84" s="51" t="s">
        <v>398</v>
      </c>
      <c r="D84" s="51"/>
      <c r="E84" s="51"/>
      <c r="F84" s="51"/>
      <c r="G84" s="51"/>
      <c r="H84" s="51"/>
      <c r="I84" s="51"/>
      <c r="J84" s="51"/>
      <c r="K84" s="51"/>
      <c r="L84" s="51"/>
      <c r="M84" s="51"/>
    </row>
  </sheetData>
  <mergeCells count="8">
    <mergeCell ref="C82:M82"/>
    <mergeCell ref="C83:M83"/>
    <mergeCell ref="C84:M84"/>
    <mergeCell ref="C77:M77"/>
    <mergeCell ref="C78:M78"/>
    <mergeCell ref="C79:M79"/>
    <mergeCell ref="C80:M80"/>
    <mergeCell ref="C81:M81"/>
  </mergeCells>
  <conditionalFormatting sqref="I12:I71">
    <cfRule type="expression" dxfId="8" priority="10">
      <formula>AND(I12&lt;&gt;"",I12&lt;TODAY(),K12&lt;&gt;"Done",K12&lt;&gt;"Verified",K12&lt;&gt;"Dropped")</formula>
    </cfRule>
  </conditionalFormatting>
  <conditionalFormatting sqref="K12:K71">
    <cfRule type="expression" dxfId="7" priority="2">
      <formula>OR(EXACT(K12,"Verified"),EXACT(K12,"Done"))</formula>
    </cfRule>
    <cfRule type="expression" dxfId="6" priority="3">
      <formula>EXACT(K12,"In Progress")</formula>
    </cfRule>
    <cfRule type="expression" dxfId="5" priority="4">
      <formula>OR(EXACT(K12,"Open"),EXACT(K12,"Dropped"))</formula>
    </cfRule>
  </conditionalFormatting>
  <conditionalFormatting sqref="L12:L71">
    <cfRule type="expression" dxfId="4" priority="5">
      <formula>EXACT(L12,"Confirmed effective")</formula>
    </cfRule>
    <cfRule type="expression" dxfId="3" priority="6">
      <formula>EXACT(L12,"Not effective")</formula>
    </cfRule>
    <cfRule type="expression" dxfId="2" priority="7">
      <formula>EXACT(L12,"Partially effective")</formula>
    </cfRule>
  </conditionalFormatting>
  <conditionalFormatting sqref="M12:M71">
    <cfRule type="expression" dxfId="1" priority="8">
      <formula>EXACT(M12,"Yes")</formula>
    </cfRule>
    <cfRule type="expression" dxfId="0" priority="9">
      <formula>EXACT(M12,"No")</formula>
    </cfRule>
  </conditionalFormatting>
  <dataValidations count="6">
    <dataValidation type="list" allowBlank="1" sqref="D12:D71" xr:uid="{00000000-0002-0000-0E00-000000000000}">
      <formula1>"SEV-1,SEV-2,SEV-3,SEV-4"</formula1>
      <formula2>0</formula2>
    </dataValidation>
    <dataValidation type="list" allowBlank="1" sqref="E12:E71" xr:uid="{00000000-0002-0000-0E00-000001000000}">
      <formula1>"Code fix,Infrastructure,Process,Tooling,Training,Policy,Detection / monitoring"</formula1>
      <formula2>0</formula2>
    </dataValidation>
    <dataValidation type="list" allowBlank="1" sqref="J12:J71" xr:uid="{00000000-0002-0000-0E00-000002000000}">
      <formula1>"P0 (immediate),P1 (this sprint),P2 (this quarter),P3 (backlog)"</formula1>
      <formula2>0</formula2>
    </dataValidation>
    <dataValidation type="list" allowBlank="1" sqref="K12:K71" xr:uid="{00000000-0002-0000-0E00-000003000000}">
      <formula1>"Open,In Progress,Done,Verified,Dropped"</formula1>
      <formula2>0</formula2>
    </dataValidation>
    <dataValidation type="list" allowBlank="1" sqref="L12:L71" xr:uid="{00000000-0002-0000-0E00-000004000000}">
      <formula1>"Not yet verified,Confirmed effective,Partially effective,Not effective"</formula1>
      <formula2>0</formula2>
    </dataValidation>
    <dataValidation type="list" allowBlank="1" sqref="M12:M71" xr:uid="{00000000-0002-0000-0E00-000005000000}">
      <formula1>"No,Yes,N/A — verification pending"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H30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8" customWidth="1"/>
    <col min="3" max="3" width="14" customWidth="1"/>
    <col min="4" max="4" width="16" customWidth="1"/>
    <col min="5" max="6" width="36" customWidth="1"/>
    <col min="7" max="7" width="22" customWidth="1"/>
    <col min="8" max="8" width="18" customWidth="1"/>
  </cols>
  <sheetData>
    <row r="1" spans="2:8" ht="16.5" customHeight="1" x14ac:dyDescent="0.2"/>
    <row r="2" spans="2:8" ht="27.75" customHeight="1" x14ac:dyDescent="0.2">
      <c r="B2" s="14" t="s">
        <v>92</v>
      </c>
    </row>
    <row r="3" spans="2:8" ht="16.5" customHeight="1" x14ac:dyDescent="0.2">
      <c r="B3" s="5" t="s">
        <v>399</v>
      </c>
    </row>
    <row r="4" spans="2:8" ht="16.5" customHeight="1" x14ac:dyDescent="0.2"/>
    <row r="5" spans="2:8" ht="31.5" customHeight="1" x14ac:dyDescent="0.2">
      <c r="B5" s="9" t="s">
        <v>233</v>
      </c>
      <c r="C5" s="9" t="s">
        <v>124</v>
      </c>
      <c r="D5" s="9" t="s">
        <v>282</v>
      </c>
      <c r="E5" s="9" t="s">
        <v>400</v>
      </c>
      <c r="F5" s="9" t="s">
        <v>401</v>
      </c>
      <c r="G5" s="9" t="s">
        <v>402</v>
      </c>
      <c r="H5" s="9" t="s">
        <v>18</v>
      </c>
    </row>
    <row r="6" spans="2:8" ht="27.75" customHeight="1" x14ac:dyDescent="0.2">
      <c r="B6" s="2"/>
      <c r="C6" s="21"/>
      <c r="D6" s="2"/>
      <c r="E6" s="2"/>
      <c r="F6" s="2"/>
      <c r="G6" s="2"/>
      <c r="H6" s="2"/>
    </row>
    <row r="7" spans="2:8" ht="27.75" customHeight="1" x14ac:dyDescent="0.2">
      <c r="B7" s="13"/>
      <c r="C7" s="23"/>
      <c r="D7" s="13"/>
      <c r="E7" s="13"/>
      <c r="F7" s="13"/>
      <c r="G7" s="13"/>
      <c r="H7" s="13"/>
    </row>
    <row r="8" spans="2:8" ht="27.75" customHeight="1" x14ac:dyDescent="0.2">
      <c r="B8" s="2"/>
      <c r="C8" s="21"/>
      <c r="D8" s="2"/>
      <c r="E8" s="2"/>
      <c r="F8" s="2"/>
      <c r="G8" s="2"/>
      <c r="H8" s="2"/>
    </row>
    <row r="9" spans="2:8" ht="27.75" customHeight="1" x14ac:dyDescent="0.2">
      <c r="B9" s="13"/>
      <c r="C9" s="23"/>
      <c r="D9" s="13"/>
      <c r="E9" s="13"/>
      <c r="F9" s="13"/>
      <c r="G9" s="13"/>
      <c r="H9" s="13"/>
    </row>
    <row r="10" spans="2:8" ht="27.75" customHeight="1" x14ac:dyDescent="0.2">
      <c r="B10" s="2"/>
      <c r="C10" s="21"/>
      <c r="D10" s="2"/>
      <c r="E10" s="2"/>
      <c r="F10" s="2"/>
      <c r="G10" s="2"/>
      <c r="H10" s="2"/>
    </row>
    <row r="11" spans="2:8" ht="27.75" customHeight="1" x14ac:dyDescent="0.2">
      <c r="B11" s="13"/>
      <c r="C11" s="23"/>
      <c r="D11" s="13"/>
      <c r="E11" s="13"/>
      <c r="F11" s="13"/>
      <c r="G11" s="13"/>
      <c r="H11" s="13"/>
    </row>
    <row r="12" spans="2:8" ht="27.75" customHeight="1" x14ac:dyDescent="0.2">
      <c r="B12" s="2"/>
      <c r="C12" s="21"/>
      <c r="D12" s="2"/>
      <c r="E12" s="2"/>
      <c r="F12" s="2"/>
      <c r="G12" s="2"/>
      <c r="H12" s="2"/>
    </row>
    <row r="13" spans="2:8" ht="27.75" customHeight="1" x14ac:dyDescent="0.2">
      <c r="B13" s="13"/>
      <c r="C13" s="23"/>
      <c r="D13" s="13"/>
      <c r="E13" s="13"/>
      <c r="F13" s="13"/>
      <c r="G13" s="13"/>
      <c r="H13" s="13"/>
    </row>
    <row r="14" spans="2:8" ht="27.75" customHeight="1" x14ac:dyDescent="0.2">
      <c r="B14" s="2"/>
      <c r="C14" s="21"/>
      <c r="D14" s="2"/>
      <c r="E14" s="2"/>
      <c r="F14" s="2"/>
      <c r="G14" s="2"/>
      <c r="H14" s="2"/>
    </row>
    <row r="15" spans="2:8" ht="27.75" customHeight="1" x14ac:dyDescent="0.2">
      <c r="B15" s="13"/>
      <c r="C15" s="23"/>
      <c r="D15" s="13"/>
      <c r="E15" s="13"/>
      <c r="F15" s="13"/>
      <c r="G15" s="13"/>
      <c r="H15" s="13"/>
    </row>
    <row r="16" spans="2:8" ht="27.75" customHeight="1" x14ac:dyDescent="0.2">
      <c r="B16" s="2"/>
      <c r="C16" s="21"/>
      <c r="D16" s="2"/>
      <c r="E16" s="2"/>
      <c r="F16" s="2"/>
      <c r="G16" s="2"/>
      <c r="H16" s="2"/>
    </row>
    <row r="17" spans="2:8" ht="27.75" customHeight="1" x14ac:dyDescent="0.2">
      <c r="B17" s="13"/>
      <c r="C17" s="23"/>
      <c r="D17" s="13"/>
      <c r="E17" s="13"/>
      <c r="F17" s="13"/>
      <c r="G17" s="13"/>
      <c r="H17" s="13"/>
    </row>
    <row r="18" spans="2:8" ht="27.75" customHeight="1" x14ac:dyDescent="0.2">
      <c r="B18" s="2"/>
      <c r="C18" s="21"/>
      <c r="D18" s="2"/>
      <c r="E18" s="2"/>
      <c r="F18" s="2"/>
      <c r="G18" s="2"/>
      <c r="H18" s="2"/>
    </row>
    <row r="19" spans="2:8" ht="27.75" customHeight="1" x14ac:dyDescent="0.2">
      <c r="B19" s="13"/>
      <c r="C19" s="23"/>
      <c r="D19" s="13"/>
      <c r="E19" s="13"/>
      <c r="F19" s="13"/>
      <c r="G19" s="13"/>
      <c r="H19" s="13"/>
    </row>
    <row r="20" spans="2:8" ht="27.75" customHeight="1" x14ac:dyDescent="0.2">
      <c r="B20" s="2"/>
      <c r="C20" s="21"/>
      <c r="D20" s="2"/>
      <c r="E20" s="2"/>
      <c r="F20" s="2"/>
      <c r="G20" s="2"/>
      <c r="H20" s="2"/>
    </row>
    <row r="21" spans="2:8" ht="27.75" customHeight="1" x14ac:dyDescent="0.2">
      <c r="B21" s="13"/>
      <c r="C21" s="23"/>
      <c r="D21" s="13"/>
      <c r="E21" s="13"/>
      <c r="F21" s="13"/>
      <c r="G21" s="13"/>
      <c r="H21" s="13"/>
    </row>
    <row r="22" spans="2:8" ht="27.75" customHeight="1" x14ac:dyDescent="0.2">
      <c r="B22" s="2"/>
      <c r="C22" s="21"/>
      <c r="D22" s="2"/>
      <c r="E22" s="2"/>
      <c r="F22" s="2"/>
      <c r="G22" s="2"/>
      <c r="H22" s="2"/>
    </row>
    <row r="23" spans="2:8" ht="27.75" customHeight="1" x14ac:dyDescent="0.2">
      <c r="B23" s="13"/>
      <c r="C23" s="23"/>
      <c r="D23" s="13"/>
      <c r="E23" s="13"/>
      <c r="F23" s="13"/>
      <c r="G23" s="13"/>
      <c r="H23" s="13"/>
    </row>
    <row r="24" spans="2:8" ht="27.75" customHeight="1" x14ac:dyDescent="0.2">
      <c r="B24" s="2"/>
      <c r="C24" s="21"/>
      <c r="D24" s="2"/>
      <c r="E24" s="2"/>
      <c r="F24" s="2"/>
      <c r="G24" s="2"/>
      <c r="H24" s="2"/>
    </row>
    <row r="25" spans="2:8" ht="27.75" customHeight="1" x14ac:dyDescent="0.2">
      <c r="B25" s="13"/>
      <c r="C25" s="23"/>
      <c r="D25" s="13"/>
      <c r="E25" s="13"/>
      <c r="F25" s="13"/>
      <c r="G25" s="13"/>
      <c r="H25" s="13"/>
    </row>
    <row r="26" spans="2:8" ht="27.75" customHeight="1" x14ac:dyDescent="0.2">
      <c r="B26" s="2"/>
      <c r="C26" s="21"/>
      <c r="D26" s="2"/>
      <c r="E26" s="2"/>
      <c r="F26" s="2"/>
      <c r="G26" s="2"/>
      <c r="H26" s="2"/>
    </row>
    <row r="27" spans="2:8" ht="27.75" customHeight="1" x14ac:dyDescent="0.2">
      <c r="B27" s="13"/>
      <c r="C27" s="23"/>
      <c r="D27" s="13"/>
      <c r="E27" s="13"/>
      <c r="F27" s="13"/>
      <c r="G27" s="13"/>
      <c r="H27" s="13"/>
    </row>
    <row r="28" spans="2:8" ht="27.75" customHeight="1" x14ac:dyDescent="0.2">
      <c r="B28" s="2"/>
      <c r="C28" s="21"/>
      <c r="D28" s="2"/>
      <c r="E28" s="2"/>
      <c r="F28" s="2"/>
      <c r="G28" s="2"/>
      <c r="H28" s="2"/>
    </row>
    <row r="29" spans="2:8" ht="27.75" customHeight="1" x14ac:dyDescent="0.2">
      <c r="B29" s="13"/>
      <c r="C29" s="23"/>
      <c r="D29" s="13"/>
      <c r="E29" s="13"/>
      <c r="F29" s="13"/>
      <c r="G29" s="13"/>
      <c r="H29" s="13"/>
    </row>
    <row r="30" spans="2:8" ht="27.75" customHeight="1" x14ac:dyDescent="0.2">
      <c r="B30" s="2"/>
      <c r="C30" s="21"/>
      <c r="D30" s="2"/>
      <c r="E30" s="2"/>
      <c r="F30" s="2"/>
      <c r="G30" s="2"/>
      <c r="H30" s="2"/>
    </row>
  </sheetData>
  <dataValidations count="2">
    <dataValidation type="list" allowBlank="1" sqref="D6:D30" xr:uid="{00000000-0002-0000-0F00-000000000000}">
      <formula1>"Process,Tools,Comms,Staffing,Vendor,Technical,Strategic,Stakeholder"</formula1>
      <formula2>0</formula2>
    </dataValidation>
    <dataValidation type="list" allowBlank="1" sqref="H6:H30" xr:uid="{00000000-0002-0000-0F00-000001000000}">
      <formula1>"Captured,Shared,Applied,In knowledge base"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C3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8" customWidth="1"/>
    <col min="3" max="3" width="70" customWidth="1"/>
  </cols>
  <sheetData>
    <row r="1" spans="2:3" ht="16.5" customHeight="1" x14ac:dyDescent="0.2"/>
    <row r="2" spans="2:3" ht="27.75" customHeight="1" x14ac:dyDescent="0.2">
      <c r="B2" s="14" t="s">
        <v>403</v>
      </c>
    </row>
    <row r="3" spans="2:3" ht="16.5" customHeight="1" x14ac:dyDescent="0.2">
      <c r="B3" s="5" t="s">
        <v>404</v>
      </c>
    </row>
    <row r="4" spans="2:3" ht="16.5" customHeight="1" x14ac:dyDescent="0.2"/>
    <row r="5" spans="2:3" ht="27.75" customHeight="1" x14ac:dyDescent="0.2">
      <c r="B5" s="8" t="s">
        <v>4</v>
      </c>
      <c r="C5" s="3"/>
    </row>
    <row r="6" spans="2:3" ht="27.75" customHeight="1" x14ac:dyDescent="0.2">
      <c r="B6" s="8" t="s">
        <v>405</v>
      </c>
      <c r="C6" s="3"/>
    </row>
    <row r="7" spans="2:3" ht="27.75" customHeight="1" x14ac:dyDescent="0.2">
      <c r="B7" s="8" t="s">
        <v>341</v>
      </c>
      <c r="C7" s="3"/>
    </row>
    <row r="8" spans="2:3" ht="21.75" customHeight="1" x14ac:dyDescent="0.2">
      <c r="B8" s="50" t="s">
        <v>406</v>
      </c>
      <c r="C8" s="50"/>
    </row>
    <row r="9" spans="2:3" ht="36" customHeight="1" x14ac:dyDescent="0.2">
      <c r="B9" s="8" t="s">
        <v>407</v>
      </c>
      <c r="C9" s="1" t="s">
        <v>408</v>
      </c>
    </row>
    <row r="10" spans="2:3" ht="36" customHeight="1" x14ac:dyDescent="0.2">
      <c r="B10" s="8" t="s">
        <v>409</v>
      </c>
      <c r="C10" s="1" t="s">
        <v>410</v>
      </c>
    </row>
    <row r="11" spans="2:3" ht="36" customHeight="1" x14ac:dyDescent="0.2">
      <c r="B11" s="8" t="s">
        <v>411</v>
      </c>
      <c r="C11" s="1" t="s">
        <v>412</v>
      </c>
    </row>
    <row r="12" spans="2:3" ht="36" customHeight="1" x14ac:dyDescent="0.2">
      <c r="B12" s="8" t="s">
        <v>413</v>
      </c>
      <c r="C12" s="1" t="s">
        <v>414</v>
      </c>
    </row>
    <row r="13" spans="2:3" ht="36" customHeight="1" x14ac:dyDescent="0.2">
      <c r="B13" s="8" t="s">
        <v>415</v>
      </c>
      <c r="C13" s="1" t="s">
        <v>416</v>
      </c>
    </row>
    <row r="14" spans="2:3" ht="21.75" customHeight="1" x14ac:dyDescent="0.2">
      <c r="B14" s="50" t="s">
        <v>417</v>
      </c>
      <c r="C14" s="50"/>
    </row>
    <row r="15" spans="2:3" ht="36" customHeight="1" x14ac:dyDescent="0.2">
      <c r="B15" s="8" t="s">
        <v>418</v>
      </c>
      <c r="C15" s="1" t="s">
        <v>419</v>
      </c>
    </row>
    <row r="16" spans="2:3" ht="36" customHeight="1" x14ac:dyDescent="0.2">
      <c r="B16" s="8" t="s">
        <v>420</v>
      </c>
      <c r="C16" s="1" t="s">
        <v>421</v>
      </c>
    </row>
    <row r="17" spans="2:3" ht="36" customHeight="1" x14ac:dyDescent="0.2">
      <c r="B17" s="8" t="s">
        <v>422</v>
      </c>
      <c r="C17" s="1" t="s">
        <v>423</v>
      </c>
    </row>
    <row r="18" spans="2:3" ht="36" customHeight="1" x14ac:dyDescent="0.2">
      <c r="B18" s="8" t="s">
        <v>424</v>
      </c>
      <c r="C18" s="1" t="s">
        <v>425</v>
      </c>
    </row>
    <row r="19" spans="2:3" ht="36" customHeight="1" x14ac:dyDescent="0.2">
      <c r="B19" s="8" t="s">
        <v>426</v>
      </c>
      <c r="C19" s="1" t="s">
        <v>427</v>
      </c>
    </row>
    <row r="20" spans="2:3" ht="21.75" customHeight="1" x14ac:dyDescent="0.2">
      <c r="B20" s="50" t="s">
        <v>428</v>
      </c>
      <c r="C20" s="50"/>
    </row>
    <row r="21" spans="2:3" ht="36" customHeight="1" x14ac:dyDescent="0.2">
      <c r="B21" s="8" t="s">
        <v>429</v>
      </c>
      <c r="C21" s="1" t="s">
        <v>430</v>
      </c>
    </row>
    <row r="22" spans="2:3" ht="36" customHeight="1" x14ac:dyDescent="0.2">
      <c r="B22" s="8" t="s">
        <v>431</v>
      </c>
      <c r="C22" s="1" t="s">
        <v>432</v>
      </c>
    </row>
    <row r="23" spans="2:3" ht="36" customHeight="1" x14ac:dyDescent="0.2">
      <c r="B23" s="8" t="s">
        <v>433</v>
      </c>
      <c r="C23" s="1" t="s">
        <v>434</v>
      </c>
    </row>
    <row r="24" spans="2:3" ht="21.75" customHeight="1" x14ac:dyDescent="0.2">
      <c r="B24" s="50" t="s">
        <v>435</v>
      </c>
      <c r="C24" s="50"/>
    </row>
    <row r="25" spans="2:3" ht="36" customHeight="1" x14ac:dyDescent="0.2">
      <c r="B25" s="8" t="s">
        <v>436</v>
      </c>
      <c r="C25" s="1" t="s">
        <v>437</v>
      </c>
    </row>
    <row r="26" spans="2:3" ht="36" customHeight="1" x14ac:dyDescent="0.2">
      <c r="B26" s="8" t="s">
        <v>438</v>
      </c>
      <c r="C26" s="1" t="s">
        <v>439</v>
      </c>
    </row>
    <row r="27" spans="2:3" ht="36" customHeight="1" x14ac:dyDescent="0.2">
      <c r="B27" s="8" t="s">
        <v>440</v>
      </c>
      <c r="C27" s="1" t="s">
        <v>441</v>
      </c>
    </row>
    <row r="28" spans="2:3" ht="21.75" customHeight="1" x14ac:dyDescent="0.2">
      <c r="B28" s="50" t="s">
        <v>442</v>
      </c>
      <c r="C28" s="50"/>
    </row>
    <row r="29" spans="2:3" ht="36" customHeight="1" x14ac:dyDescent="0.2">
      <c r="B29" s="8" t="s">
        <v>443</v>
      </c>
      <c r="C29" s="1" t="s">
        <v>444</v>
      </c>
    </row>
    <row r="30" spans="2:3" ht="36" customHeight="1" x14ac:dyDescent="0.2">
      <c r="B30" s="8" t="s">
        <v>445</v>
      </c>
      <c r="C30" s="1" t="s">
        <v>446</v>
      </c>
    </row>
    <row r="31" spans="2:3" ht="36" customHeight="1" x14ac:dyDescent="0.2">
      <c r="B31" s="8" t="s">
        <v>447</v>
      </c>
      <c r="C31" s="1" t="s">
        <v>448</v>
      </c>
    </row>
    <row r="32" spans="2:3" ht="21.75" customHeight="1" x14ac:dyDescent="0.2">
      <c r="B32" s="50" t="s">
        <v>449</v>
      </c>
      <c r="C32" s="50"/>
    </row>
    <row r="33" spans="2:3" ht="36" customHeight="1" x14ac:dyDescent="0.2">
      <c r="B33" s="8" t="s">
        <v>450</v>
      </c>
      <c r="C33" s="1" t="s">
        <v>451</v>
      </c>
    </row>
    <row r="34" spans="2:3" ht="36" customHeight="1" x14ac:dyDescent="0.2">
      <c r="B34" s="8" t="s">
        <v>452</v>
      </c>
      <c r="C34" s="1" t="s">
        <v>453</v>
      </c>
    </row>
    <row r="35" spans="2:3" ht="36" customHeight="1" x14ac:dyDescent="0.2">
      <c r="B35" s="8" t="s">
        <v>454</v>
      </c>
      <c r="C35" s="1" t="s">
        <v>455</v>
      </c>
    </row>
    <row r="36" spans="2:3" ht="21.75" customHeight="1" x14ac:dyDescent="0.2">
      <c r="B36" s="50" t="s">
        <v>176</v>
      </c>
      <c r="C36" s="50"/>
    </row>
    <row r="37" spans="2:3" ht="36" customHeight="1" x14ac:dyDescent="0.2">
      <c r="B37" s="8" t="s">
        <v>456</v>
      </c>
      <c r="C37" s="1" t="s">
        <v>180</v>
      </c>
    </row>
    <row r="38" spans="2:3" ht="36" customHeight="1" x14ac:dyDescent="0.2">
      <c r="B38" s="8" t="s">
        <v>457</v>
      </c>
      <c r="C38" s="1" t="s">
        <v>180</v>
      </c>
    </row>
    <row r="39" spans="2:3" ht="36" customHeight="1" x14ac:dyDescent="0.2">
      <c r="B39" s="8" t="s">
        <v>458</v>
      </c>
      <c r="C39" s="1" t="s">
        <v>180</v>
      </c>
    </row>
  </sheetData>
  <mergeCells count="7">
    <mergeCell ref="B32:C32"/>
    <mergeCell ref="B36:C36"/>
    <mergeCell ref="B8:C8"/>
    <mergeCell ref="B14:C14"/>
    <mergeCell ref="B20:C20"/>
    <mergeCell ref="B24:C24"/>
    <mergeCell ref="B28:C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Charter</vt:lpstr>
      <vt:lpstr>Stakeholders</vt:lpstr>
      <vt:lpstr>RACI</vt:lpstr>
      <vt:lpstr>Requirements</vt:lpstr>
      <vt:lpstr>RAID Log</vt:lpstr>
      <vt:lpstr>Schedule</vt:lpstr>
      <vt:lpstr>Resources</vt:lpstr>
      <vt:lpstr>Budget</vt:lpstr>
      <vt:lpstr>Decisions &amp; Changes</vt:lpstr>
      <vt:lpstr>Action Items</vt:lpstr>
      <vt:lpstr>Vendor Management</vt:lpstr>
      <vt:lpstr>Status Reports</vt:lpstr>
      <vt:lpstr>UAT Log</vt:lpstr>
      <vt:lpstr>Post-Incident Actions</vt:lpstr>
      <vt:lpstr>Lessons Learned</vt:lpstr>
      <vt:lpstr>Closeout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Candice Williams</cp:lastModifiedBy>
  <cp:revision>0</cp:revision>
  <dcterms:created xsi:type="dcterms:W3CDTF">2026-04-28T01:50:10Z</dcterms:created>
  <dcterms:modified xsi:type="dcterms:W3CDTF">2026-05-03T21:56:33Z</dcterms:modified>
  <cp:category/>
  <dc:language>en-US</dc:language>
</cp:coreProperties>
</file>