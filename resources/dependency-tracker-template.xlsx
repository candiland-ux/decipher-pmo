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endency Register" sheetId="1" state="visible" r:id="rId3"/>
    <sheet name="Dashboard" sheetId="2" state="visible" r:id="rId4"/>
    <sheet name="Summary" sheetId="3" state="visible" r:id="rId5"/>
    <sheet name="PivotSource" sheetId="4" state="visible" r:id="rId6"/>
    <sheet name="Initiative Scorec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Unique ID (DEP-01, DEP-02...). Never reuse an ID, even after a row is closed.</t>
        </r>
      </text>
    </comment>
    <comment ref="B2" authorId="0">
      <text>
        <r>
          <rPr>
            <sz val="10"/>
            <rFont val="Arial"/>
            <family val="2"/>
          </rPr>
          <t xml:space="preserve">Needs = we need this from another team or program.
Feeds = another team or program is waiting on this from us.
Internal = one program project waits on another.</t>
        </r>
      </text>
    </comment>
    <comment ref="C2" authorId="0">
      <text>
        <r>
          <rPr>
            <sz val="10"/>
            <rFont val="Arial"/>
            <family val="2"/>
          </rPr>
          <t xml:space="preserve">The team or program delivering the item. Pick the group whose owner can actually commit a date.</t>
        </r>
      </text>
    </comment>
    <comment ref="D2" authorId="0">
      <text>
        <r>
          <rPr>
            <sz val="10"/>
            <rFont val="Arial"/>
            <family val="2"/>
          </rPr>
          <t xml:space="preserve">The specific thing handed over — a data feed, decision, environment, resource, or document. Name it precisely enough that delivery is unambiguous.</t>
        </r>
      </text>
    </comment>
    <comment ref="E2" authorId="0">
      <text>
        <r>
          <rPr>
            <sz val="10"/>
            <rFont val="Arial"/>
            <family val="2"/>
          </rPr>
          <t xml:space="preserve">The team or program whose work consumes the deliverable.</t>
        </r>
      </text>
    </comment>
    <comment ref="F2" authorId="0">
      <text>
        <r>
          <rPr>
            <sz val="10"/>
            <rFont val="Arial"/>
            <family val="2"/>
          </rPr>
          <t xml:space="preserve">The milestone or work item that cannot proceed (or degrades) without the deliverable.</t>
        </r>
      </text>
    </comment>
    <comment ref="G2" authorId="0">
      <text>
        <r>
          <rPr>
            <sz val="10"/>
            <rFont val="Arial"/>
            <family val="2"/>
          </rPr>
          <t xml:space="preserve">One or two sentences: what is needed and why the receiving work is blocked or at risk without it. Written so someone outside the program understands it.</t>
        </r>
      </text>
    </comment>
    <comment ref="H2" authorId="0">
      <text>
        <r>
          <rPr>
            <sz val="10"/>
            <rFont val="Arial"/>
            <family val="2"/>
          </rPr>
          <t xml:space="preserve">The nature of the dependency — pick the closest fit. Drives who needs to be in the room to resolve it.</t>
        </r>
      </text>
    </comment>
    <comment ref="I2" authorId="0">
      <text>
        <r>
          <rPr>
            <sz val="10"/>
            <rFont val="Arial"/>
            <family val="2"/>
          </rPr>
          <t xml:space="preserve">Hard = the receiving work cannot start or finish without it.
Soft = the receiving work proceeds, but with risk or degradation.</t>
        </r>
      </text>
    </comment>
    <comment ref="J2" authorId="0">
      <text>
        <r>
          <rPr>
            <sz val="10"/>
            <rFont val="Arial"/>
            <family val="2"/>
          </rPr>
          <t xml:space="preserve">Gate-Blocking = a stage gate cannot pass without it.
Milestone = a milestone slips without it.</t>
        </r>
      </text>
    </comment>
    <comment ref="K2" authorId="0">
      <text>
        <r>
          <rPr>
            <sz val="10"/>
            <rFont val="Arial"/>
            <family val="2"/>
          </rPr>
          <t xml:space="preserve">The stage gate whose entry or exit criteria this dependency affects. Required for every Gate-Blocking item.</t>
        </r>
      </text>
    </comment>
    <comment ref="L2" authorId="0">
      <text>
        <r>
          <rPr>
            <sz val="10"/>
            <rFont val="Arial"/>
            <family val="2"/>
          </rPr>
          <t xml:space="preserve">The latest date the receiving team can accept delivery without slipping its milestone or gate.</t>
        </r>
      </text>
    </comment>
    <comment ref="M2" authorId="0">
      <text>
        <r>
          <rPr>
            <sz val="10"/>
            <rFont val="Arial"/>
            <family val="2"/>
          </rPr>
          <t xml:space="preserve">The date the giving team's named owner has agreed to. Leave blank until a real commitment exists — a hope is not a commitment.</t>
        </r>
      </text>
    </comment>
    <comment ref="N2" authorId="0">
      <text>
        <r>
          <rPr>
            <sz val="10"/>
            <rFont val="Arial"/>
            <family val="2"/>
          </rPr>
          <t xml:space="preserve">Calculated automatically — do not type here.
Need-By Date minus Committed Date, in days.
Positive = buffer. Negative = the committed date is later than the date we need it, and we know today rather than at the miss.</t>
        </r>
      </text>
    </comment>
    <comment ref="O2" authorId="0">
      <text>
        <r>
          <rPr>
            <sz val="10"/>
            <rFont val="Arial"/>
            <family val="2"/>
          </rPr>
          <t xml:space="preserve">Lifecycle: Identified (we know about it) → Negotiating (conversation happening) → Committed (owner agreed to a date) → Closed (delivered and accepted by the receiving team).</t>
        </r>
      </text>
    </comment>
    <comment ref="P2" authorId="0">
      <text>
        <r>
          <rPr>
            <sz val="10"/>
            <rFont val="Arial"/>
            <family val="2"/>
          </rPr>
          <t xml:space="preserve">Set at each weekly review, consistent with Status:
Uncommitted = no committed date yet.
On Track = committed and expected to hold.
At Risk = committed but confidence is dropping or float is thin.
Off Track = will miss or has missed the need-by date.</t>
        </r>
      </text>
    </comment>
    <comment ref="Q2" authorId="0">
      <text>
        <r>
          <rPr>
            <sz val="10"/>
            <rFont val="Arial"/>
            <family val="2"/>
          </rPr>
          <t xml:space="preserve">Named individual on the giving side — a person, not a team.</t>
        </r>
      </text>
    </comment>
    <comment ref="R2" authorId="0">
      <text>
        <r>
          <rPr>
            <sz val="10"/>
            <rFont val="Arial"/>
            <family val="2"/>
          </rPr>
          <t xml:space="preserve">Named individual on the receiving side — a person, not a team.</t>
        </r>
      </text>
    </comment>
    <comment ref="S2" authorId="0">
      <text>
        <r>
          <rPr>
            <sz val="10"/>
            <rFont val="Arial"/>
            <family val="2"/>
          </rPr>
          <t xml:space="preserve">Where this goes if it stalls (e.g., Program Weekly Sync → Steering Committee).</t>
        </r>
      </text>
    </comment>
    <comment ref="T2" authorId="0">
      <text>
        <r>
          <rPr>
            <sz val="10"/>
            <rFont val="Arial"/>
            <family val="2"/>
          </rPr>
          <t xml:space="preserve">RAID reference in ServiceNow for escalated items. ServiceNow owns actions and decisions; this register owns the dependency view.</t>
        </r>
      </text>
    </comment>
    <comment ref="U2" authorId="0">
      <text>
        <r>
          <rPr>
            <sz val="10"/>
            <rFont val="Arial"/>
            <family val="2"/>
          </rPr>
          <t xml:space="preserve">Updated at each weekly review. Nothing on the register should be older than one month.</t>
        </r>
      </text>
    </comment>
    <comment ref="V2" authorId="0">
      <text>
        <r>
          <rPr>
            <sz val="10"/>
            <rFont val="Arial"/>
            <family val="2"/>
          </rPr>
          <t xml:space="preserve">Working notes: negotiation state, conditions on the commitment, context the next reviewer needs.</t>
        </r>
      </text>
    </comment>
  </commentList>
</comments>
</file>

<file path=xl/sharedStrings.xml><?xml version="1.0" encoding="utf-8"?>
<sst xmlns="http://schemas.openxmlformats.org/spreadsheetml/2006/main" count="130" uniqueCount="100">
  <si>
    <t xml:space="preserve">Dependency Register — all needs, feeds, and internal dependencies; a dependency is not real until both owners are named and a date is committed</t>
  </si>
  <si>
    <t xml:space="preserve">Dep ID</t>
  </si>
  <si>
    <t xml:space="preserve">Direction</t>
  </si>
  <si>
    <t xml:space="preserve">Giving Team / Program</t>
  </si>
  <si>
    <t xml:space="preserve">Giving Deliverable</t>
  </si>
  <si>
    <t xml:space="preserve">Receiving Team / Program</t>
  </si>
  <si>
    <t xml:space="preserve">Receiving Milestone / Item</t>
  </si>
  <si>
    <t xml:space="preserve">Description</t>
  </si>
  <si>
    <t xml:space="preserve">Type</t>
  </si>
  <si>
    <t xml:space="preserve">Hard / Soft</t>
  </si>
  <si>
    <t xml:space="preserve">Criticality</t>
  </si>
  <si>
    <t xml:space="preserve">Stage Gate Affected</t>
  </si>
  <si>
    <t xml:space="preserve">Need-By Date</t>
  </si>
  <si>
    <t xml:space="preserve">Committed Date</t>
  </si>
  <si>
    <t xml:space="preserve">Float (days)</t>
  </si>
  <si>
    <t xml:space="preserve">Status</t>
  </si>
  <si>
    <t xml:space="preserve">Health</t>
  </si>
  <si>
    <t xml:space="preserve">Giving Owner</t>
  </si>
  <si>
    <t xml:space="preserve">Receiving Owner</t>
  </si>
  <si>
    <t xml:space="preserve">Escalation Path</t>
  </si>
  <si>
    <t xml:space="preserve">ServiceNow Ref</t>
  </si>
  <si>
    <t xml:space="preserve">Last Reviewed</t>
  </si>
  <si>
    <t xml:space="preserve">Notes</t>
  </si>
  <si>
    <t xml:space="preserve">DEP-01</t>
  </si>
  <si>
    <t xml:space="preserve">Needs</t>
  </si>
  <si>
    <t xml:space="preserve">HR / HCM Program</t>
  </si>
  <si>
    <t xml:space="preserve">Cleansed worker data feed with manager hierarchy</t>
  </si>
  <si>
    <t xml:space="preserve">SailPoint IGA</t>
  </si>
  <si>
    <t xml:space="preserve">Joiner-mover-leaver automation build</t>
  </si>
  <si>
    <t xml:space="preserve">IGA provisioning logic cannot be built against dirty source data; feed must be cleansed and field-mapped before build starts.</t>
  </si>
  <si>
    <t xml:space="preserve">Data</t>
  </si>
  <si>
    <t xml:space="preserve">Hard</t>
  </si>
  <si>
    <t xml:space="preserve">Gate-Blocking</t>
  </si>
  <si>
    <t xml:space="preserve">Build / Test / Validation</t>
  </si>
  <si>
    <t xml:space="preserve">Committed</t>
  </si>
  <si>
    <t xml:space="preserve">On Track</t>
  </si>
  <si>
    <t xml:space="preserve">[HR data lead]</t>
  </si>
  <si>
    <t xml:space="preserve">[IGA PM]</t>
  </si>
  <si>
    <t xml:space="preserve">Program Weekly Sync → Steering Committee</t>
  </si>
  <si>
    <t xml:space="preserve">RISK-[ID]</t>
  </si>
  <si>
    <t xml:space="preserve">Field mapping workshop complete; sample file validated.</t>
  </si>
  <si>
    <t xml:space="preserve">DEP-02</t>
  </si>
  <si>
    <t xml:space="preserve">Feeds</t>
  </si>
  <si>
    <t xml:space="preserve">Okta SSO</t>
  </si>
  <si>
    <t xml:space="preserve">Wave 1 SSO go-live (password-reset volume drop)</t>
  </si>
  <si>
    <t xml:space="preserve">Service Desk / ITSM Tooling</t>
  </si>
  <si>
    <t xml:space="preserve">Retirement of legacy password-reset scripts</t>
  </si>
  <si>
    <t xml:space="preserve">Service Desk holds tooling retirement until Wave 1 stabilizes; they are sequencing their own release around our date.</t>
  </si>
  <si>
    <t xml:space="preserve">Technical / Integration</t>
  </si>
  <si>
    <t xml:space="preserve">Soft</t>
  </si>
  <si>
    <t xml:space="preserve">Milestone</t>
  </si>
  <si>
    <t xml:space="preserve">Stabilization / Handoff</t>
  </si>
  <si>
    <t xml:space="preserve">At Risk</t>
  </si>
  <si>
    <t xml:space="preserve">[SSO PM]</t>
  </si>
  <si>
    <t xml:space="preserve">[Service Desk lead]</t>
  </si>
  <si>
    <t xml:space="preserve">Program Weekly Sync</t>
  </si>
  <si>
    <t xml:space="preserve">Only one week of float; confirm stabilization exit criteria before their release freeze.</t>
  </si>
  <si>
    <t xml:space="preserve">DEP-03</t>
  </si>
  <si>
    <t xml:space="preserve">Internal</t>
  </si>
  <si>
    <t xml:space="preserve">Privileged role model (roles + entitlement mapping)</t>
  </si>
  <si>
    <t xml:space="preserve">CyberArk PAM</t>
  </si>
  <si>
    <t xml:space="preserve">Privileged account onboarding Wave 2</t>
  </si>
  <si>
    <t xml:space="preserve">PAM cannot scope Wave 2 vault onboarding until IGA defines which roles are privileged and who holds them.</t>
  </si>
  <si>
    <t xml:space="preserve">Decision / Approval</t>
  </si>
  <si>
    <t xml:space="preserve">Design</t>
  </si>
  <si>
    <t xml:space="preserve">Negotiating</t>
  </si>
  <si>
    <t xml:space="preserve">Uncommitted</t>
  </si>
  <si>
    <t xml:space="preserve">[PAM PM]</t>
  </si>
  <si>
    <t xml:space="preserve">Within 30 days of need-by without commitment — escalate at the Program Weekly Sync.</t>
  </si>
  <si>
    <t xml:space="preserve">Dependency Dashboard — copy charts or tiles directly into status decks</t>
  </si>
  <si>
    <t xml:space="preserve">Open gate-blocking</t>
  </si>
  <si>
    <t xml:space="preserve">Gate-blocking, uncommitted</t>
  </si>
  <si>
    <t xml:space="preserve">Late commitments (neg. float)</t>
  </si>
  <si>
    <t xml:space="preserve">Total open dependencies</t>
  </si>
  <si>
    <t xml:space="preserve">To use in a status deck: click a chart and copy-paste it into PowerPoint (it stays editable), or select the tile area B3:L5 and paste as picture. Charts update automatically as the register changes.</t>
  </si>
  <si>
    <t xml:space="preserve">Summary — automatic rollups; feeds the executive status deck dependency tags</t>
  </si>
  <si>
    <t xml:space="preserve">By Direction</t>
  </si>
  <si>
    <t xml:space="preserve">By Health</t>
  </si>
  <si>
    <t xml:space="preserve">Off Track</t>
  </si>
  <si>
    <t xml:space="preserve">By Status</t>
  </si>
  <si>
    <t xml:space="preserve">Identified</t>
  </si>
  <si>
    <t xml:space="preserve">Closed</t>
  </si>
  <si>
    <t xml:space="preserve">Attention Counts</t>
  </si>
  <si>
    <t xml:space="preserve">Open gate-blocking dependencies</t>
  </si>
  <si>
    <t xml:space="preserve">Gate-blocking and not yet committed</t>
  </si>
  <si>
    <t xml:space="preserve">Late commitments (negative float)</t>
  </si>
  <si>
    <t xml:space="preserve">Counts include worked example rows until they are replaced with real data.</t>
  </si>
  <si>
    <t xml:space="preserve">Team</t>
  </si>
  <si>
    <t xml:space="preserve">Leg</t>
  </si>
  <si>
    <t xml:space="preserve">Need-By</t>
  </si>
  <si>
    <t xml:space="preserve">Date Pressure</t>
  </si>
  <si>
    <t xml:space="preserve">Initiative Scorecard — type an initiative name in the yellow cell; all counts exclude Closed</t>
  </si>
  <si>
    <t xml:space="preserve">Initiative:</t>
  </si>
  <si>
    <t xml:space="preserve">Must match the register name exactly. Optional: add a dropdown via Data Validation pointing at your Initiatives list.</t>
  </si>
  <si>
    <t xml:space="preserve">Totals</t>
  </si>
  <si>
    <t xml:space="preserve">Giving (this initiative owes)</t>
  </si>
  <si>
    <t xml:space="preserve">Receiving (waiting on others)</t>
  </si>
  <si>
    <t xml:space="preserve">Past Due</t>
  </si>
  <si>
    <t xml:space="preserve">Due ≤30 Days</t>
  </si>
  <si>
    <t xml:space="preserve">No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</si>
</sst>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9"/>
      <color rgb="FF595959"/>
      <name val="Arial"/>
      <family val="0"/>
      <charset val="1"/>
    </font>
    <font>
      <b val="true"/>
      <sz val="28"/>
      <color rgb="FFC00000"/>
      <name val="Arial"/>
      <family val="0"/>
      <charset val="1"/>
    </font>
    <font>
      <b val="true"/>
      <sz val="2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EDEDED"/>
        <bgColor rgb="FFD9EAD3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B3B3B3"/>
      <rgbColor rgb="FFFF99CC"/>
      <rgbColor rgb="FFCC99FF"/>
      <rgbColor rgb="FFF4CCCC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1F3864"/>
      <rgbColor rgb="FF70AD47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Dependency Health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Summary!$B$9:$B$12</c:f>
              <c:strCache>
                <c:ptCount val="4"/>
                <c:pt idx="0">
                  <c:v>On Track</c:v>
                </c:pt>
                <c:pt idx="1">
                  <c:v>At Risk</c:v>
                </c:pt>
                <c:pt idx="2">
                  <c:v>Off Track</c:v>
                </c:pt>
                <c:pt idx="3">
                  <c:v>Uncommitted</c:v>
                </c:pt>
              </c:strCache>
            </c:strRef>
          </c:cat>
          <c:val>
            <c:numRef>
              <c:f>Summary!$C$9:$C$12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68709782"/>
        <c:axId val="54663585"/>
      </c:barChart>
      <c:catAx>
        <c:axId val="687097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63585"/>
        <c:crosses val="autoZero"/>
        <c:auto val="1"/>
        <c:lblAlgn val="ctr"/>
        <c:lblOffset val="100"/>
        <c:noMultiLvlLbl val="0"/>
      </c:catAx>
      <c:valAx>
        <c:axId val="5466358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0978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Needs / Feeds / Internal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5c8a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e5c8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e5c8a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Summary!$B$4:$B$6</c:f>
              <c:strCache>
                <c:ptCount val="3"/>
                <c:pt idx="0">
                  <c:v>Needs</c:v>
                </c:pt>
                <c:pt idx="1">
                  <c:v>Feeds</c:v>
                </c:pt>
                <c:pt idx="2">
                  <c:v>Internal</c:v>
                </c:pt>
              </c:strCache>
            </c:strRef>
          </c:cat>
          <c:val>
            <c:numRef>
              <c:f>Summary!$C$4:$C$6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65551461"/>
        <c:axId val="21072367"/>
      </c:barChart>
      <c:catAx>
        <c:axId val="655514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72367"/>
        <c:crosses val="autoZero"/>
        <c:auto val="1"/>
        <c:lblAlgn val="ctr"/>
        <c:lblOffset val="100"/>
        <c:noMultiLvlLbl val="0"/>
      </c:catAx>
      <c:valAx>
        <c:axId val="210723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5146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Pipeline: Identified → Closed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Summary!$B$15:$B$18</c:f>
              <c:strCache>
                <c:ptCount val="4"/>
                <c:pt idx="0">
                  <c:v>Identified</c:v>
                </c:pt>
                <c:pt idx="1">
                  <c:v>Negotiating</c:v>
                </c:pt>
                <c:pt idx="2">
                  <c:v>Committed</c:v>
                </c:pt>
                <c:pt idx="3">
                  <c:v>Closed</c:v>
                </c:pt>
              </c:strCache>
            </c:strRef>
          </c:cat>
          <c:val>
            <c:numRef>
              <c:f>Summary!$C$15:$C$18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7307454"/>
        <c:axId val="50502042"/>
      </c:barChart>
      <c:catAx>
        <c:axId val="573074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02042"/>
        <c:crosses val="autoZero"/>
        <c:auto val="1"/>
        <c:lblAlgn val="ctr"/>
        <c:lblOffset val="100"/>
        <c:noMultiLvlLbl val="0"/>
      </c:catAx>
      <c:valAx>
        <c:axId val="505020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074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96840</xdr:rowOff>
    </xdr:from>
    <xdr:to>
      <xdr:col>7</xdr:col>
      <xdr:colOff>293400</xdr:colOff>
      <xdr:row>19</xdr:row>
      <xdr:rowOff>128520</xdr:rowOff>
    </xdr:to>
    <xdr:graphicFrame>
      <xdr:nvGraphicFramePr>
        <xdr:cNvPr id="0" name="Chart 1"/>
        <xdr:cNvGraphicFramePr/>
      </xdr:nvGraphicFramePr>
      <xdr:xfrm>
        <a:off x="141120" y="1496880"/>
        <a:ext cx="395856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</xdr:row>
      <xdr:rowOff>96840</xdr:rowOff>
    </xdr:from>
    <xdr:to>
      <xdr:col>12</xdr:col>
      <xdr:colOff>434520</xdr:colOff>
      <xdr:row>19</xdr:row>
      <xdr:rowOff>128520</xdr:rowOff>
    </xdr:to>
    <xdr:graphicFrame>
      <xdr:nvGraphicFramePr>
        <xdr:cNvPr id="1" name="Chart 2"/>
        <xdr:cNvGraphicFramePr/>
      </xdr:nvGraphicFramePr>
      <xdr:xfrm>
        <a:off x="3806280" y="1496880"/>
        <a:ext cx="395856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22</xdr:row>
      <xdr:rowOff>97200</xdr:rowOff>
    </xdr:from>
    <xdr:to>
      <xdr:col>7</xdr:col>
      <xdr:colOff>293400</xdr:colOff>
      <xdr:row>36</xdr:row>
      <xdr:rowOff>128520</xdr:rowOff>
    </xdr:to>
    <xdr:graphicFrame>
      <xdr:nvGraphicFramePr>
        <xdr:cNvPr id="2" name="Chart 3"/>
        <xdr:cNvGraphicFramePr/>
      </xdr:nvGraphicFramePr>
      <xdr:xfrm>
        <a:off x="141120" y="4735800"/>
        <a:ext cx="395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36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22"/>
    <col collapsed="false" customWidth="true" hidden="false" outlineLevel="0" max="13" min="12" style="1" width="12"/>
    <col collapsed="false" customWidth="true" hidden="false" outlineLevel="0" max="14" min="14" style="1" width="9"/>
    <col collapsed="false" customWidth="true" hidden="false" outlineLevel="0" max="16" min="15" style="1" width="12"/>
    <col collapsed="false" customWidth="true" hidden="false" outlineLevel="0" max="18" min="17" style="1" width="15"/>
    <col collapsed="false" customWidth="true" hidden="false" outlineLevel="0" max="19" min="19" style="1" width="18"/>
    <col collapsed="false" customWidth="true" hidden="false" outlineLevel="0" max="20" min="20" style="1" width="13"/>
    <col collapsed="false" customWidth="true" hidden="false" outlineLevel="0" max="21" min="21" style="1" width="12"/>
    <col collapsed="false" customWidth="true" hidden="false" outlineLevel="0" max="22" min="22" style="1" width="2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</row>
    <row r="3" customFormat="false" ht="45.75" hidden="false" customHeight="tru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5" t="n">
        <v>47559</v>
      </c>
      <c r="M3" s="5" t="n">
        <v>47545</v>
      </c>
      <c r="N3" s="6" t="n">
        <f aca="false">IF(OR(L3="",M3=""),"",L3-M3)</f>
        <v>14</v>
      </c>
      <c r="O3" s="4" t="s">
        <v>34</v>
      </c>
      <c r="P3" s="4" t="s">
        <v>35</v>
      </c>
      <c r="Q3" s="4" t="s">
        <v>36</v>
      </c>
      <c r="R3" s="4" t="s">
        <v>37</v>
      </c>
      <c r="S3" s="4" t="s">
        <v>38</v>
      </c>
      <c r="T3" s="4" t="s">
        <v>39</v>
      </c>
      <c r="U3" s="5" t="n">
        <v>47513</v>
      </c>
      <c r="V3" s="4" t="s">
        <v>40</v>
      </c>
    </row>
    <row r="4" customFormat="false" ht="34.5" hidden="false" customHeight="true" outlineLevel="0" collapsed="false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51</v>
      </c>
      <c r="L4" s="5" t="n">
        <v>47618</v>
      </c>
      <c r="M4" s="5" t="n">
        <v>47611</v>
      </c>
      <c r="N4" s="6" t="n">
        <f aca="false">IF(OR(L4="",M4=""),"",L4-M4)</f>
        <v>7</v>
      </c>
      <c r="O4" s="4" t="s">
        <v>34</v>
      </c>
      <c r="P4" s="4" t="s">
        <v>52</v>
      </c>
      <c r="Q4" s="4" t="s">
        <v>53</v>
      </c>
      <c r="R4" s="4" t="s">
        <v>54</v>
      </c>
      <c r="S4" s="4" t="s">
        <v>55</v>
      </c>
      <c r="T4" s="4"/>
      <c r="U4" s="5" t="n">
        <v>47513</v>
      </c>
      <c r="V4" s="4" t="s">
        <v>56</v>
      </c>
    </row>
    <row r="5" customFormat="false" ht="45.75" hidden="false" customHeight="true" outlineLevel="0" collapsed="false">
      <c r="A5" s="4" t="s">
        <v>57</v>
      </c>
      <c r="B5" s="4" t="s">
        <v>58</v>
      </c>
      <c r="C5" s="4" t="s">
        <v>27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31</v>
      </c>
      <c r="J5" s="4" t="s">
        <v>32</v>
      </c>
      <c r="K5" s="4" t="s">
        <v>64</v>
      </c>
      <c r="L5" s="5" t="n">
        <v>47538</v>
      </c>
      <c r="M5" s="5"/>
      <c r="N5" s="6" t="str">
        <f aca="false">IF(OR(L5="",M5=""),"",L5-M5)</f>
        <v/>
      </c>
      <c r="O5" s="4" t="s">
        <v>65</v>
      </c>
      <c r="P5" s="4" t="s">
        <v>66</v>
      </c>
      <c r="Q5" s="4" t="s">
        <v>37</v>
      </c>
      <c r="R5" s="4" t="s">
        <v>67</v>
      </c>
      <c r="S5" s="4" t="s">
        <v>38</v>
      </c>
      <c r="T5" s="4"/>
      <c r="U5" s="5" t="n">
        <v>47513</v>
      </c>
      <c r="V5" s="4" t="s">
        <v>68</v>
      </c>
    </row>
    <row r="6" customFormat="false" ht="1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8"/>
      <c r="M6" s="8"/>
      <c r="N6" s="9" t="str">
        <f aca="false">IF(OR(L6="",M6=""),"",L6-M6)</f>
        <v/>
      </c>
      <c r="O6" s="7"/>
      <c r="P6" s="7"/>
      <c r="Q6" s="7"/>
      <c r="R6" s="7"/>
      <c r="S6" s="7"/>
      <c r="T6" s="7"/>
      <c r="U6" s="8"/>
      <c r="V6" s="7"/>
    </row>
    <row r="7" customFormat="false" ht="1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8"/>
      <c r="M7" s="8"/>
      <c r="N7" s="9" t="str">
        <f aca="false">IF(OR(L7="",M7=""),"",L7-M7)</f>
        <v/>
      </c>
      <c r="O7" s="7"/>
      <c r="P7" s="7"/>
      <c r="Q7" s="7"/>
      <c r="R7" s="7"/>
      <c r="S7" s="7"/>
      <c r="T7" s="7"/>
      <c r="U7" s="8"/>
      <c r="V7" s="7"/>
    </row>
    <row r="8" customFormat="false" ht="1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8"/>
      <c r="M8" s="8"/>
      <c r="N8" s="9" t="str">
        <f aca="false">IF(OR(L8="",M8=""),"",L8-M8)</f>
        <v/>
      </c>
      <c r="O8" s="7"/>
      <c r="P8" s="7"/>
      <c r="Q8" s="7"/>
      <c r="R8" s="7"/>
      <c r="S8" s="7"/>
      <c r="T8" s="7"/>
      <c r="U8" s="8"/>
      <c r="V8" s="7"/>
    </row>
    <row r="9" customFormat="false" ht="1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8"/>
      <c r="M9" s="8"/>
      <c r="N9" s="9" t="str">
        <f aca="false">IF(OR(L9="",M9=""),"",L9-M9)</f>
        <v/>
      </c>
      <c r="O9" s="7"/>
      <c r="P9" s="7"/>
      <c r="Q9" s="7"/>
      <c r="R9" s="7"/>
      <c r="S9" s="7"/>
      <c r="T9" s="7"/>
      <c r="U9" s="8"/>
      <c r="V9" s="7"/>
    </row>
    <row r="10" customFormat="false" ht="1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  <c r="M10" s="8"/>
      <c r="N10" s="9" t="str">
        <f aca="false">IF(OR(L10="",M10=""),"",L10-M10)</f>
        <v/>
      </c>
      <c r="O10" s="7"/>
      <c r="P10" s="7"/>
      <c r="Q10" s="7"/>
      <c r="R10" s="7"/>
      <c r="S10" s="7"/>
      <c r="T10" s="7"/>
      <c r="U10" s="8"/>
      <c r="V10" s="7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8"/>
      <c r="N11" s="9" t="str">
        <f aca="false">IF(OR(L11="",M11=""),"",L11-M11)</f>
        <v/>
      </c>
      <c r="O11" s="7"/>
      <c r="P11" s="7"/>
      <c r="Q11" s="7"/>
      <c r="R11" s="7"/>
      <c r="S11" s="7"/>
      <c r="T11" s="7"/>
      <c r="U11" s="8"/>
      <c r="V11" s="7"/>
    </row>
    <row r="12" customFormat="false" ht="1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  <c r="M12" s="8"/>
      <c r="N12" s="9" t="str">
        <f aca="false">IF(OR(L12="",M12=""),"",L12-M12)</f>
        <v/>
      </c>
      <c r="O12" s="7"/>
      <c r="P12" s="7"/>
      <c r="Q12" s="7"/>
      <c r="R12" s="7"/>
      <c r="S12" s="7"/>
      <c r="T12" s="7"/>
      <c r="U12" s="8"/>
      <c r="V12" s="7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8"/>
      <c r="N13" s="9" t="str">
        <f aca="false">IF(OR(L13="",M13=""),"",L13-M13)</f>
        <v/>
      </c>
      <c r="O13" s="7"/>
      <c r="P13" s="7"/>
      <c r="Q13" s="7"/>
      <c r="R13" s="7"/>
      <c r="S13" s="7"/>
      <c r="T13" s="7"/>
      <c r="U13" s="8"/>
      <c r="V13" s="7"/>
    </row>
    <row r="14" customFormat="false" ht="1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  <c r="M14" s="8"/>
      <c r="N14" s="9" t="str">
        <f aca="false">IF(OR(L14="",M14=""),"",L14-M14)</f>
        <v/>
      </c>
      <c r="O14" s="7"/>
      <c r="P14" s="7"/>
      <c r="Q14" s="7"/>
      <c r="R14" s="7"/>
      <c r="S14" s="7"/>
      <c r="T14" s="7"/>
      <c r="U14" s="8"/>
      <c r="V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  <c r="M15" s="8"/>
      <c r="N15" s="9" t="str">
        <f aca="false">IF(OR(L15="",M15=""),"",L15-M15)</f>
        <v/>
      </c>
      <c r="O15" s="7"/>
      <c r="P15" s="7"/>
      <c r="Q15" s="7"/>
      <c r="R15" s="7"/>
      <c r="S15" s="7"/>
      <c r="T15" s="7"/>
      <c r="U15" s="8"/>
      <c r="V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  <c r="M16" s="8"/>
      <c r="N16" s="9" t="str">
        <f aca="false">IF(OR(L16="",M16=""),"",L16-M16)</f>
        <v/>
      </c>
      <c r="O16" s="7"/>
      <c r="P16" s="7"/>
      <c r="Q16" s="7"/>
      <c r="R16" s="7"/>
      <c r="S16" s="7"/>
      <c r="T16" s="7"/>
      <c r="U16" s="8"/>
      <c r="V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8"/>
      <c r="N17" s="9" t="str">
        <f aca="false">IF(OR(L17="",M17=""),"",L17-M17)</f>
        <v/>
      </c>
      <c r="O17" s="7"/>
      <c r="P17" s="7"/>
      <c r="Q17" s="7"/>
      <c r="R17" s="7"/>
      <c r="S17" s="7"/>
      <c r="T17" s="7"/>
      <c r="U17" s="8"/>
      <c r="V17" s="7"/>
    </row>
    <row r="18" customFormat="false" ht="1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  <c r="M18" s="8"/>
      <c r="N18" s="9" t="str">
        <f aca="false">IF(OR(L18="",M18=""),"",L18-M18)</f>
        <v/>
      </c>
      <c r="O18" s="7"/>
      <c r="P18" s="7"/>
      <c r="Q18" s="7"/>
      <c r="R18" s="7"/>
      <c r="S18" s="7"/>
      <c r="T18" s="7"/>
      <c r="U18" s="8"/>
      <c r="V18" s="7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  <c r="M19" s="8"/>
      <c r="N19" s="9" t="str">
        <f aca="false">IF(OR(L19="",M19=""),"",L19-M19)</f>
        <v/>
      </c>
      <c r="O19" s="7"/>
      <c r="P19" s="7"/>
      <c r="Q19" s="7"/>
      <c r="R19" s="7"/>
      <c r="S19" s="7"/>
      <c r="T19" s="7"/>
      <c r="U19" s="8"/>
      <c r="V19" s="7"/>
    </row>
    <row r="20" customFormat="false" ht="1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  <c r="M20" s="8"/>
      <c r="N20" s="9" t="str">
        <f aca="false">IF(OR(L20="",M20=""),"",L20-M20)</f>
        <v/>
      </c>
      <c r="O20" s="7"/>
      <c r="P20" s="7"/>
      <c r="Q20" s="7"/>
      <c r="R20" s="7"/>
      <c r="S20" s="7"/>
      <c r="T20" s="7"/>
      <c r="U20" s="8"/>
      <c r="V20" s="7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8"/>
      <c r="M21" s="8"/>
      <c r="N21" s="9" t="str">
        <f aca="false">IF(OR(L21="",M21=""),"",L21-M21)</f>
        <v/>
      </c>
      <c r="O21" s="7"/>
      <c r="P21" s="7"/>
      <c r="Q21" s="7"/>
      <c r="R21" s="7"/>
      <c r="S21" s="7"/>
      <c r="T21" s="7"/>
      <c r="U21" s="8"/>
      <c r="V21" s="7"/>
    </row>
    <row r="22" customFormat="false" ht="1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  <c r="M22" s="8"/>
      <c r="N22" s="9" t="str">
        <f aca="false">IF(OR(L22="",M22=""),"",L22-M22)</f>
        <v/>
      </c>
      <c r="O22" s="7"/>
      <c r="P22" s="7"/>
      <c r="Q22" s="7"/>
      <c r="R22" s="7"/>
      <c r="S22" s="7"/>
      <c r="T22" s="7"/>
      <c r="U22" s="8"/>
      <c r="V22" s="7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  <c r="M23" s="8"/>
      <c r="N23" s="9" t="str">
        <f aca="false">IF(OR(L23="",M23=""),"",L23-M23)</f>
        <v/>
      </c>
      <c r="O23" s="7"/>
      <c r="P23" s="7"/>
      <c r="Q23" s="7"/>
      <c r="R23" s="7"/>
      <c r="S23" s="7"/>
      <c r="T23" s="7"/>
      <c r="U23" s="8"/>
      <c r="V23" s="7"/>
    </row>
    <row r="24" customFormat="false" ht="1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8"/>
      <c r="M24" s="8"/>
      <c r="N24" s="9" t="str">
        <f aca="false">IF(OR(L24="",M24=""),"",L24-M24)</f>
        <v/>
      </c>
      <c r="O24" s="7"/>
      <c r="P24" s="7"/>
      <c r="Q24" s="7"/>
      <c r="R24" s="7"/>
      <c r="S24" s="7"/>
      <c r="T24" s="7"/>
      <c r="U24" s="8"/>
      <c r="V24" s="7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8"/>
      <c r="M25" s="8"/>
      <c r="N25" s="9" t="str">
        <f aca="false">IF(OR(L25="",M25=""),"",L25-M25)</f>
        <v/>
      </c>
      <c r="O25" s="7"/>
      <c r="P25" s="7"/>
      <c r="Q25" s="7"/>
      <c r="R25" s="7"/>
      <c r="S25" s="7"/>
      <c r="T25" s="7"/>
      <c r="U25" s="8"/>
      <c r="V25" s="7"/>
    </row>
    <row r="26" customFormat="false" ht="1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  <c r="M26" s="8"/>
      <c r="N26" s="9" t="str">
        <f aca="false">IF(OR(L26="",M26=""),"",L26-M26)</f>
        <v/>
      </c>
      <c r="O26" s="7"/>
      <c r="P26" s="7"/>
      <c r="Q26" s="7"/>
      <c r="R26" s="7"/>
      <c r="S26" s="7"/>
      <c r="T26" s="7"/>
      <c r="U26" s="8"/>
      <c r="V26" s="7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  <c r="M27" s="8"/>
      <c r="N27" s="9" t="str">
        <f aca="false">IF(OR(L27="",M27=""),"",L27-M27)</f>
        <v/>
      </c>
      <c r="O27" s="7"/>
      <c r="P27" s="7"/>
      <c r="Q27" s="7"/>
      <c r="R27" s="7"/>
      <c r="S27" s="7"/>
      <c r="T27" s="7"/>
      <c r="U27" s="8"/>
      <c r="V27" s="7"/>
    </row>
    <row r="28" customFormat="false" ht="1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8"/>
      <c r="M28" s="8"/>
      <c r="N28" s="9" t="str">
        <f aca="false">IF(OR(L28="",M28=""),"",L28-M28)</f>
        <v/>
      </c>
      <c r="O28" s="7"/>
      <c r="P28" s="7"/>
      <c r="Q28" s="7"/>
      <c r="R28" s="7"/>
      <c r="S28" s="7"/>
      <c r="T28" s="7"/>
      <c r="U28" s="8"/>
      <c r="V28" s="7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  <c r="M29" s="8"/>
      <c r="N29" s="9" t="str">
        <f aca="false">IF(OR(L29="",M29=""),"",L29-M29)</f>
        <v/>
      </c>
      <c r="O29" s="7"/>
      <c r="P29" s="7"/>
      <c r="Q29" s="7"/>
      <c r="R29" s="7"/>
      <c r="S29" s="7"/>
      <c r="T29" s="7"/>
      <c r="U29" s="8"/>
      <c r="V29" s="7"/>
    </row>
    <row r="30" customFormat="false" ht="1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8"/>
      <c r="N30" s="9" t="str">
        <f aca="false">IF(OR(L30="",M30=""),"",L30-M30)</f>
        <v/>
      </c>
      <c r="O30" s="7"/>
      <c r="P30" s="7"/>
      <c r="Q30" s="7"/>
      <c r="R30" s="7"/>
      <c r="S30" s="7"/>
      <c r="T30" s="7"/>
      <c r="U30" s="8"/>
      <c r="V30" s="7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  <c r="M31" s="8"/>
      <c r="N31" s="9" t="str">
        <f aca="false">IF(OR(L31="",M31=""),"",L31-M31)</f>
        <v/>
      </c>
      <c r="O31" s="7"/>
      <c r="P31" s="7"/>
      <c r="Q31" s="7"/>
      <c r="R31" s="7"/>
      <c r="S31" s="7"/>
      <c r="T31" s="7"/>
      <c r="U31" s="8"/>
      <c r="V31" s="7"/>
    </row>
    <row r="32" customFormat="false" ht="1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  <c r="M32" s="8"/>
      <c r="N32" s="9" t="str">
        <f aca="false">IF(OR(L32="",M32=""),"",L32-M32)</f>
        <v/>
      </c>
      <c r="O32" s="7"/>
      <c r="P32" s="7"/>
      <c r="Q32" s="7"/>
      <c r="R32" s="7"/>
      <c r="S32" s="7"/>
      <c r="T32" s="7"/>
      <c r="U32" s="8"/>
      <c r="V32" s="7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8"/>
      <c r="M33" s="8"/>
      <c r="N33" s="9" t="str">
        <f aca="false">IF(OR(L33="",M33=""),"",L33-M33)</f>
        <v/>
      </c>
      <c r="O33" s="7"/>
      <c r="P33" s="7"/>
      <c r="Q33" s="7"/>
      <c r="R33" s="7"/>
      <c r="S33" s="7"/>
      <c r="T33" s="7"/>
      <c r="U33" s="8"/>
      <c r="V33" s="7"/>
    </row>
    <row r="34" customFormat="false" ht="1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8"/>
      <c r="M34" s="8"/>
      <c r="N34" s="9" t="str">
        <f aca="false">IF(OR(L34="",M34=""),"",L34-M34)</f>
        <v/>
      </c>
      <c r="O34" s="7"/>
      <c r="P34" s="7"/>
      <c r="Q34" s="7"/>
      <c r="R34" s="7"/>
      <c r="S34" s="7"/>
      <c r="T34" s="7"/>
      <c r="U34" s="8"/>
      <c r="V34" s="7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8"/>
      <c r="M35" s="8"/>
      <c r="N35" s="9" t="str">
        <f aca="false">IF(OR(L35="",M35=""),"",L35-M35)</f>
        <v/>
      </c>
      <c r="O35" s="7"/>
      <c r="P35" s="7"/>
      <c r="Q35" s="7"/>
      <c r="R35" s="7"/>
      <c r="S35" s="7"/>
      <c r="T35" s="7"/>
      <c r="U35" s="8"/>
      <c r="V35" s="7"/>
    </row>
    <row r="36" customFormat="false" ht="1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8"/>
      <c r="M36" s="8"/>
      <c r="N36" s="9" t="str">
        <f aca="false">IF(OR(L36="",M36=""),"",L36-M36)</f>
        <v/>
      </c>
      <c r="O36" s="7"/>
      <c r="P36" s="7"/>
      <c r="Q36" s="7"/>
      <c r="R36" s="7"/>
      <c r="S36" s="7"/>
      <c r="T36" s="7"/>
      <c r="U36" s="8"/>
      <c r="V36" s="7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8"/>
      <c r="M37" s="8"/>
      <c r="N37" s="9" t="str">
        <f aca="false">IF(OR(L37="",M37=""),"",L37-M37)</f>
        <v/>
      </c>
      <c r="O37" s="7"/>
      <c r="P37" s="7"/>
      <c r="Q37" s="7"/>
      <c r="R37" s="7"/>
      <c r="S37" s="7"/>
      <c r="T37" s="7"/>
      <c r="U37" s="8"/>
      <c r="V37" s="7"/>
    </row>
    <row r="38" customFormat="false" ht="1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8"/>
      <c r="M38" s="8"/>
      <c r="N38" s="9" t="str">
        <f aca="false">IF(OR(L38="",M38=""),"",L38-M38)</f>
        <v/>
      </c>
      <c r="O38" s="7"/>
      <c r="P38" s="7"/>
      <c r="Q38" s="7"/>
      <c r="R38" s="7"/>
      <c r="S38" s="7"/>
      <c r="T38" s="7"/>
      <c r="U38" s="8"/>
      <c r="V38" s="7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8"/>
      <c r="M39" s="8"/>
      <c r="N39" s="9" t="str">
        <f aca="false">IF(OR(L39="",M39=""),"",L39-M39)</f>
        <v/>
      </c>
      <c r="O39" s="7"/>
      <c r="P39" s="7"/>
      <c r="Q39" s="7"/>
      <c r="R39" s="7"/>
      <c r="S39" s="7"/>
      <c r="T39" s="7"/>
      <c r="U39" s="8"/>
      <c r="V39" s="7"/>
    </row>
    <row r="40" customFormat="false" ht="1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8"/>
      <c r="M40" s="8"/>
      <c r="N40" s="9" t="str">
        <f aca="false">IF(OR(L40="",M40=""),"",L40-M40)</f>
        <v/>
      </c>
      <c r="O40" s="7"/>
      <c r="P40" s="7"/>
      <c r="Q40" s="7"/>
      <c r="R40" s="7"/>
      <c r="S40" s="7"/>
      <c r="T40" s="7"/>
      <c r="U40" s="8"/>
      <c r="V40" s="7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8"/>
      <c r="M41" s="8"/>
      <c r="N41" s="9" t="str">
        <f aca="false">IF(OR(L41="",M41=""),"",L41-M41)</f>
        <v/>
      </c>
      <c r="O41" s="7"/>
      <c r="P41" s="7"/>
      <c r="Q41" s="7"/>
      <c r="R41" s="7"/>
      <c r="S41" s="7"/>
      <c r="T41" s="7"/>
      <c r="U41" s="8"/>
      <c r="V41" s="7"/>
    </row>
    <row r="42" customFormat="false" ht="1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8"/>
      <c r="M42" s="8"/>
      <c r="N42" s="9" t="str">
        <f aca="false">IF(OR(L42="",M42=""),"",L42-M42)</f>
        <v/>
      </c>
      <c r="O42" s="7"/>
      <c r="P42" s="7"/>
      <c r="Q42" s="7"/>
      <c r="R42" s="7"/>
      <c r="S42" s="7"/>
      <c r="T42" s="7"/>
      <c r="U42" s="8"/>
      <c r="V42" s="7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8"/>
      <c r="M43" s="8"/>
      <c r="N43" s="9" t="str">
        <f aca="false">IF(OR(L43="",M43=""),"",L43-M43)</f>
        <v/>
      </c>
      <c r="O43" s="7"/>
      <c r="P43" s="7"/>
      <c r="Q43" s="7"/>
      <c r="R43" s="7"/>
      <c r="S43" s="7"/>
      <c r="T43" s="7"/>
      <c r="U43" s="8"/>
      <c r="V43" s="7"/>
    </row>
    <row r="44" customFormat="false" ht="1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8"/>
      <c r="M44" s="8"/>
      <c r="N44" s="9" t="str">
        <f aca="false">IF(OR(L44="",M44=""),"",L44-M44)</f>
        <v/>
      </c>
      <c r="O44" s="7"/>
      <c r="P44" s="7"/>
      <c r="Q44" s="7"/>
      <c r="R44" s="7"/>
      <c r="S44" s="7"/>
      <c r="T44" s="7"/>
      <c r="U44" s="8"/>
      <c r="V44" s="7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8"/>
      <c r="M45" s="8"/>
      <c r="N45" s="9" t="str">
        <f aca="false">IF(OR(L45="",M45=""),"",L45-M45)</f>
        <v/>
      </c>
      <c r="O45" s="7"/>
      <c r="P45" s="7"/>
      <c r="Q45" s="7"/>
      <c r="R45" s="7"/>
      <c r="S45" s="7"/>
      <c r="T45" s="7"/>
      <c r="U45" s="8"/>
      <c r="V45" s="7"/>
    </row>
    <row r="46" customFormat="false" ht="1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8"/>
      <c r="M46" s="8"/>
      <c r="N46" s="9" t="str">
        <f aca="false">IF(OR(L46="",M46=""),"",L46-M46)</f>
        <v/>
      </c>
      <c r="O46" s="7"/>
      <c r="P46" s="7"/>
      <c r="Q46" s="7"/>
      <c r="R46" s="7"/>
      <c r="S46" s="7"/>
      <c r="T46" s="7"/>
      <c r="U46" s="8"/>
      <c r="V46" s="7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8"/>
      <c r="M47" s="8"/>
      <c r="N47" s="9" t="str">
        <f aca="false">IF(OR(L47="",M47=""),"",L47-M47)</f>
        <v/>
      </c>
      <c r="O47" s="7"/>
      <c r="P47" s="7"/>
      <c r="Q47" s="7"/>
      <c r="R47" s="7"/>
      <c r="S47" s="7"/>
      <c r="T47" s="7"/>
      <c r="U47" s="8"/>
      <c r="V47" s="7"/>
    </row>
    <row r="48" customFormat="false" ht="1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8"/>
      <c r="M48" s="8"/>
      <c r="N48" s="9" t="str">
        <f aca="false">IF(OR(L48="",M48=""),"",L48-M48)</f>
        <v/>
      </c>
      <c r="O48" s="7"/>
      <c r="P48" s="7"/>
      <c r="Q48" s="7"/>
      <c r="R48" s="7"/>
      <c r="S48" s="7"/>
      <c r="T48" s="7"/>
      <c r="U48" s="8"/>
      <c r="V48" s="7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8"/>
      <c r="N49" s="9" t="str">
        <f aca="false">IF(OR(L49="",M49=""),"",L49-M49)</f>
        <v/>
      </c>
      <c r="O49" s="7"/>
      <c r="P49" s="7"/>
      <c r="Q49" s="7"/>
      <c r="R49" s="7"/>
      <c r="S49" s="7"/>
      <c r="T49" s="7"/>
      <c r="U49" s="8"/>
      <c r="V49" s="7"/>
    </row>
    <row r="50" customFormat="false" ht="1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8"/>
      <c r="M50" s="8"/>
      <c r="N50" s="9" t="str">
        <f aca="false">IF(OR(L50="",M50=""),"",L50-M50)</f>
        <v/>
      </c>
      <c r="O50" s="7"/>
      <c r="P50" s="7"/>
      <c r="Q50" s="7"/>
      <c r="R50" s="7"/>
      <c r="S50" s="7"/>
      <c r="T50" s="7"/>
      <c r="U50" s="8"/>
      <c r="V50" s="7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8"/>
      <c r="M51" s="8"/>
      <c r="N51" s="9" t="str">
        <f aca="false">IF(OR(L51="",M51=""),"",L51-M51)</f>
        <v/>
      </c>
      <c r="O51" s="7"/>
      <c r="P51" s="7"/>
      <c r="Q51" s="7"/>
      <c r="R51" s="7"/>
      <c r="S51" s="7"/>
      <c r="T51" s="7"/>
      <c r="U51" s="8"/>
      <c r="V51" s="7"/>
    </row>
    <row r="52" customFormat="false" ht="1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8"/>
      <c r="M52" s="8"/>
      <c r="N52" s="9" t="str">
        <f aca="false">IF(OR(L52="",M52=""),"",L52-M52)</f>
        <v/>
      </c>
      <c r="O52" s="7"/>
      <c r="P52" s="7"/>
      <c r="Q52" s="7"/>
      <c r="R52" s="7"/>
      <c r="S52" s="7"/>
      <c r="T52" s="7"/>
      <c r="U52" s="8"/>
      <c r="V52" s="7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8"/>
      <c r="M53" s="8"/>
      <c r="N53" s="9" t="str">
        <f aca="false">IF(OR(L53="",M53=""),"",L53-M53)</f>
        <v/>
      </c>
      <c r="O53" s="7"/>
      <c r="P53" s="7"/>
      <c r="Q53" s="7"/>
      <c r="R53" s="7"/>
      <c r="S53" s="7"/>
      <c r="T53" s="7"/>
      <c r="U53" s="8"/>
      <c r="V53" s="7"/>
    </row>
    <row r="54" customFormat="false" ht="1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8"/>
      <c r="M54" s="8"/>
      <c r="N54" s="9" t="str">
        <f aca="false">IF(OR(L54="",M54=""),"",L54-M54)</f>
        <v/>
      </c>
      <c r="O54" s="7"/>
      <c r="P54" s="7"/>
      <c r="Q54" s="7"/>
      <c r="R54" s="7"/>
      <c r="S54" s="7"/>
      <c r="T54" s="7"/>
      <c r="U54" s="8"/>
      <c r="V54" s="7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8"/>
      <c r="M55" s="8"/>
      <c r="N55" s="9" t="str">
        <f aca="false">IF(OR(L55="",M55=""),"",L55-M55)</f>
        <v/>
      </c>
      <c r="O55" s="7"/>
      <c r="P55" s="7"/>
      <c r="Q55" s="7"/>
      <c r="R55" s="7"/>
      <c r="S55" s="7"/>
      <c r="T55" s="7"/>
      <c r="U55" s="8"/>
      <c r="V55" s="7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8"/>
      <c r="M56" s="8"/>
      <c r="N56" s="9" t="str">
        <f aca="false">IF(OR(L56="",M56=""),"",L56-M56)</f>
        <v/>
      </c>
      <c r="O56" s="7"/>
      <c r="P56" s="7"/>
      <c r="Q56" s="7"/>
      <c r="R56" s="7"/>
      <c r="S56" s="7"/>
      <c r="T56" s="7"/>
      <c r="U56" s="8"/>
      <c r="V56" s="7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8"/>
      <c r="M57" s="8"/>
      <c r="N57" s="9" t="str">
        <f aca="false">IF(OR(L57="",M57=""),"",L57-M57)</f>
        <v/>
      </c>
      <c r="O57" s="7"/>
      <c r="P57" s="7"/>
      <c r="Q57" s="7"/>
      <c r="R57" s="7"/>
      <c r="S57" s="7"/>
      <c r="T57" s="7"/>
      <c r="U57" s="8"/>
      <c r="V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8"/>
      <c r="M58" s="8"/>
      <c r="N58" s="9" t="str">
        <f aca="false">IF(OR(L58="",M58=""),"",L58-M58)</f>
        <v/>
      </c>
      <c r="O58" s="7"/>
      <c r="P58" s="7"/>
      <c r="Q58" s="7"/>
      <c r="R58" s="7"/>
      <c r="S58" s="7"/>
      <c r="T58" s="7"/>
      <c r="U58" s="8"/>
      <c r="V58" s="7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8"/>
      <c r="M59" s="8"/>
      <c r="N59" s="9" t="str">
        <f aca="false">IF(OR(L59="",M59=""),"",L59-M59)</f>
        <v/>
      </c>
      <c r="O59" s="7"/>
      <c r="P59" s="7"/>
      <c r="Q59" s="7"/>
      <c r="R59" s="7"/>
      <c r="S59" s="7"/>
      <c r="T59" s="7"/>
      <c r="U59" s="8"/>
      <c r="V59" s="7"/>
    </row>
    <row r="60" customFormat="false" ht="1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8"/>
      <c r="M60" s="8"/>
      <c r="N60" s="9" t="str">
        <f aca="false">IF(OR(L60="",M60=""),"",L60-M60)</f>
        <v/>
      </c>
      <c r="O60" s="7"/>
      <c r="P60" s="7"/>
      <c r="Q60" s="7"/>
      <c r="R60" s="7"/>
      <c r="S60" s="7"/>
      <c r="T60" s="7"/>
      <c r="U60" s="8"/>
      <c r="V60" s="7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8"/>
      <c r="M61" s="8"/>
      <c r="N61" s="9" t="str">
        <f aca="false">IF(OR(L61="",M61=""),"",L61-M61)</f>
        <v/>
      </c>
      <c r="O61" s="7"/>
      <c r="P61" s="7"/>
      <c r="Q61" s="7"/>
      <c r="R61" s="7"/>
      <c r="S61" s="7"/>
      <c r="T61" s="7"/>
      <c r="U61" s="8"/>
      <c r="V61" s="7"/>
    </row>
    <row r="62" customFormat="false" ht="1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8"/>
      <c r="M62" s="8"/>
      <c r="N62" s="9" t="str">
        <f aca="false">IF(OR(L62="",M62=""),"",L62-M62)</f>
        <v/>
      </c>
      <c r="O62" s="7"/>
      <c r="P62" s="7"/>
      <c r="Q62" s="7"/>
      <c r="R62" s="7"/>
      <c r="S62" s="7"/>
      <c r="T62" s="7"/>
      <c r="U62" s="8"/>
      <c r="V62" s="7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8"/>
      <c r="M63" s="8"/>
      <c r="N63" s="9" t="str">
        <f aca="false">IF(OR(L63="",M63=""),"",L63-M63)</f>
        <v/>
      </c>
      <c r="O63" s="7"/>
      <c r="P63" s="7"/>
      <c r="Q63" s="7"/>
      <c r="R63" s="7"/>
      <c r="S63" s="7"/>
      <c r="T63" s="7"/>
      <c r="U63" s="8"/>
      <c r="V63" s="7"/>
    </row>
    <row r="64" customFormat="false" ht="1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8"/>
      <c r="M64" s="8"/>
      <c r="N64" s="9" t="str">
        <f aca="false">IF(OR(L64="",M64=""),"",L64-M64)</f>
        <v/>
      </c>
      <c r="O64" s="7"/>
      <c r="P64" s="7"/>
      <c r="Q64" s="7"/>
      <c r="R64" s="7"/>
      <c r="S64" s="7"/>
      <c r="T64" s="7"/>
      <c r="U64" s="8"/>
      <c r="V64" s="7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8"/>
      <c r="M65" s="8"/>
      <c r="N65" s="9" t="str">
        <f aca="false">IF(OR(L65="",M65=""),"",L65-M65)</f>
        <v/>
      </c>
      <c r="O65" s="7"/>
      <c r="P65" s="7"/>
      <c r="Q65" s="7"/>
      <c r="R65" s="7"/>
      <c r="S65" s="7"/>
      <c r="T65" s="7"/>
      <c r="U65" s="8"/>
      <c r="V65" s="7"/>
    </row>
    <row r="66" customFormat="false" ht="1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8"/>
      <c r="M66" s="8"/>
      <c r="N66" s="9" t="str">
        <f aca="false">IF(OR(L66="",M66=""),"",L66-M66)</f>
        <v/>
      </c>
      <c r="O66" s="7"/>
      <c r="P66" s="7"/>
      <c r="Q66" s="7"/>
      <c r="R66" s="7"/>
      <c r="S66" s="7"/>
      <c r="T66" s="7"/>
      <c r="U66" s="8"/>
      <c r="V66" s="7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8"/>
      <c r="M67" s="8"/>
      <c r="N67" s="9" t="str">
        <f aca="false">IF(OR(L67="",M67=""),"",L67-M67)</f>
        <v/>
      </c>
      <c r="O67" s="7"/>
      <c r="P67" s="7"/>
      <c r="Q67" s="7"/>
      <c r="R67" s="7"/>
      <c r="S67" s="7"/>
      <c r="T67" s="7"/>
      <c r="U67" s="8"/>
      <c r="V67" s="7"/>
    </row>
    <row r="68" customFormat="false" ht="1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8"/>
      <c r="M68" s="8"/>
      <c r="N68" s="9" t="str">
        <f aca="false">IF(OR(L68="",M68=""),"",L68-M68)</f>
        <v/>
      </c>
      <c r="O68" s="7"/>
      <c r="P68" s="7"/>
      <c r="Q68" s="7"/>
      <c r="R68" s="7"/>
      <c r="S68" s="7"/>
      <c r="T68" s="7"/>
      <c r="U68" s="8"/>
      <c r="V68" s="7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8"/>
      <c r="M69" s="8"/>
      <c r="N69" s="9" t="str">
        <f aca="false">IF(OR(L69="",M69=""),"",L69-M69)</f>
        <v/>
      </c>
      <c r="O69" s="7"/>
      <c r="P69" s="7"/>
      <c r="Q69" s="7"/>
      <c r="R69" s="7"/>
      <c r="S69" s="7"/>
      <c r="T69" s="7"/>
      <c r="U69" s="8"/>
      <c r="V69" s="7"/>
    </row>
    <row r="70" customFormat="false" ht="1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8"/>
      <c r="M70" s="8"/>
      <c r="N70" s="9" t="str">
        <f aca="false">IF(OR(L70="",M70=""),"",L70-M70)</f>
        <v/>
      </c>
      <c r="O70" s="7"/>
      <c r="P70" s="7"/>
      <c r="Q70" s="7"/>
      <c r="R70" s="7"/>
      <c r="S70" s="7"/>
      <c r="T70" s="7"/>
      <c r="U70" s="8"/>
      <c r="V70" s="7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8"/>
      <c r="M71" s="8"/>
      <c r="N71" s="9" t="str">
        <f aca="false">IF(OR(L71="",M71=""),"",L71-M71)</f>
        <v/>
      </c>
      <c r="O71" s="7"/>
      <c r="P71" s="7"/>
      <c r="Q71" s="7"/>
      <c r="R71" s="7"/>
      <c r="S71" s="7"/>
      <c r="T71" s="7"/>
      <c r="U71" s="8"/>
      <c r="V71" s="7"/>
    </row>
    <row r="72" customFormat="false" ht="1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8"/>
      <c r="M72" s="8"/>
      <c r="N72" s="9" t="str">
        <f aca="false">IF(OR(L72="",M72=""),"",L72-M72)</f>
        <v/>
      </c>
      <c r="O72" s="7"/>
      <c r="P72" s="7"/>
      <c r="Q72" s="7"/>
      <c r="R72" s="7"/>
      <c r="S72" s="7"/>
      <c r="T72" s="7"/>
      <c r="U72" s="8"/>
      <c r="V72" s="7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8"/>
      <c r="M73" s="8"/>
      <c r="N73" s="9" t="str">
        <f aca="false">IF(OR(L73="",M73=""),"",L73-M73)</f>
        <v/>
      </c>
      <c r="O73" s="7"/>
      <c r="P73" s="7"/>
      <c r="Q73" s="7"/>
      <c r="R73" s="7"/>
      <c r="S73" s="7"/>
      <c r="T73" s="7"/>
      <c r="U73" s="8"/>
      <c r="V73" s="7"/>
    </row>
    <row r="74" customFormat="false" ht="1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8"/>
      <c r="M74" s="8"/>
      <c r="N74" s="9" t="str">
        <f aca="false">IF(OR(L74="",M74=""),"",L74-M74)</f>
        <v/>
      </c>
      <c r="O74" s="7"/>
      <c r="P74" s="7"/>
      <c r="Q74" s="7"/>
      <c r="R74" s="7"/>
      <c r="S74" s="7"/>
      <c r="T74" s="7"/>
      <c r="U74" s="8"/>
      <c r="V74" s="7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8"/>
      <c r="M75" s="8"/>
      <c r="N75" s="9" t="str">
        <f aca="false">IF(OR(L75="",M75=""),"",L75-M75)</f>
        <v/>
      </c>
      <c r="O75" s="7"/>
      <c r="P75" s="7"/>
      <c r="Q75" s="7"/>
      <c r="R75" s="7"/>
      <c r="S75" s="7"/>
      <c r="T75" s="7"/>
      <c r="U75" s="8"/>
      <c r="V75" s="7"/>
    </row>
    <row r="76" customFormat="false" ht="1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8"/>
      <c r="M76" s="8"/>
      <c r="N76" s="9" t="str">
        <f aca="false">IF(OR(L76="",M76=""),"",L76-M76)</f>
        <v/>
      </c>
      <c r="O76" s="7"/>
      <c r="P76" s="7"/>
      <c r="Q76" s="7"/>
      <c r="R76" s="7"/>
      <c r="S76" s="7"/>
      <c r="T76" s="7"/>
      <c r="U76" s="8"/>
      <c r="V76" s="7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8"/>
      <c r="M77" s="8"/>
      <c r="N77" s="9" t="str">
        <f aca="false">IF(OR(L77="",M77=""),"",L77-M77)</f>
        <v/>
      </c>
      <c r="O77" s="7"/>
      <c r="P77" s="7"/>
      <c r="Q77" s="7"/>
      <c r="R77" s="7"/>
      <c r="S77" s="7"/>
      <c r="T77" s="7"/>
      <c r="U77" s="8"/>
      <c r="V77" s="7"/>
    </row>
    <row r="78" customFormat="false" ht="1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8"/>
      <c r="M78" s="8"/>
      <c r="N78" s="9" t="str">
        <f aca="false">IF(OR(L78="",M78=""),"",L78-M78)</f>
        <v/>
      </c>
      <c r="O78" s="7"/>
      <c r="P78" s="7"/>
      <c r="Q78" s="7"/>
      <c r="R78" s="7"/>
      <c r="S78" s="7"/>
      <c r="T78" s="7"/>
      <c r="U78" s="8"/>
      <c r="V78" s="7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8"/>
      <c r="M79" s="8"/>
      <c r="N79" s="9" t="str">
        <f aca="false">IF(OR(L79="",M79=""),"",L79-M79)</f>
        <v/>
      </c>
      <c r="O79" s="7"/>
      <c r="P79" s="7"/>
      <c r="Q79" s="7"/>
      <c r="R79" s="7"/>
      <c r="S79" s="7"/>
      <c r="T79" s="7"/>
      <c r="U79" s="8"/>
      <c r="V79" s="7"/>
    </row>
    <row r="80" customFormat="false" ht="1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8"/>
      <c r="M80" s="8"/>
      <c r="N80" s="9" t="str">
        <f aca="false">IF(OR(L80="",M80=""),"",L80-M80)</f>
        <v/>
      </c>
      <c r="O80" s="7"/>
      <c r="P80" s="7"/>
      <c r="Q80" s="7"/>
      <c r="R80" s="7"/>
      <c r="S80" s="7"/>
      <c r="T80" s="7"/>
      <c r="U80" s="8"/>
      <c r="V80" s="7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8"/>
      <c r="M81" s="8"/>
      <c r="N81" s="9" t="str">
        <f aca="false">IF(OR(L81="",M81=""),"",L81-M81)</f>
        <v/>
      </c>
      <c r="O81" s="7"/>
      <c r="P81" s="7"/>
      <c r="Q81" s="7"/>
      <c r="R81" s="7"/>
      <c r="S81" s="7"/>
      <c r="T81" s="7"/>
      <c r="U81" s="8"/>
      <c r="V81" s="7"/>
    </row>
    <row r="82" customFormat="false" ht="1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8"/>
      <c r="M82" s="8"/>
      <c r="N82" s="9" t="str">
        <f aca="false">IF(OR(L82="",M82=""),"",L82-M82)</f>
        <v/>
      </c>
      <c r="O82" s="7"/>
      <c r="P82" s="7"/>
      <c r="Q82" s="7"/>
      <c r="R82" s="7"/>
      <c r="S82" s="7"/>
      <c r="T82" s="7"/>
      <c r="U82" s="8"/>
      <c r="V82" s="7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8"/>
      <c r="M83" s="8"/>
      <c r="N83" s="9" t="str">
        <f aca="false">IF(OR(L83="",M83=""),"",L83-M83)</f>
        <v/>
      </c>
      <c r="O83" s="7"/>
      <c r="P83" s="7"/>
      <c r="Q83" s="7"/>
      <c r="R83" s="7"/>
      <c r="S83" s="7"/>
      <c r="T83" s="7"/>
      <c r="U83" s="8"/>
      <c r="V83" s="7"/>
    </row>
    <row r="84" customFormat="false" ht="1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8"/>
      <c r="M84" s="8"/>
      <c r="N84" s="9" t="str">
        <f aca="false">IF(OR(L84="",M84=""),"",L84-M84)</f>
        <v/>
      </c>
      <c r="O84" s="7"/>
      <c r="P84" s="7"/>
      <c r="Q84" s="7"/>
      <c r="R84" s="7"/>
      <c r="S84" s="7"/>
      <c r="T84" s="7"/>
      <c r="U84" s="8"/>
      <c r="V84" s="7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8"/>
      <c r="M85" s="8"/>
      <c r="N85" s="9" t="str">
        <f aca="false">IF(OR(L85="",M85=""),"",L85-M85)</f>
        <v/>
      </c>
      <c r="O85" s="7"/>
      <c r="P85" s="7"/>
      <c r="Q85" s="7"/>
      <c r="R85" s="7"/>
      <c r="S85" s="7"/>
      <c r="T85" s="7"/>
      <c r="U85" s="8"/>
      <c r="V85" s="7"/>
    </row>
    <row r="86" customFormat="false" ht="1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8"/>
      <c r="M86" s="8"/>
      <c r="N86" s="9" t="str">
        <f aca="false">IF(OR(L86="",M86=""),"",L86-M86)</f>
        <v/>
      </c>
      <c r="O86" s="7"/>
      <c r="P86" s="7"/>
      <c r="Q86" s="7"/>
      <c r="R86" s="7"/>
      <c r="S86" s="7"/>
      <c r="T86" s="7"/>
      <c r="U86" s="8"/>
      <c r="V86" s="7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8"/>
      <c r="M87" s="8"/>
      <c r="N87" s="9" t="str">
        <f aca="false">IF(OR(L87="",M87=""),"",L87-M87)</f>
        <v/>
      </c>
      <c r="O87" s="7"/>
      <c r="P87" s="7"/>
      <c r="Q87" s="7"/>
      <c r="R87" s="7"/>
      <c r="S87" s="7"/>
      <c r="T87" s="7"/>
      <c r="U87" s="8"/>
      <c r="V87" s="7"/>
    </row>
    <row r="88" customFormat="false" ht="1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8"/>
      <c r="M88" s="8"/>
      <c r="N88" s="9" t="str">
        <f aca="false">IF(OR(L88="",M88=""),"",L88-M88)</f>
        <v/>
      </c>
      <c r="O88" s="7"/>
      <c r="P88" s="7"/>
      <c r="Q88" s="7"/>
      <c r="R88" s="7"/>
      <c r="S88" s="7"/>
      <c r="T88" s="7"/>
      <c r="U88" s="8"/>
      <c r="V88" s="7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8"/>
      <c r="M89" s="8"/>
      <c r="N89" s="9" t="str">
        <f aca="false">IF(OR(L89="",M89=""),"",L89-M89)</f>
        <v/>
      </c>
      <c r="O89" s="7"/>
      <c r="P89" s="7"/>
      <c r="Q89" s="7"/>
      <c r="R89" s="7"/>
      <c r="S89" s="7"/>
      <c r="T89" s="7"/>
      <c r="U89" s="8"/>
      <c r="V89" s="7"/>
    </row>
    <row r="90" customFormat="false" ht="1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8"/>
      <c r="M90" s="8"/>
      <c r="N90" s="9" t="str">
        <f aca="false">IF(OR(L90="",M90=""),"",L90-M90)</f>
        <v/>
      </c>
      <c r="O90" s="7"/>
      <c r="P90" s="7"/>
      <c r="Q90" s="7"/>
      <c r="R90" s="7"/>
      <c r="S90" s="7"/>
      <c r="T90" s="7"/>
      <c r="U90" s="8"/>
      <c r="V90" s="7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8"/>
      <c r="M91" s="8"/>
      <c r="N91" s="9" t="str">
        <f aca="false">IF(OR(L91="",M91=""),"",L91-M91)</f>
        <v/>
      </c>
      <c r="O91" s="7"/>
      <c r="P91" s="7"/>
      <c r="Q91" s="7"/>
      <c r="R91" s="7"/>
      <c r="S91" s="7"/>
      <c r="T91" s="7"/>
      <c r="U91" s="8"/>
      <c r="V91" s="7"/>
    </row>
    <row r="92" customFormat="false" ht="1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8"/>
      <c r="M92" s="8"/>
      <c r="N92" s="9" t="str">
        <f aca="false">IF(OR(L92="",M92=""),"",L92-M92)</f>
        <v/>
      </c>
      <c r="O92" s="7"/>
      <c r="P92" s="7"/>
      <c r="Q92" s="7"/>
      <c r="R92" s="7"/>
      <c r="S92" s="7"/>
      <c r="T92" s="7"/>
      <c r="U92" s="8"/>
      <c r="V92" s="7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8"/>
      <c r="M93" s="8"/>
      <c r="N93" s="9" t="str">
        <f aca="false">IF(OR(L93="",M93=""),"",L93-M93)</f>
        <v/>
      </c>
      <c r="O93" s="7"/>
      <c r="P93" s="7"/>
      <c r="Q93" s="7"/>
      <c r="R93" s="7"/>
      <c r="S93" s="7"/>
      <c r="T93" s="7"/>
      <c r="U93" s="8"/>
      <c r="V93" s="7"/>
    </row>
    <row r="94" customFormat="false" ht="1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8"/>
      <c r="M94" s="8"/>
      <c r="N94" s="9" t="str">
        <f aca="false">IF(OR(L94="",M94=""),"",L94-M94)</f>
        <v/>
      </c>
      <c r="O94" s="7"/>
      <c r="P94" s="7"/>
      <c r="Q94" s="7"/>
      <c r="R94" s="7"/>
      <c r="S94" s="7"/>
      <c r="T94" s="7"/>
      <c r="U94" s="8"/>
      <c r="V94" s="7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8"/>
      <c r="M95" s="8"/>
      <c r="N95" s="9" t="str">
        <f aca="false">IF(OR(L95="",M95=""),"",L95-M95)</f>
        <v/>
      </c>
      <c r="O95" s="7"/>
      <c r="P95" s="7"/>
      <c r="Q95" s="7"/>
      <c r="R95" s="7"/>
      <c r="S95" s="7"/>
      <c r="T95" s="7"/>
      <c r="U95" s="8"/>
      <c r="V95" s="7"/>
    </row>
    <row r="96" customFormat="false" ht="1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8"/>
      <c r="M96" s="8"/>
      <c r="N96" s="9" t="str">
        <f aca="false">IF(OR(L96="",M96=""),"",L96-M96)</f>
        <v/>
      </c>
      <c r="O96" s="7"/>
      <c r="P96" s="7"/>
      <c r="Q96" s="7"/>
      <c r="R96" s="7"/>
      <c r="S96" s="7"/>
      <c r="T96" s="7"/>
      <c r="U96" s="8"/>
      <c r="V96" s="7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8"/>
      <c r="M97" s="8"/>
      <c r="N97" s="9" t="str">
        <f aca="false">IF(OR(L97="",M97=""),"",L97-M97)</f>
        <v/>
      </c>
      <c r="O97" s="7"/>
      <c r="P97" s="7"/>
      <c r="Q97" s="7"/>
      <c r="R97" s="7"/>
      <c r="S97" s="7"/>
      <c r="T97" s="7"/>
      <c r="U97" s="8"/>
      <c r="V97" s="7"/>
    </row>
    <row r="98" customFormat="false" ht="1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8"/>
      <c r="M98" s="8"/>
      <c r="N98" s="9" t="str">
        <f aca="false">IF(OR(L98="",M98=""),"",L98-M98)</f>
        <v/>
      </c>
      <c r="O98" s="7"/>
      <c r="P98" s="7"/>
      <c r="Q98" s="7"/>
      <c r="R98" s="7"/>
      <c r="S98" s="7"/>
      <c r="T98" s="7"/>
      <c r="U98" s="8"/>
      <c r="V98" s="7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8"/>
      <c r="M99" s="8"/>
      <c r="N99" s="9" t="str">
        <f aca="false">IF(OR(L99="",M99=""),"",L99-M99)</f>
        <v/>
      </c>
      <c r="O99" s="7"/>
      <c r="P99" s="7"/>
      <c r="Q99" s="7"/>
      <c r="R99" s="7"/>
      <c r="S99" s="7"/>
      <c r="T99" s="7"/>
      <c r="U99" s="8"/>
      <c r="V99" s="7"/>
    </row>
    <row r="100" customFormat="false" ht="1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8"/>
      <c r="M100" s="8"/>
      <c r="N100" s="9" t="str">
        <f aca="false">IF(OR(L100="",M100=""),"",L100-M100)</f>
        <v/>
      </c>
      <c r="O100" s="7"/>
      <c r="P100" s="7"/>
      <c r="Q100" s="7"/>
      <c r="R100" s="7"/>
      <c r="S100" s="7"/>
      <c r="T100" s="7"/>
      <c r="U100" s="8"/>
      <c r="V100" s="7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8"/>
      <c r="M101" s="8"/>
      <c r="N101" s="9" t="str">
        <f aca="false">IF(OR(L101="",M101=""),"",L101-M101)</f>
        <v/>
      </c>
      <c r="O101" s="7"/>
      <c r="P101" s="7"/>
      <c r="Q101" s="7"/>
      <c r="R101" s="7"/>
      <c r="S101" s="7"/>
      <c r="T101" s="7"/>
      <c r="U101" s="8"/>
      <c r="V101" s="7"/>
    </row>
    <row r="102" customFormat="false" ht="1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8"/>
      <c r="M102" s="8"/>
      <c r="N102" s="9" t="str">
        <f aca="false">IF(OR(L102="",M102=""),"",L102-M102)</f>
        <v/>
      </c>
      <c r="O102" s="7"/>
      <c r="P102" s="7"/>
      <c r="Q102" s="7"/>
      <c r="R102" s="7"/>
      <c r="S102" s="7"/>
      <c r="T102" s="7"/>
      <c r="U102" s="8"/>
      <c r="V102" s="7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8"/>
      <c r="M103" s="8"/>
      <c r="N103" s="9" t="str">
        <f aca="false">IF(OR(L103="",M103=""),"",L103-M103)</f>
        <v/>
      </c>
      <c r="O103" s="7"/>
      <c r="P103" s="7"/>
      <c r="Q103" s="7"/>
      <c r="R103" s="7"/>
      <c r="S103" s="7"/>
      <c r="T103" s="7"/>
      <c r="U103" s="8"/>
      <c r="V103" s="7"/>
    </row>
    <row r="104" customFormat="false" ht="1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8"/>
      <c r="M104" s="8"/>
      <c r="N104" s="9" t="str">
        <f aca="false">IF(OR(L104="",M104=""),"",L104-M104)</f>
        <v/>
      </c>
      <c r="O104" s="7"/>
      <c r="P104" s="7"/>
      <c r="Q104" s="7"/>
      <c r="R104" s="7"/>
      <c r="S104" s="7"/>
      <c r="T104" s="7"/>
      <c r="U104" s="8"/>
      <c r="V104" s="7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8"/>
      <c r="M105" s="8"/>
      <c r="N105" s="9" t="str">
        <f aca="false">IF(OR(L105="",M105=""),"",L105-M105)</f>
        <v/>
      </c>
      <c r="O105" s="7"/>
      <c r="P105" s="7"/>
      <c r="Q105" s="7"/>
      <c r="R105" s="7"/>
      <c r="S105" s="7"/>
      <c r="T105" s="7"/>
      <c r="U105" s="8"/>
      <c r="V105" s="7"/>
    </row>
    <row r="106" customFormat="false" ht="1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8"/>
      <c r="M106" s="8"/>
      <c r="N106" s="9" t="str">
        <f aca="false">IF(OR(L106="",M106=""),"",L106-M106)</f>
        <v/>
      </c>
      <c r="O106" s="7"/>
      <c r="P106" s="7"/>
      <c r="Q106" s="7"/>
      <c r="R106" s="7"/>
      <c r="S106" s="7"/>
      <c r="T106" s="7"/>
      <c r="U106" s="8"/>
      <c r="V106" s="7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8"/>
      <c r="M107" s="8"/>
      <c r="N107" s="9" t="str">
        <f aca="false">IF(OR(L107="",M107=""),"",L107-M107)</f>
        <v/>
      </c>
      <c r="O107" s="7"/>
      <c r="P107" s="7"/>
      <c r="Q107" s="7"/>
      <c r="R107" s="7"/>
      <c r="S107" s="7"/>
      <c r="T107" s="7"/>
      <c r="U107" s="8"/>
      <c r="V107" s="7"/>
    </row>
    <row r="108" customFormat="false" ht="1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8"/>
      <c r="M108" s="8"/>
      <c r="N108" s="9" t="str">
        <f aca="false">IF(OR(L108="",M108=""),"",L108-M108)</f>
        <v/>
      </c>
      <c r="O108" s="7"/>
      <c r="P108" s="7"/>
      <c r="Q108" s="7"/>
      <c r="R108" s="7"/>
      <c r="S108" s="7"/>
      <c r="T108" s="7"/>
      <c r="U108" s="8"/>
      <c r="V108" s="7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8"/>
      <c r="M109" s="8"/>
      <c r="N109" s="9" t="str">
        <f aca="false">IF(OR(L109="",M109=""),"",L109-M109)</f>
        <v/>
      </c>
      <c r="O109" s="7"/>
      <c r="P109" s="7"/>
      <c r="Q109" s="7"/>
      <c r="R109" s="7"/>
      <c r="S109" s="7"/>
      <c r="T109" s="7"/>
      <c r="U109" s="8"/>
      <c r="V109" s="7"/>
    </row>
    <row r="110" customFormat="false" ht="1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8"/>
      <c r="M110" s="8"/>
      <c r="N110" s="9" t="str">
        <f aca="false">IF(OR(L110="",M110=""),"",L110-M110)</f>
        <v/>
      </c>
      <c r="O110" s="7"/>
      <c r="P110" s="7"/>
      <c r="Q110" s="7"/>
      <c r="R110" s="7"/>
      <c r="S110" s="7"/>
      <c r="T110" s="7"/>
      <c r="U110" s="8"/>
      <c r="V110" s="7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8"/>
      <c r="M111" s="8"/>
      <c r="N111" s="9" t="str">
        <f aca="false">IF(OR(L111="",M111=""),"",L111-M111)</f>
        <v/>
      </c>
      <c r="O111" s="7"/>
      <c r="P111" s="7"/>
      <c r="Q111" s="7"/>
      <c r="R111" s="7"/>
      <c r="S111" s="7"/>
      <c r="T111" s="7"/>
      <c r="U111" s="8"/>
      <c r="V111" s="7"/>
    </row>
    <row r="112" customFormat="false" ht="1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8"/>
      <c r="M112" s="8"/>
      <c r="N112" s="9" t="str">
        <f aca="false">IF(OR(L112="",M112=""),"",L112-M112)</f>
        <v/>
      </c>
      <c r="O112" s="7"/>
      <c r="P112" s="7"/>
      <c r="Q112" s="7"/>
      <c r="R112" s="7"/>
      <c r="S112" s="7"/>
      <c r="T112" s="7"/>
      <c r="U112" s="8"/>
      <c r="V112" s="7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8"/>
      <c r="M113" s="8"/>
      <c r="N113" s="9" t="str">
        <f aca="false">IF(OR(L113="",M113=""),"",L113-M113)</f>
        <v/>
      </c>
      <c r="O113" s="7"/>
      <c r="P113" s="7"/>
      <c r="Q113" s="7"/>
      <c r="R113" s="7"/>
      <c r="S113" s="7"/>
      <c r="T113" s="7"/>
      <c r="U113" s="8"/>
      <c r="V113" s="7"/>
    </row>
    <row r="114" customFormat="false" ht="1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8"/>
      <c r="M114" s="8"/>
      <c r="N114" s="9" t="str">
        <f aca="false">IF(OR(L114="",M114=""),"",L114-M114)</f>
        <v/>
      </c>
      <c r="O114" s="7"/>
      <c r="P114" s="7"/>
      <c r="Q114" s="7"/>
      <c r="R114" s="7"/>
      <c r="S114" s="7"/>
      <c r="T114" s="7"/>
      <c r="U114" s="8"/>
      <c r="V114" s="7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8"/>
      <c r="M115" s="8"/>
      <c r="N115" s="9" t="str">
        <f aca="false">IF(OR(L115="",M115=""),"",L115-M115)</f>
        <v/>
      </c>
      <c r="O115" s="7"/>
      <c r="P115" s="7"/>
      <c r="Q115" s="7"/>
      <c r="R115" s="7"/>
      <c r="S115" s="7"/>
      <c r="T115" s="7"/>
      <c r="U115" s="8"/>
      <c r="V115" s="7"/>
    </row>
    <row r="116" customFormat="false" ht="1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8"/>
      <c r="M116" s="8"/>
      <c r="N116" s="9" t="str">
        <f aca="false">IF(OR(L116="",M116=""),"",L116-M116)</f>
        <v/>
      </c>
      <c r="O116" s="7"/>
      <c r="P116" s="7"/>
      <c r="Q116" s="7"/>
      <c r="R116" s="7"/>
      <c r="S116" s="7"/>
      <c r="T116" s="7"/>
      <c r="U116" s="8"/>
      <c r="V116" s="7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8"/>
      <c r="M117" s="8"/>
      <c r="N117" s="9" t="str">
        <f aca="false">IF(OR(L117="",M117=""),"",L117-M117)</f>
        <v/>
      </c>
      <c r="O117" s="7"/>
      <c r="P117" s="7"/>
      <c r="Q117" s="7"/>
      <c r="R117" s="7"/>
      <c r="S117" s="7"/>
      <c r="T117" s="7"/>
      <c r="U117" s="8"/>
      <c r="V117" s="7"/>
    </row>
    <row r="118" customFormat="false" ht="1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8"/>
      <c r="M118" s="8"/>
      <c r="N118" s="9" t="str">
        <f aca="false">IF(OR(L118="",M118=""),"",L118-M118)</f>
        <v/>
      </c>
      <c r="O118" s="7"/>
      <c r="P118" s="7"/>
      <c r="Q118" s="7"/>
      <c r="R118" s="7"/>
      <c r="S118" s="7"/>
      <c r="T118" s="7"/>
      <c r="U118" s="8"/>
      <c r="V118" s="7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8"/>
      <c r="M119" s="8"/>
      <c r="N119" s="9" t="str">
        <f aca="false">IF(OR(L119="",M119=""),"",L119-M119)</f>
        <v/>
      </c>
      <c r="O119" s="7"/>
      <c r="P119" s="7"/>
      <c r="Q119" s="7"/>
      <c r="R119" s="7"/>
      <c r="S119" s="7"/>
      <c r="T119" s="7"/>
      <c r="U119" s="8"/>
      <c r="V119" s="7"/>
    </row>
    <row r="120" customFormat="false" ht="1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8"/>
      <c r="M120" s="8"/>
      <c r="N120" s="9" t="str">
        <f aca="false">IF(OR(L120="",M120=""),"",L120-M120)</f>
        <v/>
      </c>
      <c r="O120" s="7"/>
      <c r="P120" s="7"/>
      <c r="Q120" s="7"/>
      <c r="R120" s="7"/>
      <c r="S120" s="7"/>
      <c r="T120" s="7"/>
      <c r="U120" s="8"/>
      <c r="V120" s="7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8"/>
      <c r="M121" s="8"/>
      <c r="N121" s="9" t="str">
        <f aca="false">IF(OR(L121="",M121=""),"",L121-M121)</f>
        <v/>
      </c>
      <c r="O121" s="7"/>
      <c r="P121" s="7"/>
      <c r="Q121" s="7"/>
      <c r="R121" s="7"/>
      <c r="S121" s="7"/>
      <c r="T121" s="7"/>
      <c r="U121" s="8"/>
      <c r="V121" s="7"/>
    </row>
    <row r="122" customFormat="false" ht="1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8"/>
      <c r="M122" s="8"/>
      <c r="N122" s="9" t="str">
        <f aca="false">IF(OR(L122="",M122=""),"",L122-M122)</f>
        <v/>
      </c>
      <c r="O122" s="7"/>
      <c r="P122" s="7"/>
      <c r="Q122" s="7"/>
      <c r="R122" s="7"/>
      <c r="S122" s="7"/>
      <c r="T122" s="7"/>
      <c r="U122" s="8"/>
      <c r="V122" s="7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8"/>
      <c r="M123" s="8"/>
      <c r="N123" s="9" t="str">
        <f aca="false">IF(OR(L123="",M123=""),"",L123-M123)</f>
        <v/>
      </c>
      <c r="O123" s="7"/>
      <c r="P123" s="7"/>
      <c r="Q123" s="7"/>
      <c r="R123" s="7"/>
      <c r="S123" s="7"/>
      <c r="T123" s="7"/>
      <c r="U123" s="8"/>
      <c r="V123" s="7"/>
    </row>
    <row r="124" customFormat="false" ht="1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8"/>
      <c r="M124" s="8"/>
      <c r="N124" s="9" t="str">
        <f aca="false">IF(OR(L124="",M124=""),"",L124-M124)</f>
        <v/>
      </c>
      <c r="O124" s="7"/>
      <c r="P124" s="7"/>
      <c r="Q124" s="7"/>
      <c r="R124" s="7"/>
      <c r="S124" s="7"/>
      <c r="T124" s="7"/>
      <c r="U124" s="8"/>
      <c r="V124" s="7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8"/>
      <c r="M125" s="8"/>
      <c r="N125" s="9" t="str">
        <f aca="false">IF(OR(L125="",M125=""),"",L125-M125)</f>
        <v/>
      </c>
      <c r="O125" s="7"/>
      <c r="P125" s="7"/>
      <c r="Q125" s="7"/>
      <c r="R125" s="7"/>
      <c r="S125" s="7"/>
      <c r="T125" s="7"/>
      <c r="U125" s="8"/>
      <c r="V125" s="7"/>
    </row>
    <row r="126" customFormat="false" ht="1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8"/>
      <c r="M126" s="8"/>
      <c r="N126" s="9" t="str">
        <f aca="false">IF(OR(L126="",M126=""),"",L126-M126)</f>
        <v/>
      </c>
      <c r="O126" s="7"/>
      <c r="P126" s="7"/>
      <c r="Q126" s="7"/>
      <c r="R126" s="7"/>
      <c r="S126" s="7"/>
      <c r="T126" s="7"/>
      <c r="U126" s="8"/>
      <c r="V126" s="7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8"/>
      <c r="M127" s="8"/>
      <c r="N127" s="9" t="str">
        <f aca="false">IF(OR(L127="",M127=""),"",L127-M127)</f>
        <v/>
      </c>
      <c r="O127" s="7"/>
      <c r="P127" s="7"/>
      <c r="Q127" s="7"/>
      <c r="R127" s="7"/>
      <c r="S127" s="7"/>
      <c r="T127" s="7"/>
      <c r="U127" s="8"/>
      <c r="V127" s="7"/>
    </row>
    <row r="128" customFormat="false" ht="1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8"/>
      <c r="M128" s="8"/>
      <c r="N128" s="9" t="str">
        <f aca="false">IF(OR(L128="",M128=""),"",L128-M128)</f>
        <v/>
      </c>
      <c r="O128" s="7"/>
      <c r="P128" s="7"/>
      <c r="Q128" s="7"/>
      <c r="R128" s="7"/>
      <c r="S128" s="7"/>
      <c r="T128" s="7"/>
      <c r="U128" s="8"/>
      <c r="V128" s="7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8"/>
      <c r="M129" s="8"/>
      <c r="N129" s="9" t="str">
        <f aca="false">IF(OR(L129="",M129=""),"",L129-M129)</f>
        <v/>
      </c>
      <c r="O129" s="7"/>
      <c r="P129" s="7"/>
      <c r="Q129" s="7"/>
      <c r="R129" s="7"/>
      <c r="S129" s="7"/>
      <c r="T129" s="7"/>
      <c r="U129" s="8"/>
      <c r="V129" s="7"/>
    </row>
    <row r="130" customFormat="false" ht="1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8"/>
      <c r="M130" s="8"/>
      <c r="N130" s="9" t="str">
        <f aca="false">IF(OR(L130="",M130=""),"",L130-M130)</f>
        <v/>
      </c>
      <c r="O130" s="7"/>
      <c r="P130" s="7"/>
      <c r="Q130" s="7"/>
      <c r="R130" s="7"/>
      <c r="S130" s="7"/>
      <c r="T130" s="7"/>
      <c r="U130" s="8"/>
      <c r="V130" s="7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8"/>
      <c r="M131" s="8"/>
      <c r="N131" s="9" t="str">
        <f aca="false">IF(OR(L131="",M131=""),"",L131-M131)</f>
        <v/>
      </c>
      <c r="O131" s="7"/>
      <c r="P131" s="7"/>
      <c r="Q131" s="7"/>
      <c r="R131" s="7"/>
      <c r="S131" s="7"/>
      <c r="T131" s="7"/>
      <c r="U131" s="8"/>
      <c r="V131" s="7"/>
    </row>
    <row r="132" customFormat="false" ht="1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8"/>
      <c r="M132" s="8"/>
      <c r="N132" s="9" t="str">
        <f aca="false">IF(OR(L132="",M132=""),"",L132-M132)</f>
        <v/>
      </c>
      <c r="O132" s="7"/>
      <c r="P132" s="7"/>
      <c r="Q132" s="7"/>
      <c r="R132" s="7"/>
      <c r="S132" s="7"/>
      <c r="T132" s="7"/>
      <c r="U132" s="8"/>
      <c r="V132" s="7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8"/>
      <c r="M133" s="8"/>
      <c r="N133" s="9" t="str">
        <f aca="false">IF(OR(L133="",M133=""),"",L133-M133)</f>
        <v/>
      </c>
      <c r="O133" s="7"/>
      <c r="P133" s="7"/>
      <c r="Q133" s="7"/>
      <c r="R133" s="7"/>
      <c r="S133" s="7"/>
      <c r="T133" s="7"/>
      <c r="U133" s="8"/>
      <c r="V133" s="7"/>
    </row>
    <row r="134" customFormat="false" ht="1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8"/>
      <c r="M134" s="8"/>
      <c r="N134" s="9" t="str">
        <f aca="false">IF(OR(L134="",M134=""),"",L134-M134)</f>
        <v/>
      </c>
      <c r="O134" s="7"/>
      <c r="P134" s="7"/>
      <c r="Q134" s="7"/>
      <c r="R134" s="7"/>
      <c r="S134" s="7"/>
      <c r="T134" s="7"/>
      <c r="U134" s="8"/>
      <c r="V134" s="7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8"/>
      <c r="M135" s="8"/>
      <c r="N135" s="9" t="str">
        <f aca="false">IF(OR(L135="",M135=""),"",L135-M135)</f>
        <v/>
      </c>
      <c r="O135" s="7"/>
      <c r="P135" s="7"/>
      <c r="Q135" s="7"/>
      <c r="R135" s="7"/>
      <c r="S135" s="7"/>
      <c r="T135" s="7"/>
      <c r="U135" s="8"/>
      <c r="V135" s="7"/>
    </row>
    <row r="136" customFormat="false" ht="1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8"/>
      <c r="M136" s="8"/>
      <c r="N136" s="9" t="str">
        <f aca="false">IF(OR(L136="",M136=""),"",L136-M136)</f>
        <v/>
      </c>
      <c r="O136" s="7"/>
      <c r="P136" s="7"/>
      <c r="Q136" s="7"/>
      <c r="R136" s="7"/>
      <c r="S136" s="7"/>
      <c r="T136" s="7"/>
      <c r="U136" s="8"/>
      <c r="V136" s="7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8"/>
      <c r="M137" s="8"/>
      <c r="N137" s="9" t="str">
        <f aca="false">IF(OR(L137="",M137=""),"",L137-M137)</f>
        <v/>
      </c>
      <c r="O137" s="7"/>
      <c r="P137" s="7"/>
      <c r="Q137" s="7"/>
      <c r="R137" s="7"/>
      <c r="S137" s="7"/>
      <c r="T137" s="7"/>
      <c r="U137" s="8"/>
      <c r="V137" s="7"/>
    </row>
    <row r="138" customFormat="false" ht="1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8"/>
      <c r="M138" s="8"/>
      <c r="N138" s="9" t="str">
        <f aca="false">IF(OR(L138="",M138=""),"",L138-M138)</f>
        <v/>
      </c>
      <c r="O138" s="7"/>
      <c r="P138" s="7"/>
      <c r="Q138" s="7"/>
      <c r="R138" s="7"/>
      <c r="S138" s="7"/>
      <c r="T138" s="7"/>
      <c r="U138" s="8"/>
      <c r="V138" s="7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8"/>
      <c r="M139" s="8"/>
      <c r="N139" s="9" t="str">
        <f aca="false">IF(OR(L139="",M139=""),"",L139-M139)</f>
        <v/>
      </c>
      <c r="O139" s="7"/>
      <c r="P139" s="7"/>
      <c r="Q139" s="7"/>
      <c r="R139" s="7"/>
      <c r="S139" s="7"/>
      <c r="T139" s="7"/>
      <c r="U139" s="8"/>
      <c r="V139" s="7"/>
    </row>
    <row r="140" customFormat="false" ht="1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8"/>
      <c r="M140" s="8"/>
      <c r="N140" s="9" t="str">
        <f aca="false">IF(OR(L140="",M140=""),"",L140-M140)</f>
        <v/>
      </c>
      <c r="O140" s="7"/>
      <c r="P140" s="7"/>
      <c r="Q140" s="7"/>
      <c r="R140" s="7"/>
      <c r="S140" s="7"/>
      <c r="T140" s="7"/>
      <c r="U140" s="8"/>
      <c r="V140" s="7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8"/>
      <c r="M141" s="8"/>
      <c r="N141" s="9" t="str">
        <f aca="false">IF(OR(L141="",M141=""),"",L141-M141)</f>
        <v/>
      </c>
      <c r="O141" s="7"/>
      <c r="P141" s="7"/>
      <c r="Q141" s="7"/>
      <c r="R141" s="7"/>
      <c r="S141" s="7"/>
      <c r="T141" s="7"/>
      <c r="U141" s="8"/>
      <c r="V141" s="7"/>
    </row>
    <row r="142" customFormat="false" ht="1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8"/>
      <c r="M142" s="8"/>
      <c r="N142" s="9" t="str">
        <f aca="false">IF(OR(L142="",M142=""),"",L142-M142)</f>
        <v/>
      </c>
      <c r="O142" s="7"/>
      <c r="P142" s="7"/>
      <c r="Q142" s="7"/>
      <c r="R142" s="7"/>
      <c r="S142" s="7"/>
      <c r="T142" s="7"/>
      <c r="U142" s="8"/>
      <c r="V142" s="7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8"/>
      <c r="M143" s="8"/>
      <c r="N143" s="9" t="str">
        <f aca="false">IF(OR(L143="",M143=""),"",L143-M143)</f>
        <v/>
      </c>
      <c r="O143" s="7"/>
      <c r="P143" s="7"/>
      <c r="Q143" s="7"/>
      <c r="R143" s="7"/>
      <c r="S143" s="7"/>
      <c r="T143" s="7"/>
      <c r="U143" s="8"/>
      <c r="V143" s="7"/>
    </row>
    <row r="144" customFormat="false" ht="1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8"/>
      <c r="M144" s="8"/>
      <c r="N144" s="9" t="str">
        <f aca="false">IF(OR(L144="",M144=""),"",L144-M144)</f>
        <v/>
      </c>
      <c r="O144" s="7"/>
      <c r="P144" s="7"/>
      <c r="Q144" s="7"/>
      <c r="R144" s="7"/>
      <c r="S144" s="7"/>
      <c r="T144" s="7"/>
      <c r="U144" s="8"/>
      <c r="V144" s="7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8"/>
      <c r="M145" s="8"/>
      <c r="N145" s="9" t="str">
        <f aca="false">IF(OR(L145="",M145=""),"",L145-M145)</f>
        <v/>
      </c>
      <c r="O145" s="7"/>
      <c r="P145" s="7"/>
      <c r="Q145" s="7"/>
      <c r="R145" s="7"/>
      <c r="S145" s="7"/>
      <c r="T145" s="7"/>
      <c r="U145" s="8"/>
      <c r="V145" s="7"/>
    </row>
    <row r="146" customFormat="false" ht="1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8"/>
      <c r="M146" s="8"/>
      <c r="N146" s="9" t="str">
        <f aca="false">IF(OR(L146="",M146=""),"",L146-M146)</f>
        <v/>
      </c>
      <c r="O146" s="7"/>
      <c r="P146" s="7"/>
      <c r="Q146" s="7"/>
      <c r="R146" s="7"/>
      <c r="S146" s="7"/>
      <c r="T146" s="7"/>
      <c r="U146" s="8"/>
      <c r="V146" s="7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8"/>
      <c r="M147" s="8"/>
      <c r="N147" s="9" t="str">
        <f aca="false">IF(OR(L147="",M147=""),"",L147-M147)</f>
        <v/>
      </c>
      <c r="O147" s="7"/>
      <c r="P147" s="7"/>
      <c r="Q147" s="7"/>
      <c r="R147" s="7"/>
      <c r="S147" s="7"/>
      <c r="T147" s="7"/>
      <c r="U147" s="8"/>
      <c r="V147" s="7"/>
    </row>
    <row r="148" customFormat="false" ht="1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8"/>
      <c r="M148" s="8"/>
      <c r="N148" s="9" t="str">
        <f aca="false">IF(OR(L148="",M148=""),"",L148-M148)</f>
        <v/>
      </c>
      <c r="O148" s="7"/>
      <c r="P148" s="7"/>
      <c r="Q148" s="7"/>
      <c r="R148" s="7"/>
      <c r="S148" s="7"/>
      <c r="T148" s="7"/>
      <c r="U148" s="8"/>
      <c r="V148" s="7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8"/>
      <c r="M149" s="8"/>
      <c r="N149" s="9" t="str">
        <f aca="false">IF(OR(L149="",M149=""),"",L149-M149)</f>
        <v/>
      </c>
      <c r="O149" s="7"/>
      <c r="P149" s="7"/>
      <c r="Q149" s="7"/>
      <c r="R149" s="7"/>
      <c r="S149" s="7"/>
      <c r="T149" s="7"/>
      <c r="U149" s="8"/>
      <c r="V149" s="7"/>
    </row>
    <row r="150" customFormat="false" ht="1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8"/>
      <c r="M150" s="8"/>
      <c r="N150" s="9" t="str">
        <f aca="false">IF(OR(L150="",M150=""),"",L150-M150)</f>
        <v/>
      </c>
      <c r="O150" s="7"/>
      <c r="P150" s="7"/>
      <c r="Q150" s="7"/>
      <c r="R150" s="7"/>
      <c r="S150" s="7"/>
      <c r="T150" s="7"/>
      <c r="U150" s="8"/>
      <c r="V150" s="7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8"/>
      <c r="M151" s="8"/>
      <c r="N151" s="9" t="str">
        <f aca="false">IF(OR(L151="",M151=""),"",L151-M151)</f>
        <v/>
      </c>
      <c r="O151" s="7"/>
      <c r="P151" s="7"/>
      <c r="Q151" s="7"/>
      <c r="R151" s="7"/>
      <c r="S151" s="7"/>
      <c r="T151" s="7"/>
      <c r="U151" s="8"/>
      <c r="V151" s="7"/>
    </row>
    <row r="152" customFormat="false" ht="1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8"/>
      <c r="M152" s="8"/>
      <c r="N152" s="9" t="str">
        <f aca="false">IF(OR(L152="",M152=""),"",L152-M152)</f>
        <v/>
      </c>
      <c r="O152" s="7"/>
      <c r="P152" s="7"/>
      <c r="Q152" s="7"/>
      <c r="R152" s="7"/>
      <c r="S152" s="7"/>
      <c r="T152" s="7"/>
      <c r="U152" s="8"/>
      <c r="V152" s="7"/>
    </row>
  </sheetData>
  <mergeCells count="1">
    <mergeCell ref="A1:V1"/>
  </mergeCells>
  <conditionalFormatting sqref="P3:P152">
    <cfRule type="cellIs" priority="2" operator="equal" aboveAverage="0" equalAverage="0" bottom="0" percent="0" rank="0" text="" dxfId="0">
      <formula>"Off Track"</formula>
    </cfRule>
    <cfRule type="cellIs" priority="3" operator="equal" aboveAverage="0" equalAverage="0" bottom="0" percent="0" rank="0" text="" dxfId="1">
      <formula>"Uncommitted"</formula>
    </cfRule>
    <cfRule type="cellIs" priority="4" operator="equal" aboveAverage="0" equalAverage="0" bottom="0" percent="0" rank="0" text="" dxfId="1">
      <formula>"At Risk"</formula>
    </cfRule>
    <cfRule type="cellIs" priority="5" operator="equal" aboveAverage="0" equalAverage="0" bottom="0" percent="0" rank="0" text="" dxfId="2">
      <formula>"On Track"</formula>
    </cfRule>
  </conditionalFormatting>
  <conditionalFormatting sqref="O3:O152">
    <cfRule type="cellIs" priority="6" operator="equal" aboveAverage="0" equalAverage="0" bottom="0" percent="0" rank="0" text="" dxfId="1">
      <formula>"Identified"</formula>
    </cfRule>
    <cfRule type="cellIs" priority="7" operator="equal" aboveAverage="0" equalAverage="0" bottom="0" percent="0" rank="0" text="" dxfId="1">
      <formula>"Negotiating"</formula>
    </cfRule>
    <cfRule type="cellIs" priority="8" operator="equal" aboveAverage="0" equalAverage="0" bottom="0" percent="0" rank="0" text="" dxfId="2">
      <formula>"Committed"</formula>
    </cfRule>
  </conditionalFormatting>
  <conditionalFormatting sqref="J3:J152">
    <cfRule type="cellIs" priority="9" operator="equal" aboveAverage="0" equalAverage="0" bottom="0" percent="0" rank="0" text="" dxfId="0">
      <formula>"Gate-Blocking"</formula>
    </cfRule>
  </conditionalFormatting>
  <conditionalFormatting sqref="N3:N152">
    <cfRule type="cellIs" priority="10" operator="lessThan" aboveAverage="0" equalAverage="0" bottom="0" percent="0" rank="0" text="" dxfId="0">
      <formula>0</formula>
    </cfRule>
  </conditionalFormatting>
  <dataValidations count="8">
    <dataValidation allowBlank="true" errorStyle="stop" operator="between" showDropDown="false" showErrorMessage="false" showInputMessage="false" sqref="B3:B152" type="list">
      <formula1>"Needs,Feeds,Internal"</formula1>
      <formula2>0</formula2>
    </dataValidation>
    <dataValidation allowBlank="true" errorStyle="stop" operator="between" showDropDown="false" showErrorMessage="false" showInputMessage="false" sqref="C3:C152 E3:E152" type="list">
      <formula1>"SailPoint IGA,CyberArk PAM,Okta SSO,Identity Provider Service (CO#1),Directory Modernization (CO#2),Program (PMO / OCM),HR / HCM Program,EHR / Clinical Systems Program,Network &amp; Infrastructure,LDAP Retirement,Service Desk / ITSM Tooling,Security Operation"</formula1>
      <formula2>0</formula2>
    </dataValidation>
    <dataValidation allowBlank="true" errorStyle="stop" operator="between" showDropDown="false" showErrorMessage="false" showInputMessage="false" sqref="H3:H152" type="list">
      <formula1>"Technical / Integration,Data,Decision / Approval,Resource / Staffing,Funding,Vendor / Contract,Compliance / Audit,Environment / Infrastructure"</formula1>
      <formula2>0</formula2>
    </dataValidation>
    <dataValidation allowBlank="true" errorStyle="stop" operator="between" showDropDown="false" showErrorMessage="false" showInputMessage="false" sqref="I3:I152" type="list">
      <formula1>"Hard,Soft"</formula1>
      <formula2>0</formula2>
    </dataValidation>
    <dataValidation allowBlank="true" errorStyle="stop" operator="between" showDropDown="false" showErrorMessage="false" showInputMessage="false" sqref="J3:J152" type="list">
      <formula1>"Gate-Blocking,Milestone"</formula1>
      <formula2>0</formula2>
    </dataValidation>
    <dataValidation allowBlank="true" errorStyle="stop" operator="between" showDropDown="false" showErrorMessage="false" showInputMessage="false" sqref="K3:K152" type="list">
      <formula1>"Initiation,Charter / Baseline,Design,Build / Test / Validation,Operational Readiness / Go-Live,Stabilization / Handoff,Closure"</formula1>
      <formula2>0</formula2>
    </dataValidation>
    <dataValidation allowBlank="true" errorStyle="stop" operator="between" showDropDown="false" showErrorMessage="false" showInputMessage="false" sqref="O3:O152" type="list">
      <formula1>"Identified,Negotiating,Committed,Closed"</formula1>
      <formula2>0</formula2>
    </dataValidation>
    <dataValidation allowBlank="true" errorStyle="stop" operator="between" showDropDown="false" showErrorMessage="false" showInputMessage="false" sqref="P3:P152" type="list">
      <formula1>"On Track,At Risk,Off Track,Uncommitted"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4" min="4" style="1" width="2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7" min="7" style="1" width="2"/>
    <col collapsed="false" customWidth="true" hidden="false" outlineLevel="0" max="8" min="8" style="1" width="16"/>
    <col collapsed="false" customWidth="true" hidden="false" outlineLevel="0" max="9" min="9" style="1" width="8"/>
    <col collapsed="false" customWidth="true" hidden="false" outlineLevel="0" max="10" min="10" style="1" width="2"/>
    <col collapsed="false" customWidth="true" hidden="false" outlineLevel="0" max="11" min="11" style="1" width="16"/>
    <col collapsed="false" customWidth="true" hidden="false" outlineLevel="0" max="12" min="12" style="1" width="8"/>
  </cols>
  <sheetData>
    <row r="1" customFormat="false" ht="25.5" hidden="false" customHeight="true" outlineLevel="0" collapsed="false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21.75" hidden="false" customHeight="true" outlineLevel="0" collapsed="false">
      <c r="B3" s="10" t="s">
        <v>70</v>
      </c>
      <c r="C3" s="11"/>
      <c r="E3" s="10" t="s">
        <v>71</v>
      </c>
      <c r="F3" s="11"/>
      <c r="H3" s="10" t="s">
        <v>72</v>
      </c>
      <c r="I3" s="11"/>
      <c r="K3" s="10" t="s">
        <v>73</v>
      </c>
      <c r="L3" s="11"/>
    </row>
    <row r="4" customFormat="false" ht="24" hidden="false" customHeight="true" outlineLevel="0" collapsed="false">
      <c r="B4" s="12" t="n">
        <f aca="false">Summary!C21</f>
        <v>2</v>
      </c>
      <c r="C4" s="12"/>
      <c r="E4" s="12" t="n">
        <f aca="false">Summary!C22</f>
        <v>1</v>
      </c>
      <c r="F4" s="12"/>
      <c r="H4" s="12" t="n">
        <f aca="false">Summary!C23</f>
        <v>0</v>
      </c>
      <c r="I4" s="12"/>
      <c r="K4" s="13" t="n">
        <f aca="false">COUNTIFS('Dependency Register'!$O:$O,"&lt;&gt;",'Dependency Register'!$O:$O,"&lt;&gt;Closed")</f>
        <v>4</v>
      </c>
      <c r="L4" s="13"/>
    </row>
    <row r="5" customFormat="false" ht="24" hidden="false" customHeight="true" outlineLevel="0" collapsed="false">
      <c r="B5" s="12"/>
      <c r="C5" s="12"/>
      <c r="E5" s="12"/>
      <c r="F5" s="12"/>
      <c r="H5" s="12"/>
      <c r="I5" s="12"/>
      <c r="K5" s="13"/>
      <c r="L5" s="13"/>
    </row>
    <row r="24" customFormat="false" ht="15" hidden="false" customHeight="true" outlineLevel="0" collapsed="false">
      <c r="H24" s="14" t="s">
        <v>74</v>
      </c>
      <c r="I24" s="14"/>
      <c r="J24" s="14"/>
      <c r="K24" s="14"/>
      <c r="L24" s="14"/>
    </row>
    <row r="25" customFormat="false" ht="15" hidden="false" customHeight="true" outlineLevel="0" collapsed="false">
      <c r="H25" s="14"/>
      <c r="I25" s="14"/>
      <c r="J25" s="14"/>
      <c r="K25" s="14"/>
      <c r="L25" s="14"/>
    </row>
    <row r="26" customFormat="false" ht="15" hidden="false" customHeight="true" outlineLevel="0" collapsed="false">
      <c r="H26" s="14"/>
      <c r="I26" s="14"/>
      <c r="J26" s="14"/>
      <c r="K26" s="14"/>
      <c r="L26" s="14"/>
    </row>
    <row r="27" customFormat="false" ht="15" hidden="false" customHeight="true" outlineLevel="0" collapsed="false">
      <c r="H27" s="14"/>
      <c r="I27" s="14"/>
      <c r="J27" s="14"/>
      <c r="K27" s="14"/>
      <c r="L27" s="14"/>
    </row>
    <row r="28" customFormat="false" ht="15" hidden="false" customHeight="true" outlineLevel="0" collapsed="false">
      <c r="H28" s="14"/>
      <c r="I28" s="14"/>
      <c r="J28" s="14"/>
      <c r="K28" s="14"/>
      <c r="L28" s="14"/>
    </row>
  </sheetData>
  <mergeCells count="6">
    <mergeCell ref="A1:L1"/>
    <mergeCell ref="B4:C5"/>
    <mergeCell ref="E4:F5"/>
    <mergeCell ref="H4:I5"/>
    <mergeCell ref="K4:L5"/>
    <mergeCell ref="H24:L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40"/>
  </cols>
  <sheetData>
    <row r="1" customFormat="false" ht="25.5" hidden="false" customHeight="true" outlineLevel="0" collapsed="false">
      <c r="A1" s="2" t="s">
        <v>75</v>
      </c>
      <c r="B1" s="2"/>
      <c r="C1" s="2"/>
      <c r="D1" s="2"/>
      <c r="E1" s="2"/>
    </row>
    <row r="3" customFormat="false" ht="15" hidden="false" customHeight="true" outlineLevel="0" collapsed="false">
      <c r="B3" s="15" t="s">
        <v>76</v>
      </c>
    </row>
    <row r="4" customFormat="false" ht="15" hidden="false" customHeight="true" outlineLevel="0" collapsed="false">
      <c r="B4" s="16" t="s">
        <v>24</v>
      </c>
      <c r="C4" s="17" t="n">
        <f aca="false">COUNTIF('Dependency Register'!$B:$B,"Needs")</f>
        <v>1</v>
      </c>
    </row>
    <row r="5" customFormat="false" ht="15" hidden="false" customHeight="true" outlineLevel="0" collapsed="false">
      <c r="B5" s="16" t="s">
        <v>42</v>
      </c>
      <c r="C5" s="17" t="n">
        <f aca="false">COUNTIF('Dependency Register'!$B:$B,"Feeds")</f>
        <v>1</v>
      </c>
    </row>
    <row r="6" customFormat="false" ht="15" hidden="false" customHeight="true" outlineLevel="0" collapsed="false">
      <c r="B6" s="16" t="s">
        <v>58</v>
      </c>
      <c r="C6" s="17" t="n">
        <f aca="false">COUNTIF('Dependency Register'!$B:$B,"Internal")</f>
        <v>1</v>
      </c>
    </row>
    <row r="8" customFormat="false" ht="15" hidden="false" customHeight="true" outlineLevel="0" collapsed="false">
      <c r="B8" s="15" t="s">
        <v>77</v>
      </c>
    </row>
    <row r="9" customFormat="false" ht="15" hidden="false" customHeight="true" outlineLevel="0" collapsed="false">
      <c r="B9" s="16" t="s">
        <v>35</v>
      </c>
      <c r="C9" s="17" t="n">
        <f aca="false">COUNTIF('Dependency Register'!$P:$P,"On Track")</f>
        <v>1</v>
      </c>
    </row>
    <row r="10" customFormat="false" ht="15" hidden="false" customHeight="true" outlineLevel="0" collapsed="false">
      <c r="B10" s="16" t="s">
        <v>52</v>
      </c>
      <c r="C10" s="17" t="n">
        <f aca="false">COUNTIF('Dependency Register'!$P:$P,"At Risk")</f>
        <v>1</v>
      </c>
    </row>
    <row r="11" customFormat="false" ht="15" hidden="false" customHeight="true" outlineLevel="0" collapsed="false">
      <c r="B11" s="16" t="s">
        <v>78</v>
      </c>
      <c r="C11" s="17" t="n">
        <f aca="false">COUNTIF('Dependency Register'!$P:$P,"Off Track")</f>
        <v>0</v>
      </c>
    </row>
    <row r="12" customFormat="false" ht="15" hidden="false" customHeight="true" outlineLevel="0" collapsed="false">
      <c r="B12" s="16" t="s">
        <v>66</v>
      </c>
      <c r="C12" s="17" t="n">
        <f aca="false">COUNTIF('Dependency Register'!$P:$P,"Uncommitted")</f>
        <v>1</v>
      </c>
    </row>
    <row r="14" customFormat="false" ht="15" hidden="false" customHeight="true" outlineLevel="0" collapsed="false">
      <c r="B14" s="15" t="s">
        <v>79</v>
      </c>
    </row>
    <row r="15" customFormat="false" ht="15" hidden="false" customHeight="true" outlineLevel="0" collapsed="false">
      <c r="B15" s="16" t="s">
        <v>80</v>
      </c>
      <c r="C15" s="17" t="n">
        <f aca="false">COUNTIF('Dependency Register'!$O:$O,"Identified")</f>
        <v>0</v>
      </c>
    </row>
    <row r="16" customFormat="false" ht="15" hidden="false" customHeight="true" outlineLevel="0" collapsed="false">
      <c r="B16" s="16" t="s">
        <v>65</v>
      </c>
      <c r="C16" s="17" t="n">
        <f aca="false">COUNTIF('Dependency Register'!$O:$O,"Negotiating")</f>
        <v>1</v>
      </c>
    </row>
    <row r="17" customFormat="false" ht="15" hidden="false" customHeight="true" outlineLevel="0" collapsed="false">
      <c r="B17" s="16" t="s">
        <v>34</v>
      </c>
      <c r="C17" s="17" t="n">
        <f aca="false">COUNTIF('Dependency Register'!$O:$O,"Committed")</f>
        <v>2</v>
      </c>
    </row>
    <row r="18" customFormat="false" ht="15" hidden="false" customHeight="true" outlineLevel="0" collapsed="false">
      <c r="B18" s="16" t="s">
        <v>81</v>
      </c>
      <c r="C18" s="17" t="n">
        <f aca="false">COUNTIF('Dependency Register'!$O:$O,"Closed")</f>
        <v>0</v>
      </c>
    </row>
    <row r="20" customFormat="false" ht="15" hidden="false" customHeight="true" outlineLevel="0" collapsed="false">
      <c r="B20" s="15" t="s">
        <v>82</v>
      </c>
    </row>
    <row r="21" customFormat="false" ht="15" hidden="false" customHeight="true" outlineLevel="0" collapsed="false">
      <c r="B21" s="16" t="s">
        <v>83</v>
      </c>
      <c r="C21" s="17" t="n">
        <f aca="false">COUNTIFS('Dependency Register'!$J:$J,"Gate-Blocking",'Dependency Register'!$O:$O,"&lt;&gt;Closed")</f>
        <v>2</v>
      </c>
    </row>
    <row r="22" customFormat="false" ht="15" hidden="false" customHeight="true" outlineLevel="0" collapsed="false">
      <c r="B22" s="16" t="s">
        <v>84</v>
      </c>
      <c r="C22" s="17" t="n">
        <f aca="false">COUNTIFS('Dependency Register'!$J:$J,"Gate-Blocking",'Dependency Register'!$P:$P,"Uncommitted")</f>
        <v>1</v>
      </c>
    </row>
    <row r="23" customFormat="false" ht="15" hidden="false" customHeight="true" outlineLevel="0" collapsed="false">
      <c r="B23" s="16" t="s">
        <v>85</v>
      </c>
      <c r="C23" s="17" t="n">
        <f aca="false">COUNTIF('Dependency Register'!$N:$N,"&lt;0")</f>
        <v>0</v>
      </c>
    </row>
    <row r="25" customFormat="false" ht="15" hidden="false" customHeight="true" outlineLevel="0" collapsed="false">
      <c r="B25" s="18" t="s">
        <v>86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1"/>
    <col collapsed="false" customWidth="true" hidden="false" outlineLevel="0" max="4" min="4" style="1" width="10"/>
    <col collapsed="false" customWidth="true" hidden="false" outlineLevel="0" max="6" min="5" style="1" width="13"/>
    <col collapsed="false" customWidth="true" hidden="false" outlineLevel="0" max="7" min="7" style="1" width="12"/>
    <col collapsed="false" customWidth="true" hidden="false" outlineLevel="0" max="8" min="8" style="1" width="14"/>
  </cols>
  <sheetData>
    <row r="1" customFormat="false" ht="15" hidden="false" customHeight="true" outlineLevel="0" collapsed="false">
      <c r="A1" s="19" t="s">
        <v>87</v>
      </c>
      <c r="B1" s="19" t="s">
        <v>88</v>
      </c>
      <c r="C1" s="19" t="s">
        <v>2</v>
      </c>
      <c r="D1" s="19" t="s">
        <v>1</v>
      </c>
      <c r="E1" s="19" t="s">
        <v>15</v>
      </c>
      <c r="F1" s="19" t="s">
        <v>16</v>
      </c>
      <c r="G1" s="19" t="s">
        <v>89</v>
      </c>
      <c r="H1" s="19" t="s">
        <v>90</v>
      </c>
    </row>
    <row r="2" customFormat="false" ht="15" hidden="false" customHeight="true" outlineLevel="0" collapsed="false">
      <c r="A2" s="16" t="str">
        <f aca="false">IF('Dependency Register'!A3="","",'Dependency Register'!C3)</f>
        <v>HR / HCM Program</v>
      </c>
      <c r="B2" s="16" t="str">
        <f aca="false">IF($A2="","","Giving")</f>
        <v>Giving</v>
      </c>
      <c r="C2" s="16" t="str">
        <f aca="false">IF($A2="","",'Dependency Register'!B3)</f>
        <v>Needs</v>
      </c>
      <c r="D2" s="16" t="str">
        <f aca="false">IF($A2="","",'Dependency Register'!A3)</f>
        <v>DEP-01</v>
      </c>
      <c r="E2" s="16" t="str">
        <f aca="false">IF($A2="","",'Dependency Register'!O3)</f>
        <v>Committed</v>
      </c>
      <c r="F2" s="16" t="str">
        <f aca="false">IF($A2="","",'Dependency Register'!P3)</f>
        <v>On Track</v>
      </c>
      <c r="G2" s="20" t="n">
        <f aca="false">IF($A2="","",IF('Dependency Register'!L3="","",'Dependency Register'!L3))</f>
        <v>47559</v>
      </c>
      <c r="H2" s="16" t="str">
        <f aca="true">IF($A2="","",IF($G2="","No Date",IF($G2&lt;TODAY(),"Past Due",IF($G2-TODAY()&lt;=30,"Due ≤30 Days","Later"))))</f>
        <v>Later</v>
      </c>
    </row>
    <row r="3" customFormat="false" ht="15" hidden="false" customHeight="true" outlineLevel="0" collapsed="false">
      <c r="A3" s="16" t="str">
        <f aca="false">IF('Dependency Register'!A4="","",'Dependency Register'!C4)</f>
        <v>Okta SSO</v>
      </c>
      <c r="B3" s="16" t="str">
        <f aca="false">IF($A3="","","Giving")</f>
        <v>Giving</v>
      </c>
      <c r="C3" s="16" t="str">
        <f aca="false">IF($A3="","",'Dependency Register'!B4)</f>
        <v>Feeds</v>
      </c>
      <c r="D3" s="16" t="str">
        <f aca="false">IF($A3="","",'Dependency Register'!A4)</f>
        <v>DEP-02</v>
      </c>
      <c r="E3" s="16" t="str">
        <f aca="false">IF($A3="","",'Dependency Register'!O4)</f>
        <v>Committed</v>
      </c>
      <c r="F3" s="16" t="str">
        <f aca="false">IF($A3="","",'Dependency Register'!P4)</f>
        <v>At Risk</v>
      </c>
      <c r="G3" s="20" t="n">
        <f aca="false">IF($A3="","",IF('Dependency Register'!L4="","",'Dependency Register'!L4))</f>
        <v>47618</v>
      </c>
      <c r="H3" s="16" t="str">
        <f aca="true">IF($A3="","",IF($G3="","No Date",IF($G3&lt;TODAY(),"Past Due",IF($G3-TODAY()&lt;=30,"Due ≤30 Days","Later"))))</f>
        <v>Later</v>
      </c>
    </row>
    <row r="4" customFormat="false" ht="15" hidden="false" customHeight="true" outlineLevel="0" collapsed="false">
      <c r="A4" s="16" t="str">
        <f aca="false">IF('Dependency Register'!A5="","",'Dependency Register'!C5)</f>
        <v>SailPoint IGA</v>
      </c>
      <c r="B4" s="16" t="str">
        <f aca="false">IF($A4="","","Giving")</f>
        <v>Giving</v>
      </c>
      <c r="C4" s="16" t="str">
        <f aca="false">IF($A4="","",'Dependency Register'!B5)</f>
        <v>Internal</v>
      </c>
      <c r="D4" s="16" t="str">
        <f aca="false">IF($A4="","",'Dependency Register'!A5)</f>
        <v>DEP-03</v>
      </c>
      <c r="E4" s="16" t="str">
        <f aca="false">IF($A4="","",'Dependency Register'!O5)</f>
        <v>Negotiating</v>
      </c>
      <c r="F4" s="16" t="str">
        <f aca="false">IF($A4="","",'Dependency Register'!P5)</f>
        <v>Uncommitted</v>
      </c>
      <c r="G4" s="20" t="n">
        <f aca="false">IF($A4="","",IF('Dependency Register'!L5="","",'Dependency Register'!L5))</f>
        <v>47538</v>
      </c>
      <c r="H4" s="16" t="str">
        <f aca="true">IF($A4="","",IF($G4="","No Date",IF($G4&lt;TODAY(),"Past Due",IF($G4-TODAY()&lt;=30,"Due ≤30 Days","Later"))))</f>
        <v>Later</v>
      </c>
    </row>
    <row r="5" customFormat="false" ht="15" hidden="false" customHeight="true" outlineLevel="0" collapsed="false">
      <c r="A5" s="16" t="str">
        <f aca="false">IF('Dependency Register'!A6="","",'Dependency Register'!C6)</f>
        <v/>
      </c>
      <c r="B5" s="16" t="str">
        <f aca="false">IF($A5="","","Giving")</f>
        <v/>
      </c>
      <c r="C5" s="16" t="str">
        <f aca="false">IF($A5="","",'Dependency Register'!B6)</f>
        <v/>
      </c>
      <c r="D5" s="16" t="str">
        <f aca="false">IF($A5="","",'Dependency Register'!A6)</f>
        <v/>
      </c>
      <c r="E5" s="16" t="str">
        <f aca="false">IF($A5="","",'Dependency Register'!O6)</f>
        <v/>
      </c>
      <c r="F5" s="16" t="str">
        <f aca="false">IF($A5="","",'Dependency Register'!P6)</f>
        <v/>
      </c>
      <c r="G5" s="20" t="str">
        <f aca="false">IF($A5="","",IF('Dependency Register'!L6="","",'Dependency Register'!L6))</f>
        <v/>
      </c>
      <c r="H5" s="16" t="str">
        <f aca="true">IF($A5="","",IF($G5="","No Date",IF($G5&lt;TODAY(),"Past Due",IF($G5-TODAY()&lt;=30,"Due ≤30 Days","Later"))))</f>
        <v/>
      </c>
    </row>
    <row r="6" customFormat="false" ht="15" hidden="false" customHeight="true" outlineLevel="0" collapsed="false">
      <c r="A6" s="16" t="str">
        <f aca="false">IF('Dependency Register'!A7="","",'Dependency Register'!C7)</f>
        <v/>
      </c>
      <c r="B6" s="16" t="str">
        <f aca="false">IF($A6="","","Giving")</f>
        <v/>
      </c>
      <c r="C6" s="16" t="str">
        <f aca="false">IF($A6="","",'Dependency Register'!B7)</f>
        <v/>
      </c>
      <c r="D6" s="16" t="str">
        <f aca="false">IF($A6="","",'Dependency Register'!A7)</f>
        <v/>
      </c>
      <c r="E6" s="16" t="str">
        <f aca="false">IF($A6="","",'Dependency Register'!O7)</f>
        <v/>
      </c>
      <c r="F6" s="16" t="str">
        <f aca="false">IF($A6="","",'Dependency Register'!P7)</f>
        <v/>
      </c>
      <c r="G6" s="20" t="str">
        <f aca="false">IF($A6="","",IF('Dependency Register'!L7="","",'Dependency Register'!L7))</f>
        <v/>
      </c>
      <c r="H6" s="16" t="str">
        <f aca="true">IF($A6="","",IF($G6="","No Date",IF($G6&lt;TODAY(),"Past Due",IF($G6-TODAY()&lt;=30,"Due ≤30 Days","Later"))))</f>
        <v/>
      </c>
    </row>
    <row r="7" customFormat="false" ht="15" hidden="false" customHeight="true" outlineLevel="0" collapsed="false">
      <c r="A7" s="16" t="str">
        <f aca="false">IF('Dependency Register'!A8="","",'Dependency Register'!C8)</f>
        <v/>
      </c>
      <c r="B7" s="16" t="str">
        <f aca="false">IF($A7="","","Giving")</f>
        <v/>
      </c>
      <c r="C7" s="16" t="str">
        <f aca="false">IF($A7="","",'Dependency Register'!B8)</f>
        <v/>
      </c>
      <c r="D7" s="16" t="str">
        <f aca="false">IF($A7="","",'Dependency Register'!A8)</f>
        <v/>
      </c>
      <c r="E7" s="16" t="str">
        <f aca="false">IF($A7="","",'Dependency Register'!O8)</f>
        <v/>
      </c>
      <c r="F7" s="16" t="str">
        <f aca="false">IF($A7="","",'Dependency Register'!P8)</f>
        <v/>
      </c>
      <c r="G7" s="20" t="str">
        <f aca="false">IF($A7="","",IF('Dependency Register'!L8="","",'Dependency Register'!L8))</f>
        <v/>
      </c>
      <c r="H7" s="16" t="str">
        <f aca="true">IF($A7="","",IF($G7="","No Date",IF($G7&lt;TODAY(),"Past Due",IF($G7-TODAY()&lt;=30,"Due ≤30 Days","Later"))))</f>
        <v/>
      </c>
    </row>
    <row r="8" customFormat="false" ht="15" hidden="false" customHeight="true" outlineLevel="0" collapsed="false">
      <c r="A8" s="16" t="str">
        <f aca="false">IF('Dependency Register'!A9="","",'Dependency Register'!C9)</f>
        <v/>
      </c>
      <c r="B8" s="16" t="str">
        <f aca="false">IF($A8="","","Giving")</f>
        <v/>
      </c>
      <c r="C8" s="16" t="str">
        <f aca="false">IF($A8="","",'Dependency Register'!B9)</f>
        <v/>
      </c>
      <c r="D8" s="16" t="str">
        <f aca="false">IF($A8="","",'Dependency Register'!A9)</f>
        <v/>
      </c>
      <c r="E8" s="16" t="str">
        <f aca="false">IF($A8="","",'Dependency Register'!O9)</f>
        <v/>
      </c>
      <c r="F8" s="16" t="str">
        <f aca="false">IF($A8="","",'Dependency Register'!P9)</f>
        <v/>
      </c>
      <c r="G8" s="20" t="str">
        <f aca="false">IF($A8="","",IF('Dependency Register'!L9="","",'Dependency Register'!L9))</f>
        <v/>
      </c>
      <c r="H8" s="16" t="str">
        <f aca="true">IF($A8="","",IF($G8="","No Date",IF($G8&lt;TODAY(),"Past Due",IF($G8-TODAY()&lt;=30,"Due ≤30 Days","Later"))))</f>
        <v/>
      </c>
    </row>
    <row r="9" customFormat="false" ht="15" hidden="false" customHeight="true" outlineLevel="0" collapsed="false">
      <c r="A9" s="16" t="str">
        <f aca="false">IF('Dependency Register'!A10="","",'Dependency Register'!C10)</f>
        <v/>
      </c>
      <c r="B9" s="16" t="str">
        <f aca="false">IF($A9="","","Giving")</f>
        <v/>
      </c>
      <c r="C9" s="16" t="str">
        <f aca="false">IF($A9="","",'Dependency Register'!B10)</f>
        <v/>
      </c>
      <c r="D9" s="16" t="str">
        <f aca="false">IF($A9="","",'Dependency Register'!A10)</f>
        <v/>
      </c>
      <c r="E9" s="16" t="str">
        <f aca="false">IF($A9="","",'Dependency Register'!O10)</f>
        <v/>
      </c>
      <c r="F9" s="16" t="str">
        <f aca="false">IF($A9="","",'Dependency Register'!P10)</f>
        <v/>
      </c>
      <c r="G9" s="20" t="str">
        <f aca="false">IF($A9="","",IF('Dependency Register'!L10="","",'Dependency Register'!L10))</f>
        <v/>
      </c>
      <c r="H9" s="16" t="str">
        <f aca="true">IF($A9="","",IF($G9="","No Date",IF($G9&lt;TODAY(),"Past Due",IF($G9-TODAY()&lt;=30,"Due ≤30 Days","Later"))))</f>
        <v/>
      </c>
    </row>
    <row r="10" customFormat="false" ht="15" hidden="false" customHeight="true" outlineLevel="0" collapsed="false">
      <c r="A10" s="16" t="str">
        <f aca="false">IF('Dependency Register'!A11="","",'Dependency Register'!C11)</f>
        <v/>
      </c>
      <c r="B10" s="16" t="str">
        <f aca="false">IF($A10="","","Giving")</f>
        <v/>
      </c>
      <c r="C10" s="16" t="str">
        <f aca="false">IF($A10="","",'Dependency Register'!B11)</f>
        <v/>
      </c>
      <c r="D10" s="16" t="str">
        <f aca="false">IF($A10="","",'Dependency Register'!A11)</f>
        <v/>
      </c>
      <c r="E10" s="16" t="str">
        <f aca="false">IF($A10="","",'Dependency Register'!O11)</f>
        <v/>
      </c>
      <c r="F10" s="16" t="str">
        <f aca="false">IF($A10="","",'Dependency Register'!P11)</f>
        <v/>
      </c>
      <c r="G10" s="20" t="str">
        <f aca="false">IF($A10="","",IF('Dependency Register'!L11="","",'Dependency Register'!L11))</f>
        <v/>
      </c>
      <c r="H10" s="16" t="str">
        <f aca="true">IF($A10="","",IF($G10="","No Date",IF($G10&lt;TODAY(),"Past Due",IF($G10-TODAY()&lt;=30,"Due ≤30 Days","Later"))))</f>
        <v/>
      </c>
    </row>
    <row r="11" customFormat="false" ht="15" hidden="false" customHeight="true" outlineLevel="0" collapsed="false">
      <c r="A11" s="16" t="str">
        <f aca="false">IF('Dependency Register'!A12="","",'Dependency Register'!C12)</f>
        <v/>
      </c>
      <c r="B11" s="16" t="str">
        <f aca="false">IF($A11="","","Giving")</f>
        <v/>
      </c>
      <c r="C11" s="16" t="str">
        <f aca="false">IF($A11="","",'Dependency Register'!B12)</f>
        <v/>
      </c>
      <c r="D11" s="16" t="str">
        <f aca="false">IF($A11="","",'Dependency Register'!A12)</f>
        <v/>
      </c>
      <c r="E11" s="16" t="str">
        <f aca="false">IF($A11="","",'Dependency Register'!O12)</f>
        <v/>
      </c>
      <c r="F11" s="16" t="str">
        <f aca="false">IF($A11="","",'Dependency Register'!P12)</f>
        <v/>
      </c>
      <c r="G11" s="20" t="str">
        <f aca="false">IF($A11="","",IF('Dependency Register'!L12="","",'Dependency Register'!L12))</f>
        <v/>
      </c>
      <c r="H11" s="16" t="str">
        <f aca="true">IF($A11="","",IF($G11="","No Date",IF($G11&lt;TODAY(),"Past Due",IF($G11-TODAY()&lt;=30,"Due ≤30 Days","Later"))))</f>
        <v/>
      </c>
    </row>
    <row r="12" customFormat="false" ht="15" hidden="false" customHeight="true" outlineLevel="0" collapsed="false">
      <c r="A12" s="16" t="str">
        <f aca="false">IF('Dependency Register'!A13="","",'Dependency Register'!C13)</f>
        <v/>
      </c>
      <c r="B12" s="16" t="str">
        <f aca="false">IF($A12="","","Giving")</f>
        <v/>
      </c>
      <c r="C12" s="16" t="str">
        <f aca="false">IF($A12="","",'Dependency Register'!B13)</f>
        <v/>
      </c>
      <c r="D12" s="16" t="str">
        <f aca="false">IF($A12="","",'Dependency Register'!A13)</f>
        <v/>
      </c>
      <c r="E12" s="16" t="str">
        <f aca="false">IF($A12="","",'Dependency Register'!O13)</f>
        <v/>
      </c>
      <c r="F12" s="16" t="str">
        <f aca="false">IF($A12="","",'Dependency Register'!P13)</f>
        <v/>
      </c>
      <c r="G12" s="20" t="str">
        <f aca="false">IF($A12="","",IF('Dependency Register'!L13="","",'Dependency Register'!L13))</f>
        <v/>
      </c>
      <c r="H12" s="16" t="str">
        <f aca="true">IF($A12="","",IF($G12="","No Date",IF($G12&lt;TODAY(),"Past Due",IF($G12-TODAY()&lt;=30,"Due ≤30 Days","Later"))))</f>
        <v/>
      </c>
    </row>
    <row r="13" customFormat="false" ht="15" hidden="false" customHeight="true" outlineLevel="0" collapsed="false">
      <c r="A13" s="16" t="str">
        <f aca="false">IF('Dependency Register'!A14="","",'Dependency Register'!C14)</f>
        <v/>
      </c>
      <c r="B13" s="16" t="str">
        <f aca="false">IF($A13="","","Giving")</f>
        <v/>
      </c>
      <c r="C13" s="16" t="str">
        <f aca="false">IF($A13="","",'Dependency Register'!B14)</f>
        <v/>
      </c>
      <c r="D13" s="16" t="str">
        <f aca="false">IF($A13="","",'Dependency Register'!A14)</f>
        <v/>
      </c>
      <c r="E13" s="16" t="str">
        <f aca="false">IF($A13="","",'Dependency Register'!O14)</f>
        <v/>
      </c>
      <c r="F13" s="16" t="str">
        <f aca="false">IF($A13="","",'Dependency Register'!P14)</f>
        <v/>
      </c>
      <c r="G13" s="20" t="str">
        <f aca="false">IF($A13="","",IF('Dependency Register'!L14="","",'Dependency Register'!L14))</f>
        <v/>
      </c>
      <c r="H13" s="16" t="str">
        <f aca="true">IF($A13="","",IF($G13="","No Date",IF($G13&lt;TODAY(),"Past Due",IF($G13-TODAY()&lt;=30,"Due ≤30 Days","Later"))))</f>
        <v/>
      </c>
    </row>
    <row r="14" customFormat="false" ht="15" hidden="false" customHeight="true" outlineLevel="0" collapsed="false">
      <c r="A14" s="16" t="str">
        <f aca="false">IF('Dependency Register'!A15="","",'Dependency Register'!C15)</f>
        <v/>
      </c>
      <c r="B14" s="16" t="str">
        <f aca="false">IF($A14="","","Giving")</f>
        <v/>
      </c>
      <c r="C14" s="16" t="str">
        <f aca="false">IF($A14="","",'Dependency Register'!B15)</f>
        <v/>
      </c>
      <c r="D14" s="16" t="str">
        <f aca="false">IF($A14="","",'Dependency Register'!A15)</f>
        <v/>
      </c>
      <c r="E14" s="16" t="str">
        <f aca="false">IF($A14="","",'Dependency Register'!O15)</f>
        <v/>
      </c>
      <c r="F14" s="16" t="str">
        <f aca="false">IF($A14="","",'Dependency Register'!P15)</f>
        <v/>
      </c>
      <c r="G14" s="20" t="str">
        <f aca="false">IF($A14="","",IF('Dependency Register'!L15="","",'Dependency Register'!L15))</f>
        <v/>
      </c>
      <c r="H14" s="16" t="str">
        <f aca="true">IF($A14="","",IF($G14="","No Date",IF($G14&lt;TODAY(),"Past Due",IF($G14-TODAY()&lt;=30,"Due ≤30 Days","Later"))))</f>
        <v/>
      </c>
    </row>
    <row r="15" customFormat="false" ht="15" hidden="false" customHeight="true" outlineLevel="0" collapsed="false">
      <c r="A15" s="16" t="str">
        <f aca="false">IF('Dependency Register'!A16="","",'Dependency Register'!C16)</f>
        <v/>
      </c>
      <c r="B15" s="16" t="str">
        <f aca="false">IF($A15="","","Giving")</f>
        <v/>
      </c>
      <c r="C15" s="16" t="str">
        <f aca="false">IF($A15="","",'Dependency Register'!B16)</f>
        <v/>
      </c>
      <c r="D15" s="16" t="str">
        <f aca="false">IF($A15="","",'Dependency Register'!A16)</f>
        <v/>
      </c>
      <c r="E15" s="16" t="str">
        <f aca="false">IF($A15="","",'Dependency Register'!O16)</f>
        <v/>
      </c>
      <c r="F15" s="16" t="str">
        <f aca="false">IF($A15="","",'Dependency Register'!P16)</f>
        <v/>
      </c>
      <c r="G15" s="20" t="str">
        <f aca="false">IF($A15="","",IF('Dependency Register'!L16="","",'Dependency Register'!L16))</f>
        <v/>
      </c>
      <c r="H15" s="16" t="str">
        <f aca="true">IF($A15="","",IF($G15="","No Date",IF($G15&lt;TODAY(),"Past Due",IF($G15-TODAY()&lt;=30,"Due ≤30 Days","Later"))))</f>
        <v/>
      </c>
    </row>
    <row r="16" customFormat="false" ht="15" hidden="false" customHeight="true" outlineLevel="0" collapsed="false">
      <c r="A16" s="16" t="str">
        <f aca="false">IF('Dependency Register'!A17="","",'Dependency Register'!C17)</f>
        <v/>
      </c>
      <c r="B16" s="16" t="str">
        <f aca="false">IF($A16="","","Giving")</f>
        <v/>
      </c>
      <c r="C16" s="16" t="str">
        <f aca="false">IF($A16="","",'Dependency Register'!B17)</f>
        <v/>
      </c>
      <c r="D16" s="16" t="str">
        <f aca="false">IF($A16="","",'Dependency Register'!A17)</f>
        <v/>
      </c>
      <c r="E16" s="16" t="str">
        <f aca="false">IF($A16="","",'Dependency Register'!O17)</f>
        <v/>
      </c>
      <c r="F16" s="16" t="str">
        <f aca="false">IF($A16="","",'Dependency Register'!P17)</f>
        <v/>
      </c>
      <c r="G16" s="20" t="str">
        <f aca="false">IF($A16="","",IF('Dependency Register'!L17="","",'Dependency Register'!L17))</f>
        <v/>
      </c>
      <c r="H16" s="16" t="str">
        <f aca="true">IF($A16="","",IF($G16="","No Date",IF($G16&lt;TODAY(),"Past Due",IF($G16-TODAY()&lt;=30,"Due ≤30 Days","Later"))))</f>
        <v/>
      </c>
    </row>
    <row r="17" customFormat="false" ht="15" hidden="false" customHeight="true" outlineLevel="0" collapsed="false">
      <c r="A17" s="16" t="str">
        <f aca="false">IF('Dependency Register'!A18="","",'Dependency Register'!C18)</f>
        <v/>
      </c>
      <c r="B17" s="16" t="str">
        <f aca="false">IF($A17="","","Giving")</f>
        <v/>
      </c>
      <c r="C17" s="16" t="str">
        <f aca="false">IF($A17="","",'Dependency Register'!B18)</f>
        <v/>
      </c>
      <c r="D17" s="16" t="str">
        <f aca="false">IF($A17="","",'Dependency Register'!A18)</f>
        <v/>
      </c>
      <c r="E17" s="16" t="str">
        <f aca="false">IF($A17="","",'Dependency Register'!O18)</f>
        <v/>
      </c>
      <c r="F17" s="16" t="str">
        <f aca="false">IF($A17="","",'Dependency Register'!P18)</f>
        <v/>
      </c>
      <c r="G17" s="20" t="str">
        <f aca="false">IF($A17="","",IF('Dependency Register'!L18="","",'Dependency Register'!L18))</f>
        <v/>
      </c>
      <c r="H17" s="16" t="str">
        <f aca="true">IF($A17="","",IF($G17="","No Date",IF($G17&lt;TODAY(),"Past Due",IF($G17-TODAY()&lt;=30,"Due ≤30 Days","Later"))))</f>
        <v/>
      </c>
    </row>
    <row r="18" customFormat="false" ht="15" hidden="false" customHeight="true" outlineLevel="0" collapsed="false">
      <c r="A18" s="16" t="str">
        <f aca="false">IF('Dependency Register'!A19="","",'Dependency Register'!C19)</f>
        <v/>
      </c>
      <c r="B18" s="16" t="str">
        <f aca="false">IF($A18="","","Giving")</f>
        <v/>
      </c>
      <c r="C18" s="16" t="str">
        <f aca="false">IF($A18="","",'Dependency Register'!B19)</f>
        <v/>
      </c>
      <c r="D18" s="16" t="str">
        <f aca="false">IF($A18="","",'Dependency Register'!A19)</f>
        <v/>
      </c>
      <c r="E18" s="16" t="str">
        <f aca="false">IF($A18="","",'Dependency Register'!O19)</f>
        <v/>
      </c>
      <c r="F18" s="16" t="str">
        <f aca="false">IF($A18="","",'Dependency Register'!P19)</f>
        <v/>
      </c>
      <c r="G18" s="20" t="str">
        <f aca="false">IF($A18="","",IF('Dependency Register'!L19="","",'Dependency Register'!L19))</f>
        <v/>
      </c>
      <c r="H18" s="16" t="str">
        <f aca="true">IF($A18="","",IF($G18="","No Date",IF($G18&lt;TODAY(),"Past Due",IF($G18-TODAY()&lt;=30,"Due ≤30 Days","Later"))))</f>
        <v/>
      </c>
    </row>
    <row r="19" customFormat="false" ht="15" hidden="false" customHeight="true" outlineLevel="0" collapsed="false">
      <c r="A19" s="16" t="str">
        <f aca="false">IF('Dependency Register'!A20="","",'Dependency Register'!C20)</f>
        <v/>
      </c>
      <c r="B19" s="16" t="str">
        <f aca="false">IF($A19="","","Giving")</f>
        <v/>
      </c>
      <c r="C19" s="16" t="str">
        <f aca="false">IF($A19="","",'Dependency Register'!B20)</f>
        <v/>
      </c>
      <c r="D19" s="16" t="str">
        <f aca="false">IF($A19="","",'Dependency Register'!A20)</f>
        <v/>
      </c>
      <c r="E19" s="16" t="str">
        <f aca="false">IF($A19="","",'Dependency Register'!O20)</f>
        <v/>
      </c>
      <c r="F19" s="16" t="str">
        <f aca="false">IF($A19="","",'Dependency Register'!P20)</f>
        <v/>
      </c>
      <c r="G19" s="20" t="str">
        <f aca="false">IF($A19="","",IF('Dependency Register'!L20="","",'Dependency Register'!L20))</f>
        <v/>
      </c>
      <c r="H19" s="16" t="str">
        <f aca="true">IF($A19="","",IF($G19="","No Date",IF($G19&lt;TODAY(),"Past Due",IF($G19-TODAY()&lt;=30,"Due ≤30 Days","Later"))))</f>
        <v/>
      </c>
    </row>
    <row r="20" customFormat="false" ht="15" hidden="false" customHeight="true" outlineLevel="0" collapsed="false">
      <c r="A20" s="16" t="str">
        <f aca="false">IF('Dependency Register'!A21="","",'Dependency Register'!C21)</f>
        <v/>
      </c>
      <c r="B20" s="16" t="str">
        <f aca="false">IF($A20="","","Giving")</f>
        <v/>
      </c>
      <c r="C20" s="16" t="str">
        <f aca="false">IF($A20="","",'Dependency Register'!B21)</f>
        <v/>
      </c>
      <c r="D20" s="16" t="str">
        <f aca="false">IF($A20="","",'Dependency Register'!A21)</f>
        <v/>
      </c>
      <c r="E20" s="16" t="str">
        <f aca="false">IF($A20="","",'Dependency Register'!O21)</f>
        <v/>
      </c>
      <c r="F20" s="16" t="str">
        <f aca="false">IF($A20="","",'Dependency Register'!P21)</f>
        <v/>
      </c>
      <c r="G20" s="20" t="str">
        <f aca="false">IF($A20="","",IF('Dependency Register'!L21="","",'Dependency Register'!L21))</f>
        <v/>
      </c>
      <c r="H20" s="16" t="str">
        <f aca="true">IF($A20="","",IF($G20="","No Date",IF($G20&lt;TODAY(),"Past Due",IF($G20-TODAY()&lt;=30,"Due ≤30 Days","Later"))))</f>
        <v/>
      </c>
    </row>
    <row r="21" customFormat="false" ht="15" hidden="false" customHeight="true" outlineLevel="0" collapsed="false">
      <c r="A21" s="16" t="str">
        <f aca="false">IF('Dependency Register'!A22="","",'Dependency Register'!C22)</f>
        <v/>
      </c>
      <c r="B21" s="16" t="str">
        <f aca="false">IF($A21="","","Giving")</f>
        <v/>
      </c>
      <c r="C21" s="16" t="str">
        <f aca="false">IF($A21="","",'Dependency Register'!B22)</f>
        <v/>
      </c>
      <c r="D21" s="16" t="str">
        <f aca="false">IF($A21="","",'Dependency Register'!A22)</f>
        <v/>
      </c>
      <c r="E21" s="16" t="str">
        <f aca="false">IF($A21="","",'Dependency Register'!O22)</f>
        <v/>
      </c>
      <c r="F21" s="16" t="str">
        <f aca="false">IF($A21="","",'Dependency Register'!P22)</f>
        <v/>
      </c>
      <c r="G21" s="20" t="str">
        <f aca="false">IF($A21="","",IF('Dependency Register'!L22="","",'Dependency Register'!L22))</f>
        <v/>
      </c>
      <c r="H21" s="16" t="str">
        <f aca="true">IF($A21="","",IF($G21="","No Date",IF($G21&lt;TODAY(),"Past Due",IF($G21-TODAY()&lt;=30,"Due ≤30 Days","Later"))))</f>
        <v/>
      </c>
    </row>
    <row r="22" customFormat="false" ht="15" hidden="false" customHeight="true" outlineLevel="0" collapsed="false">
      <c r="A22" s="16" t="str">
        <f aca="false">IF('Dependency Register'!A23="","",'Dependency Register'!C23)</f>
        <v/>
      </c>
      <c r="B22" s="16" t="str">
        <f aca="false">IF($A22="","","Giving")</f>
        <v/>
      </c>
      <c r="C22" s="16" t="str">
        <f aca="false">IF($A22="","",'Dependency Register'!B23)</f>
        <v/>
      </c>
      <c r="D22" s="16" t="str">
        <f aca="false">IF($A22="","",'Dependency Register'!A23)</f>
        <v/>
      </c>
      <c r="E22" s="16" t="str">
        <f aca="false">IF($A22="","",'Dependency Register'!O23)</f>
        <v/>
      </c>
      <c r="F22" s="16" t="str">
        <f aca="false">IF($A22="","",'Dependency Register'!P23)</f>
        <v/>
      </c>
      <c r="G22" s="20" t="str">
        <f aca="false">IF($A22="","",IF('Dependency Register'!L23="","",'Dependency Register'!L23))</f>
        <v/>
      </c>
      <c r="H22" s="16" t="str">
        <f aca="true">IF($A22="","",IF($G22="","No Date",IF($G22&lt;TODAY(),"Past Due",IF($G22-TODAY()&lt;=30,"Due ≤30 Days","Later"))))</f>
        <v/>
      </c>
    </row>
    <row r="23" customFormat="false" ht="15" hidden="false" customHeight="true" outlineLevel="0" collapsed="false">
      <c r="A23" s="16" t="str">
        <f aca="false">IF('Dependency Register'!A24="","",'Dependency Register'!C24)</f>
        <v/>
      </c>
      <c r="B23" s="16" t="str">
        <f aca="false">IF($A23="","","Giving")</f>
        <v/>
      </c>
      <c r="C23" s="16" t="str">
        <f aca="false">IF($A23="","",'Dependency Register'!B24)</f>
        <v/>
      </c>
      <c r="D23" s="16" t="str">
        <f aca="false">IF($A23="","",'Dependency Register'!A24)</f>
        <v/>
      </c>
      <c r="E23" s="16" t="str">
        <f aca="false">IF($A23="","",'Dependency Register'!O24)</f>
        <v/>
      </c>
      <c r="F23" s="16" t="str">
        <f aca="false">IF($A23="","",'Dependency Register'!P24)</f>
        <v/>
      </c>
      <c r="G23" s="20" t="str">
        <f aca="false">IF($A23="","",IF('Dependency Register'!L24="","",'Dependency Register'!L24))</f>
        <v/>
      </c>
      <c r="H23" s="16" t="str">
        <f aca="true">IF($A23="","",IF($G23="","No Date",IF($G23&lt;TODAY(),"Past Due",IF($G23-TODAY()&lt;=30,"Due ≤30 Days","Later"))))</f>
        <v/>
      </c>
    </row>
    <row r="24" customFormat="false" ht="15" hidden="false" customHeight="true" outlineLevel="0" collapsed="false">
      <c r="A24" s="16" t="str">
        <f aca="false">IF('Dependency Register'!A25="","",'Dependency Register'!C25)</f>
        <v/>
      </c>
      <c r="B24" s="16" t="str">
        <f aca="false">IF($A24="","","Giving")</f>
        <v/>
      </c>
      <c r="C24" s="16" t="str">
        <f aca="false">IF($A24="","",'Dependency Register'!B25)</f>
        <v/>
      </c>
      <c r="D24" s="16" t="str">
        <f aca="false">IF($A24="","",'Dependency Register'!A25)</f>
        <v/>
      </c>
      <c r="E24" s="16" t="str">
        <f aca="false">IF($A24="","",'Dependency Register'!O25)</f>
        <v/>
      </c>
      <c r="F24" s="16" t="str">
        <f aca="false">IF($A24="","",'Dependency Register'!P25)</f>
        <v/>
      </c>
      <c r="G24" s="20" t="str">
        <f aca="false">IF($A24="","",IF('Dependency Register'!L25="","",'Dependency Register'!L25))</f>
        <v/>
      </c>
      <c r="H24" s="16" t="str">
        <f aca="true">IF($A24="","",IF($G24="","No Date",IF($G24&lt;TODAY(),"Past Due",IF($G24-TODAY()&lt;=30,"Due ≤30 Days","Later"))))</f>
        <v/>
      </c>
    </row>
    <row r="25" customFormat="false" ht="15" hidden="false" customHeight="true" outlineLevel="0" collapsed="false">
      <c r="A25" s="16" t="str">
        <f aca="false">IF('Dependency Register'!A26="","",'Dependency Register'!C26)</f>
        <v/>
      </c>
      <c r="B25" s="16" t="str">
        <f aca="false">IF($A25="","","Giving")</f>
        <v/>
      </c>
      <c r="C25" s="16" t="str">
        <f aca="false">IF($A25="","",'Dependency Register'!B26)</f>
        <v/>
      </c>
      <c r="D25" s="16" t="str">
        <f aca="false">IF($A25="","",'Dependency Register'!A26)</f>
        <v/>
      </c>
      <c r="E25" s="16" t="str">
        <f aca="false">IF($A25="","",'Dependency Register'!O26)</f>
        <v/>
      </c>
      <c r="F25" s="16" t="str">
        <f aca="false">IF($A25="","",'Dependency Register'!P26)</f>
        <v/>
      </c>
      <c r="G25" s="20" t="str">
        <f aca="false">IF($A25="","",IF('Dependency Register'!L26="","",'Dependency Register'!L26))</f>
        <v/>
      </c>
      <c r="H25" s="16" t="str">
        <f aca="true">IF($A25="","",IF($G25="","No Date",IF($G25&lt;TODAY(),"Past Due",IF($G25-TODAY()&lt;=30,"Due ≤30 Days","Later"))))</f>
        <v/>
      </c>
    </row>
    <row r="26" customFormat="false" ht="15" hidden="false" customHeight="true" outlineLevel="0" collapsed="false">
      <c r="A26" s="16" t="str">
        <f aca="false">IF('Dependency Register'!A27="","",'Dependency Register'!C27)</f>
        <v/>
      </c>
      <c r="B26" s="16" t="str">
        <f aca="false">IF($A26="","","Giving")</f>
        <v/>
      </c>
      <c r="C26" s="16" t="str">
        <f aca="false">IF($A26="","",'Dependency Register'!B27)</f>
        <v/>
      </c>
      <c r="D26" s="16" t="str">
        <f aca="false">IF($A26="","",'Dependency Register'!A27)</f>
        <v/>
      </c>
      <c r="E26" s="16" t="str">
        <f aca="false">IF($A26="","",'Dependency Register'!O27)</f>
        <v/>
      </c>
      <c r="F26" s="16" t="str">
        <f aca="false">IF($A26="","",'Dependency Register'!P27)</f>
        <v/>
      </c>
      <c r="G26" s="20" t="str">
        <f aca="false">IF($A26="","",IF('Dependency Register'!L27="","",'Dependency Register'!L27))</f>
        <v/>
      </c>
      <c r="H26" s="16" t="str">
        <f aca="true">IF($A26="","",IF($G26="","No Date",IF($G26&lt;TODAY(),"Past Due",IF($G26-TODAY()&lt;=30,"Due ≤30 Days","Later"))))</f>
        <v/>
      </c>
    </row>
    <row r="27" customFormat="false" ht="15" hidden="false" customHeight="true" outlineLevel="0" collapsed="false">
      <c r="A27" s="16" t="str">
        <f aca="false">IF('Dependency Register'!A28="","",'Dependency Register'!C28)</f>
        <v/>
      </c>
      <c r="B27" s="16" t="str">
        <f aca="false">IF($A27="","","Giving")</f>
        <v/>
      </c>
      <c r="C27" s="16" t="str">
        <f aca="false">IF($A27="","",'Dependency Register'!B28)</f>
        <v/>
      </c>
      <c r="D27" s="16" t="str">
        <f aca="false">IF($A27="","",'Dependency Register'!A28)</f>
        <v/>
      </c>
      <c r="E27" s="16" t="str">
        <f aca="false">IF($A27="","",'Dependency Register'!O28)</f>
        <v/>
      </c>
      <c r="F27" s="16" t="str">
        <f aca="false">IF($A27="","",'Dependency Register'!P28)</f>
        <v/>
      </c>
      <c r="G27" s="20" t="str">
        <f aca="false">IF($A27="","",IF('Dependency Register'!L28="","",'Dependency Register'!L28))</f>
        <v/>
      </c>
      <c r="H27" s="16" t="str">
        <f aca="true">IF($A27="","",IF($G27="","No Date",IF($G27&lt;TODAY(),"Past Due",IF($G27-TODAY()&lt;=30,"Due ≤30 Days","Later"))))</f>
        <v/>
      </c>
    </row>
    <row r="28" customFormat="false" ht="15" hidden="false" customHeight="true" outlineLevel="0" collapsed="false">
      <c r="A28" s="16" t="str">
        <f aca="false">IF('Dependency Register'!A29="","",'Dependency Register'!C29)</f>
        <v/>
      </c>
      <c r="B28" s="16" t="str">
        <f aca="false">IF($A28="","","Giving")</f>
        <v/>
      </c>
      <c r="C28" s="16" t="str">
        <f aca="false">IF($A28="","",'Dependency Register'!B29)</f>
        <v/>
      </c>
      <c r="D28" s="16" t="str">
        <f aca="false">IF($A28="","",'Dependency Register'!A29)</f>
        <v/>
      </c>
      <c r="E28" s="16" t="str">
        <f aca="false">IF($A28="","",'Dependency Register'!O29)</f>
        <v/>
      </c>
      <c r="F28" s="16" t="str">
        <f aca="false">IF($A28="","",'Dependency Register'!P29)</f>
        <v/>
      </c>
      <c r="G28" s="20" t="str">
        <f aca="false">IF($A28="","",IF('Dependency Register'!L29="","",'Dependency Register'!L29))</f>
        <v/>
      </c>
      <c r="H28" s="16" t="str">
        <f aca="true">IF($A28="","",IF($G28="","No Date",IF($G28&lt;TODAY(),"Past Due",IF($G28-TODAY()&lt;=30,"Due ≤30 Days","Later"))))</f>
        <v/>
      </c>
    </row>
    <row r="29" customFormat="false" ht="15" hidden="false" customHeight="true" outlineLevel="0" collapsed="false">
      <c r="A29" s="16" t="str">
        <f aca="false">IF('Dependency Register'!A30="","",'Dependency Register'!C30)</f>
        <v/>
      </c>
      <c r="B29" s="16" t="str">
        <f aca="false">IF($A29="","","Giving")</f>
        <v/>
      </c>
      <c r="C29" s="16" t="str">
        <f aca="false">IF($A29="","",'Dependency Register'!B30)</f>
        <v/>
      </c>
      <c r="D29" s="16" t="str">
        <f aca="false">IF($A29="","",'Dependency Register'!A30)</f>
        <v/>
      </c>
      <c r="E29" s="16" t="str">
        <f aca="false">IF($A29="","",'Dependency Register'!O30)</f>
        <v/>
      </c>
      <c r="F29" s="16" t="str">
        <f aca="false">IF($A29="","",'Dependency Register'!P30)</f>
        <v/>
      </c>
      <c r="G29" s="20" t="str">
        <f aca="false">IF($A29="","",IF('Dependency Register'!L30="","",'Dependency Register'!L30))</f>
        <v/>
      </c>
      <c r="H29" s="16" t="str">
        <f aca="true">IF($A29="","",IF($G29="","No Date",IF($G29&lt;TODAY(),"Past Due",IF($G29-TODAY()&lt;=30,"Due ≤30 Days","Later"))))</f>
        <v/>
      </c>
    </row>
    <row r="30" customFormat="false" ht="15" hidden="false" customHeight="true" outlineLevel="0" collapsed="false">
      <c r="A30" s="16" t="str">
        <f aca="false">IF('Dependency Register'!A31="","",'Dependency Register'!C31)</f>
        <v/>
      </c>
      <c r="B30" s="16" t="str">
        <f aca="false">IF($A30="","","Giving")</f>
        <v/>
      </c>
      <c r="C30" s="16" t="str">
        <f aca="false">IF($A30="","",'Dependency Register'!B31)</f>
        <v/>
      </c>
      <c r="D30" s="16" t="str">
        <f aca="false">IF($A30="","",'Dependency Register'!A31)</f>
        <v/>
      </c>
      <c r="E30" s="16" t="str">
        <f aca="false">IF($A30="","",'Dependency Register'!O31)</f>
        <v/>
      </c>
      <c r="F30" s="16" t="str">
        <f aca="false">IF($A30="","",'Dependency Register'!P31)</f>
        <v/>
      </c>
      <c r="G30" s="20" t="str">
        <f aca="false">IF($A30="","",IF('Dependency Register'!L31="","",'Dependency Register'!L31))</f>
        <v/>
      </c>
      <c r="H30" s="16" t="str">
        <f aca="true">IF($A30="","",IF($G30="","No Date",IF($G30&lt;TODAY(),"Past Due",IF($G30-TODAY()&lt;=30,"Due ≤30 Days","Later"))))</f>
        <v/>
      </c>
    </row>
    <row r="31" customFormat="false" ht="15" hidden="false" customHeight="true" outlineLevel="0" collapsed="false">
      <c r="A31" s="16" t="str">
        <f aca="false">IF('Dependency Register'!A32="","",'Dependency Register'!C32)</f>
        <v/>
      </c>
      <c r="B31" s="16" t="str">
        <f aca="false">IF($A31="","","Giving")</f>
        <v/>
      </c>
      <c r="C31" s="16" t="str">
        <f aca="false">IF($A31="","",'Dependency Register'!B32)</f>
        <v/>
      </c>
      <c r="D31" s="16" t="str">
        <f aca="false">IF($A31="","",'Dependency Register'!A32)</f>
        <v/>
      </c>
      <c r="E31" s="16" t="str">
        <f aca="false">IF($A31="","",'Dependency Register'!O32)</f>
        <v/>
      </c>
      <c r="F31" s="16" t="str">
        <f aca="false">IF($A31="","",'Dependency Register'!P32)</f>
        <v/>
      </c>
      <c r="G31" s="20" t="str">
        <f aca="false">IF($A31="","",IF('Dependency Register'!L32="","",'Dependency Register'!L32))</f>
        <v/>
      </c>
      <c r="H31" s="16" t="str">
        <f aca="true">IF($A31="","",IF($G31="","No Date",IF($G31&lt;TODAY(),"Past Due",IF($G31-TODAY()&lt;=30,"Due ≤30 Days","Later"))))</f>
        <v/>
      </c>
    </row>
    <row r="32" customFormat="false" ht="15" hidden="false" customHeight="true" outlineLevel="0" collapsed="false">
      <c r="A32" s="16" t="str">
        <f aca="false">IF('Dependency Register'!A33="","",'Dependency Register'!C33)</f>
        <v/>
      </c>
      <c r="B32" s="16" t="str">
        <f aca="false">IF($A32="","","Giving")</f>
        <v/>
      </c>
      <c r="C32" s="16" t="str">
        <f aca="false">IF($A32="","",'Dependency Register'!B33)</f>
        <v/>
      </c>
      <c r="D32" s="16" t="str">
        <f aca="false">IF($A32="","",'Dependency Register'!A33)</f>
        <v/>
      </c>
      <c r="E32" s="16" t="str">
        <f aca="false">IF($A32="","",'Dependency Register'!O33)</f>
        <v/>
      </c>
      <c r="F32" s="16" t="str">
        <f aca="false">IF($A32="","",'Dependency Register'!P33)</f>
        <v/>
      </c>
      <c r="G32" s="20" t="str">
        <f aca="false">IF($A32="","",IF('Dependency Register'!L33="","",'Dependency Register'!L33))</f>
        <v/>
      </c>
      <c r="H32" s="16" t="str">
        <f aca="true">IF($A32="","",IF($G32="","No Date",IF($G32&lt;TODAY(),"Past Due",IF($G32-TODAY()&lt;=30,"Due ≤30 Days","Later"))))</f>
        <v/>
      </c>
    </row>
    <row r="33" customFormat="false" ht="15" hidden="false" customHeight="true" outlineLevel="0" collapsed="false">
      <c r="A33" s="16" t="str">
        <f aca="false">IF('Dependency Register'!A34="","",'Dependency Register'!C34)</f>
        <v/>
      </c>
      <c r="B33" s="16" t="str">
        <f aca="false">IF($A33="","","Giving")</f>
        <v/>
      </c>
      <c r="C33" s="16" t="str">
        <f aca="false">IF($A33="","",'Dependency Register'!B34)</f>
        <v/>
      </c>
      <c r="D33" s="16" t="str">
        <f aca="false">IF($A33="","",'Dependency Register'!A34)</f>
        <v/>
      </c>
      <c r="E33" s="16" t="str">
        <f aca="false">IF($A33="","",'Dependency Register'!O34)</f>
        <v/>
      </c>
      <c r="F33" s="16" t="str">
        <f aca="false">IF($A33="","",'Dependency Register'!P34)</f>
        <v/>
      </c>
      <c r="G33" s="20" t="str">
        <f aca="false">IF($A33="","",IF('Dependency Register'!L34="","",'Dependency Register'!L34))</f>
        <v/>
      </c>
      <c r="H33" s="16" t="str">
        <f aca="true">IF($A33="","",IF($G33="","No Date",IF($G33&lt;TODAY(),"Past Due",IF($G33-TODAY()&lt;=30,"Due ≤30 Days","Later"))))</f>
        <v/>
      </c>
    </row>
    <row r="34" customFormat="false" ht="15" hidden="false" customHeight="true" outlineLevel="0" collapsed="false">
      <c r="A34" s="16" t="str">
        <f aca="false">IF('Dependency Register'!A35="","",'Dependency Register'!C35)</f>
        <v/>
      </c>
      <c r="B34" s="16" t="str">
        <f aca="false">IF($A34="","","Giving")</f>
        <v/>
      </c>
      <c r="C34" s="16" t="str">
        <f aca="false">IF($A34="","",'Dependency Register'!B35)</f>
        <v/>
      </c>
      <c r="D34" s="16" t="str">
        <f aca="false">IF($A34="","",'Dependency Register'!A35)</f>
        <v/>
      </c>
      <c r="E34" s="16" t="str">
        <f aca="false">IF($A34="","",'Dependency Register'!O35)</f>
        <v/>
      </c>
      <c r="F34" s="16" t="str">
        <f aca="false">IF($A34="","",'Dependency Register'!P35)</f>
        <v/>
      </c>
      <c r="G34" s="20" t="str">
        <f aca="false">IF($A34="","",IF('Dependency Register'!L35="","",'Dependency Register'!L35))</f>
        <v/>
      </c>
      <c r="H34" s="16" t="str">
        <f aca="true">IF($A34="","",IF($G34="","No Date",IF($G34&lt;TODAY(),"Past Due",IF($G34-TODAY()&lt;=30,"Due ≤30 Days","Later"))))</f>
        <v/>
      </c>
    </row>
    <row r="35" customFormat="false" ht="15" hidden="false" customHeight="true" outlineLevel="0" collapsed="false">
      <c r="A35" s="16" t="str">
        <f aca="false">IF('Dependency Register'!A36="","",'Dependency Register'!C36)</f>
        <v/>
      </c>
      <c r="B35" s="16" t="str">
        <f aca="false">IF($A35="","","Giving")</f>
        <v/>
      </c>
      <c r="C35" s="16" t="str">
        <f aca="false">IF($A35="","",'Dependency Register'!B36)</f>
        <v/>
      </c>
      <c r="D35" s="16" t="str">
        <f aca="false">IF($A35="","",'Dependency Register'!A36)</f>
        <v/>
      </c>
      <c r="E35" s="16" t="str">
        <f aca="false">IF($A35="","",'Dependency Register'!O36)</f>
        <v/>
      </c>
      <c r="F35" s="16" t="str">
        <f aca="false">IF($A35="","",'Dependency Register'!P36)</f>
        <v/>
      </c>
      <c r="G35" s="20" t="str">
        <f aca="false">IF($A35="","",IF('Dependency Register'!L36="","",'Dependency Register'!L36))</f>
        <v/>
      </c>
      <c r="H35" s="16" t="str">
        <f aca="true">IF($A35="","",IF($G35="","No Date",IF($G35&lt;TODAY(),"Past Due",IF($G35-TODAY()&lt;=30,"Due ≤30 Days","Later"))))</f>
        <v/>
      </c>
    </row>
    <row r="36" customFormat="false" ht="15" hidden="false" customHeight="true" outlineLevel="0" collapsed="false">
      <c r="A36" s="16" t="str">
        <f aca="false">IF('Dependency Register'!A37="","",'Dependency Register'!C37)</f>
        <v/>
      </c>
      <c r="B36" s="16" t="str">
        <f aca="false">IF($A36="","","Giving")</f>
        <v/>
      </c>
      <c r="C36" s="16" t="str">
        <f aca="false">IF($A36="","",'Dependency Register'!B37)</f>
        <v/>
      </c>
      <c r="D36" s="16" t="str">
        <f aca="false">IF($A36="","",'Dependency Register'!A37)</f>
        <v/>
      </c>
      <c r="E36" s="16" t="str">
        <f aca="false">IF($A36="","",'Dependency Register'!O37)</f>
        <v/>
      </c>
      <c r="F36" s="16" t="str">
        <f aca="false">IF($A36="","",'Dependency Register'!P37)</f>
        <v/>
      </c>
      <c r="G36" s="20" t="str">
        <f aca="false">IF($A36="","",IF('Dependency Register'!L37="","",'Dependency Register'!L37))</f>
        <v/>
      </c>
      <c r="H36" s="16" t="str">
        <f aca="true">IF($A36="","",IF($G36="","No Date",IF($G36&lt;TODAY(),"Past Due",IF($G36-TODAY()&lt;=30,"Due ≤30 Days","Later"))))</f>
        <v/>
      </c>
    </row>
    <row r="37" customFormat="false" ht="15" hidden="false" customHeight="true" outlineLevel="0" collapsed="false">
      <c r="A37" s="16" t="str">
        <f aca="false">IF('Dependency Register'!A38="","",'Dependency Register'!C38)</f>
        <v/>
      </c>
      <c r="B37" s="16" t="str">
        <f aca="false">IF($A37="","","Giving")</f>
        <v/>
      </c>
      <c r="C37" s="16" t="str">
        <f aca="false">IF($A37="","",'Dependency Register'!B38)</f>
        <v/>
      </c>
      <c r="D37" s="16" t="str">
        <f aca="false">IF($A37="","",'Dependency Register'!A38)</f>
        <v/>
      </c>
      <c r="E37" s="16" t="str">
        <f aca="false">IF($A37="","",'Dependency Register'!O38)</f>
        <v/>
      </c>
      <c r="F37" s="16" t="str">
        <f aca="false">IF($A37="","",'Dependency Register'!P38)</f>
        <v/>
      </c>
      <c r="G37" s="20" t="str">
        <f aca="false">IF($A37="","",IF('Dependency Register'!L38="","",'Dependency Register'!L38))</f>
        <v/>
      </c>
      <c r="H37" s="16" t="str">
        <f aca="true">IF($A37="","",IF($G37="","No Date",IF($G37&lt;TODAY(),"Past Due",IF($G37-TODAY()&lt;=30,"Due ≤30 Days","Later"))))</f>
        <v/>
      </c>
    </row>
    <row r="38" customFormat="false" ht="15" hidden="false" customHeight="true" outlineLevel="0" collapsed="false">
      <c r="A38" s="16" t="str">
        <f aca="false">IF('Dependency Register'!A39="","",'Dependency Register'!C39)</f>
        <v/>
      </c>
      <c r="B38" s="16" t="str">
        <f aca="false">IF($A38="","","Giving")</f>
        <v/>
      </c>
      <c r="C38" s="16" t="str">
        <f aca="false">IF($A38="","",'Dependency Register'!B39)</f>
        <v/>
      </c>
      <c r="D38" s="16" t="str">
        <f aca="false">IF($A38="","",'Dependency Register'!A39)</f>
        <v/>
      </c>
      <c r="E38" s="16" t="str">
        <f aca="false">IF($A38="","",'Dependency Register'!O39)</f>
        <v/>
      </c>
      <c r="F38" s="16" t="str">
        <f aca="false">IF($A38="","",'Dependency Register'!P39)</f>
        <v/>
      </c>
      <c r="G38" s="20" t="str">
        <f aca="false">IF($A38="","",IF('Dependency Register'!L39="","",'Dependency Register'!L39))</f>
        <v/>
      </c>
      <c r="H38" s="16" t="str">
        <f aca="true">IF($A38="","",IF($G38="","No Date",IF($G38&lt;TODAY(),"Past Due",IF($G38-TODAY()&lt;=30,"Due ≤30 Days","Later"))))</f>
        <v/>
      </c>
    </row>
    <row r="39" customFormat="false" ht="15" hidden="false" customHeight="true" outlineLevel="0" collapsed="false">
      <c r="A39" s="16" t="str">
        <f aca="false">IF('Dependency Register'!A40="","",'Dependency Register'!C40)</f>
        <v/>
      </c>
      <c r="B39" s="16" t="str">
        <f aca="false">IF($A39="","","Giving")</f>
        <v/>
      </c>
      <c r="C39" s="16" t="str">
        <f aca="false">IF($A39="","",'Dependency Register'!B40)</f>
        <v/>
      </c>
      <c r="D39" s="16" t="str">
        <f aca="false">IF($A39="","",'Dependency Register'!A40)</f>
        <v/>
      </c>
      <c r="E39" s="16" t="str">
        <f aca="false">IF($A39="","",'Dependency Register'!O40)</f>
        <v/>
      </c>
      <c r="F39" s="16" t="str">
        <f aca="false">IF($A39="","",'Dependency Register'!P40)</f>
        <v/>
      </c>
      <c r="G39" s="20" t="str">
        <f aca="false">IF($A39="","",IF('Dependency Register'!L40="","",'Dependency Register'!L40))</f>
        <v/>
      </c>
      <c r="H39" s="16" t="str">
        <f aca="true">IF($A39="","",IF($G39="","No Date",IF($G39&lt;TODAY(),"Past Due",IF($G39-TODAY()&lt;=30,"Due ≤30 Days","Later"))))</f>
        <v/>
      </c>
    </row>
    <row r="40" customFormat="false" ht="15" hidden="false" customHeight="true" outlineLevel="0" collapsed="false">
      <c r="A40" s="16" t="str">
        <f aca="false">IF('Dependency Register'!A41="","",'Dependency Register'!C41)</f>
        <v/>
      </c>
      <c r="B40" s="16" t="str">
        <f aca="false">IF($A40="","","Giving")</f>
        <v/>
      </c>
      <c r="C40" s="16" t="str">
        <f aca="false">IF($A40="","",'Dependency Register'!B41)</f>
        <v/>
      </c>
      <c r="D40" s="16" t="str">
        <f aca="false">IF($A40="","",'Dependency Register'!A41)</f>
        <v/>
      </c>
      <c r="E40" s="16" t="str">
        <f aca="false">IF($A40="","",'Dependency Register'!O41)</f>
        <v/>
      </c>
      <c r="F40" s="16" t="str">
        <f aca="false">IF($A40="","",'Dependency Register'!P41)</f>
        <v/>
      </c>
      <c r="G40" s="20" t="str">
        <f aca="false">IF($A40="","",IF('Dependency Register'!L41="","",'Dependency Register'!L41))</f>
        <v/>
      </c>
      <c r="H40" s="16" t="str">
        <f aca="true">IF($A40="","",IF($G40="","No Date",IF($G40&lt;TODAY(),"Past Due",IF($G40-TODAY()&lt;=30,"Due ≤30 Days","Later"))))</f>
        <v/>
      </c>
    </row>
    <row r="41" customFormat="false" ht="15" hidden="false" customHeight="true" outlineLevel="0" collapsed="false">
      <c r="A41" s="16" t="str">
        <f aca="false">IF('Dependency Register'!A42="","",'Dependency Register'!C42)</f>
        <v/>
      </c>
      <c r="B41" s="16" t="str">
        <f aca="false">IF($A41="","","Giving")</f>
        <v/>
      </c>
      <c r="C41" s="16" t="str">
        <f aca="false">IF($A41="","",'Dependency Register'!B42)</f>
        <v/>
      </c>
      <c r="D41" s="16" t="str">
        <f aca="false">IF($A41="","",'Dependency Register'!A42)</f>
        <v/>
      </c>
      <c r="E41" s="16" t="str">
        <f aca="false">IF($A41="","",'Dependency Register'!O42)</f>
        <v/>
      </c>
      <c r="F41" s="16" t="str">
        <f aca="false">IF($A41="","",'Dependency Register'!P42)</f>
        <v/>
      </c>
      <c r="G41" s="20" t="str">
        <f aca="false">IF($A41="","",IF('Dependency Register'!L42="","",'Dependency Register'!L42))</f>
        <v/>
      </c>
      <c r="H41" s="16" t="str">
        <f aca="true">IF($A41="","",IF($G41="","No Date",IF($G41&lt;TODAY(),"Past Due",IF($G41-TODAY()&lt;=30,"Due ≤30 Days","Later"))))</f>
        <v/>
      </c>
    </row>
    <row r="42" customFormat="false" ht="15" hidden="false" customHeight="true" outlineLevel="0" collapsed="false">
      <c r="A42" s="16" t="str">
        <f aca="false">IF('Dependency Register'!A43="","",'Dependency Register'!C43)</f>
        <v/>
      </c>
      <c r="B42" s="16" t="str">
        <f aca="false">IF($A42="","","Giving")</f>
        <v/>
      </c>
      <c r="C42" s="16" t="str">
        <f aca="false">IF($A42="","",'Dependency Register'!B43)</f>
        <v/>
      </c>
      <c r="D42" s="16" t="str">
        <f aca="false">IF($A42="","",'Dependency Register'!A43)</f>
        <v/>
      </c>
      <c r="E42" s="16" t="str">
        <f aca="false">IF($A42="","",'Dependency Register'!O43)</f>
        <v/>
      </c>
      <c r="F42" s="16" t="str">
        <f aca="false">IF($A42="","",'Dependency Register'!P43)</f>
        <v/>
      </c>
      <c r="G42" s="20" t="str">
        <f aca="false">IF($A42="","",IF('Dependency Register'!L43="","",'Dependency Register'!L43))</f>
        <v/>
      </c>
      <c r="H42" s="16" t="str">
        <f aca="true">IF($A42="","",IF($G42="","No Date",IF($G42&lt;TODAY(),"Past Due",IF($G42-TODAY()&lt;=30,"Due ≤30 Days","Later"))))</f>
        <v/>
      </c>
    </row>
    <row r="43" customFormat="false" ht="15" hidden="false" customHeight="true" outlineLevel="0" collapsed="false">
      <c r="A43" s="16" t="str">
        <f aca="false">IF('Dependency Register'!A44="","",'Dependency Register'!C44)</f>
        <v/>
      </c>
      <c r="B43" s="16" t="str">
        <f aca="false">IF($A43="","","Giving")</f>
        <v/>
      </c>
      <c r="C43" s="16" t="str">
        <f aca="false">IF($A43="","",'Dependency Register'!B44)</f>
        <v/>
      </c>
      <c r="D43" s="16" t="str">
        <f aca="false">IF($A43="","",'Dependency Register'!A44)</f>
        <v/>
      </c>
      <c r="E43" s="16" t="str">
        <f aca="false">IF($A43="","",'Dependency Register'!O44)</f>
        <v/>
      </c>
      <c r="F43" s="16" t="str">
        <f aca="false">IF($A43="","",'Dependency Register'!P44)</f>
        <v/>
      </c>
      <c r="G43" s="20" t="str">
        <f aca="false">IF($A43="","",IF('Dependency Register'!L44="","",'Dependency Register'!L44))</f>
        <v/>
      </c>
      <c r="H43" s="16" t="str">
        <f aca="true">IF($A43="","",IF($G43="","No Date",IF($G43&lt;TODAY(),"Past Due",IF($G43-TODAY()&lt;=30,"Due ≤30 Days","Later"))))</f>
        <v/>
      </c>
    </row>
    <row r="44" customFormat="false" ht="15" hidden="false" customHeight="true" outlineLevel="0" collapsed="false">
      <c r="A44" s="16" t="str">
        <f aca="false">IF('Dependency Register'!A45="","",'Dependency Register'!C45)</f>
        <v/>
      </c>
      <c r="B44" s="16" t="str">
        <f aca="false">IF($A44="","","Giving")</f>
        <v/>
      </c>
      <c r="C44" s="16" t="str">
        <f aca="false">IF($A44="","",'Dependency Register'!B45)</f>
        <v/>
      </c>
      <c r="D44" s="16" t="str">
        <f aca="false">IF($A44="","",'Dependency Register'!A45)</f>
        <v/>
      </c>
      <c r="E44" s="16" t="str">
        <f aca="false">IF($A44="","",'Dependency Register'!O45)</f>
        <v/>
      </c>
      <c r="F44" s="16" t="str">
        <f aca="false">IF($A44="","",'Dependency Register'!P45)</f>
        <v/>
      </c>
      <c r="G44" s="20" t="str">
        <f aca="false">IF($A44="","",IF('Dependency Register'!L45="","",'Dependency Register'!L45))</f>
        <v/>
      </c>
      <c r="H44" s="16" t="str">
        <f aca="true">IF($A44="","",IF($G44="","No Date",IF($G44&lt;TODAY(),"Past Due",IF($G44-TODAY()&lt;=30,"Due ≤30 Days","Later"))))</f>
        <v/>
      </c>
    </row>
    <row r="45" customFormat="false" ht="15" hidden="false" customHeight="true" outlineLevel="0" collapsed="false">
      <c r="A45" s="16" t="str">
        <f aca="false">IF('Dependency Register'!A46="","",'Dependency Register'!C46)</f>
        <v/>
      </c>
      <c r="B45" s="16" t="str">
        <f aca="false">IF($A45="","","Giving")</f>
        <v/>
      </c>
      <c r="C45" s="16" t="str">
        <f aca="false">IF($A45="","",'Dependency Register'!B46)</f>
        <v/>
      </c>
      <c r="D45" s="16" t="str">
        <f aca="false">IF($A45="","",'Dependency Register'!A46)</f>
        <v/>
      </c>
      <c r="E45" s="16" t="str">
        <f aca="false">IF($A45="","",'Dependency Register'!O46)</f>
        <v/>
      </c>
      <c r="F45" s="16" t="str">
        <f aca="false">IF($A45="","",'Dependency Register'!P46)</f>
        <v/>
      </c>
      <c r="G45" s="20" t="str">
        <f aca="false">IF($A45="","",IF('Dependency Register'!L46="","",'Dependency Register'!L46))</f>
        <v/>
      </c>
      <c r="H45" s="16" t="str">
        <f aca="true">IF($A45="","",IF($G45="","No Date",IF($G45&lt;TODAY(),"Past Due",IF($G45-TODAY()&lt;=30,"Due ≤30 Days","Later"))))</f>
        <v/>
      </c>
    </row>
    <row r="46" customFormat="false" ht="15" hidden="false" customHeight="true" outlineLevel="0" collapsed="false">
      <c r="A46" s="16" t="str">
        <f aca="false">IF('Dependency Register'!A47="","",'Dependency Register'!C47)</f>
        <v/>
      </c>
      <c r="B46" s="16" t="str">
        <f aca="false">IF($A46="","","Giving")</f>
        <v/>
      </c>
      <c r="C46" s="16" t="str">
        <f aca="false">IF($A46="","",'Dependency Register'!B47)</f>
        <v/>
      </c>
      <c r="D46" s="16" t="str">
        <f aca="false">IF($A46="","",'Dependency Register'!A47)</f>
        <v/>
      </c>
      <c r="E46" s="16" t="str">
        <f aca="false">IF($A46="","",'Dependency Register'!O47)</f>
        <v/>
      </c>
      <c r="F46" s="16" t="str">
        <f aca="false">IF($A46="","",'Dependency Register'!P47)</f>
        <v/>
      </c>
      <c r="G46" s="20" t="str">
        <f aca="false">IF($A46="","",IF('Dependency Register'!L47="","",'Dependency Register'!L47))</f>
        <v/>
      </c>
      <c r="H46" s="16" t="str">
        <f aca="true">IF($A46="","",IF($G46="","No Date",IF($G46&lt;TODAY(),"Past Due",IF($G46-TODAY()&lt;=30,"Due ≤30 Days","Later"))))</f>
        <v/>
      </c>
    </row>
    <row r="47" customFormat="false" ht="15" hidden="false" customHeight="true" outlineLevel="0" collapsed="false">
      <c r="A47" s="16" t="str">
        <f aca="false">IF('Dependency Register'!A48="","",'Dependency Register'!C48)</f>
        <v/>
      </c>
      <c r="B47" s="16" t="str">
        <f aca="false">IF($A47="","","Giving")</f>
        <v/>
      </c>
      <c r="C47" s="16" t="str">
        <f aca="false">IF($A47="","",'Dependency Register'!B48)</f>
        <v/>
      </c>
      <c r="D47" s="16" t="str">
        <f aca="false">IF($A47="","",'Dependency Register'!A48)</f>
        <v/>
      </c>
      <c r="E47" s="16" t="str">
        <f aca="false">IF($A47="","",'Dependency Register'!O48)</f>
        <v/>
      </c>
      <c r="F47" s="16" t="str">
        <f aca="false">IF($A47="","",'Dependency Register'!P48)</f>
        <v/>
      </c>
      <c r="G47" s="20" t="str">
        <f aca="false">IF($A47="","",IF('Dependency Register'!L48="","",'Dependency Register'!L48))</f>
        <v/>
      </c>
      <c r="H47" s="16" t="str">
        <f aca="true">IF($A47="","",IF($G47="","No Date",IF($G47&lt;TODAY(),"Past Due",IF($G47-TODAY()&lt;=30,"Due ≤30 Days","Later"))))</f>
        <v/>
      </c>
    </row>
    <row r="48" customFormat="false" ht="15" hidden="false" customHeight="true" outlineLevel="0" collapsed="false">
      <c r="A48" s="16" t="str">
        <f aca="false">IF('Dependency Register'!A49="","",'Dependency Register'!C49)</f>
        <v/>
      </c>
      <c r="B48" s="16" t="str">
        <f aca="false">IF($A48="","","Giving")</f>
        <v/>
      </c>
      <c r="C48" s="16" t="str">
        <f aca="false">IF($A48="","",'Dependency Register'!B49)</f>
        <v/>
      </c>
      <c r="D48" s="16" t="str">
        <f aca="false">IF($A48="","",'Dependency Register'!A49)</f>
        <v/>
      </c>
      <c r="E48" s="16" t="str">
        <f aca="false">IF($A48="","",'Dependency Register'!O49)</f>
        <v/>
      </c>
      <c r="F48" s="16" t="str">
        <f aca="false">IF($A48="","",'Dependency Register'!P49)</f>
        <v/>
      </c>
      <c r="G48" s="20" t="str">
        <f aca="false">IF($A48="","",IF('Dependency Register'!L49="","",'Dependency Register'!L49))</f>
        <v/>
      </c>
      <c r="H48" s="16" t="str">
        <f aca="true">IF($A48="","",IF($G48="","No Date",IF($G48&lt;TODAY(),"Past Due",IF($G48-TODAY()&lt;=30,"Due ≤30 Days","Later"))))</f>
        <v/>
      </c>
    </row>
    <row r="49" customFormat="false" ht="15" hidden="false" customHeight="true" outlineLevel="0" collapsed="false">
      <c r="A49" s="16" t="str">
        <f aca="false">IF('Dependency Register'!A50="","",'Dependency Register'!C50)</f>
        <v/>
      </c>
      <c r="B49" s="16" t="str">
        <f aca="false">IF($A49="","","Giving")</f>
        <v/>
      </c>
      <c r="C49" s="16" t="str">
        <f aca="false">IF($A49="","",'Dependency Register'!B50)</f>
        <v/>
      </c>
      <c r="D49" s="16" t="str">
        <f aca="false">IF($A49="","",'Dependency Register'!A50)</f>
        <v/>
      </c>
      <c r="E49" s="16" t="str">
        <f aca="false">IF($A49="","",'Dependency Register'!O50)</f>
        <v/>
      </c>
      <c r="F49" s="16" t="str">
        <f aca="false">IF($A49="","",'Dependency Register'!P50)</f>
        <v/>
      </c>
      <c r="G49" s="20" t="str">
        <f aca="false">IF($A49="","",IF('Dependency Register'!L50="","",'Dependency Register'!L50))</f>
        <v/>
      </c>
      <c r="H49" s="16" t="str">
        <f aca="true">IF($A49="","",IF($G49="","No Date",IF($G49&lt;TODAY(),"Past Due",IF($G49-TODAY()&lt;=30,"Due ≤30 Days","Later"))))</f>
        <v/>
      </c>
    </row>
    <row r="50" customFormat="false" ht="15" hidden="false" customHeight="true" outlineLevel="0" collapsed="false">
      <c r="A50" s="16" t="str">
        <f aca="false">IF('Dependency Register'!A51="","",'Dependency Register'!C51)</f>
        <v/>
      </c>
      <c r="B50" s="16" t="str">
        <f aca="false">IF($A50="","","Giving")</f>
        <v/>
      </c>
      <c r="C50" s="16" t="str">
        <f aca="false">IF($A50="","",'Dependency Register'!B51)</f>
        <v/>
      </c>
      <c r="D50" s="16" t="str">
        <f aca="false">IF($A50="","",'Dependency Register'!A51)</f>
        <v/>
      </c>
      <c r="E50" s="16" t="str">
        <f aca="false">IF($A50="","",'Dependency Register'!O51)</f>
        <v/>
      </c>
      <c r="F50" s="16" t="str">
        <f aca="false">IF($A50="","",'Dependency Register'!P51)</f>
        <v/>
      </c>
      <c r="G50" s="20" t="str">
        <f aca="false">IF($A50="","",IF('Dependency Register'!L51="","",'Dependency Register'!L51))</f>
        <v/>
      </c>
      <c r="H50" s="16" t="str">
        <f aca="true">IF($A50="","",IF($G50="","No Date",IF($G50&lt;TODAY(),"Past Due",IF($G50-TODAY()&lt;=30,"Due ≤30 Days","Later"))))</f>
        <v/>
      </c>
    </row>
    <row r="51" customFormat="false" ht="15" hidden="false" customHeight="true" outlineLevel="0" collapsed="false">
      <c r="A51" s="16" t="str">
        <f aca="false">IF('Dependency Register'!A52="","",'Dependency Register'!C52)</f>
        <v/>
      </c>
      <c r="B51" s="16" t="str">
        <f aca="false">IF($A51="","","Giving")</f>
        <v/>
      </c>
      <c r="C51" s="16" t="str">
        <f aca="false">IF($A51="","",'Dependency Register'!B52)</f>
        <v/>
      </c>
      <c r="D51" s="16" t="str">
        <f aca="false">IF($A51="","",'Dependency Register'!A52)</f>
        <v/>
      </c>
      <c r="E51" s="16" t="str">
        <f aca="false">IF($A51="","",'Dependency Register'!O52)</f>
        <v/>
      </c>
      <c r="F51" s="16" t="str">
        <f aca="false">IF($A51="","",'Dependency Register'!P52)</f>
        <v/>
      </c>
      <c r="G51" s="20" t="str">
        <f aca="false">IF($A51="","",IF('Dependency Register'!L52="","",'Dependency Register'!L52))</f>
        <v/>
      </c>
      <c r="H51" s="16" t="str">
        <f aca="true">IF($A51="","",IF($G51="","No Date",IF($G51&lt;TODAY(),"Past Due",IF($G51-TODAY()&lt;=30,"Due ≤30 Days","Later"))))</f>
        <v/>
      </c>
    </row>
    <row r="52" customFormat="false" ht="15" hidden="false" customHeight="true" outlineLevel="0" collapsed="false">
      <c r="A52" s="16" t="str">
        <f aca="false">IF('Dependency Register'!A53="","",'Dependency Register'!C53)</f>
        <v/>
      </c>
      <c r="B52" s="16" t="str">
        <f aca="false">IF($A52="","","Giving")</f>
        <v/>
      </c>
      <c r="C52" s="16" t="str">
        <f aca="false">IF($A52="","",'Dependency Register'!B53)</f>
        <v/>
      </c>
      <c r="D52" s="16" t="str">
        <f aca="false">IF($A52="","",'Dependency Register'!A53)</f>
        <v/>
      </c>
      <c r="E52" s="16" t="str">
        <f aca="false">IF($A52="","",'Dependency Register'!O53)</f>
        <v/>
      </c>
      <c r="F52" s="16" t="str">
        <f aca="false">IF($A52="","",'Dependency Register'!P53)</f>
        <v/>
      </c>
      <c r="G52" s="20" t="str">
        <f aca="false">IF($A52="","",IF('Dependency Register'!L53="","",'Dependency Register'!L53))</f>
        <v/>
      </c>
      <c r="H52" s="16" t="str">
        <f aca="true">IF($A52="","",IF($G52="","No Date",IF($G52&lt;TODAY(),"Past Due",IF($G52-TODAY()&lt;=30,"Due ≤30 Days","Later"))))</f>
        <v/>
      </c>
    </row>
    <row r="53" customFormat="false" ht="15" hidden="false" customHeight="true" outlineLevel="0" collapsed="false">
      <c r="A53" s="16" t="str">
        <f aca="false">IF('Dependency Register'!A54="","",'Dependency Register'!C54)</f>
        <v/>
      </c>
      <c r="B53" s="16" t="str">
        <f aca="false">IF($A53="","","Giving")</f>
        <v/>
      </c>
      <c r="C53" s="16" t="str">
        <f aca="false">IF($A53="","",'Dependency Register'!B54)</f>
        <v/>
      </c>
      <c r="D53" s="16" t="str">
        <f aca="false">IF($A53="","",'Dependency Register'!A54)</f>
        <v/>
      </c>
      <c r="E53" s="16" t="str">
        <f aca="false">IF($A53="","",'Dependency Register'!O54)</f>
        <v/>
      </c>
      <c r="F53" s="16" t="str">
        <f aca="false">IF($A53="","",'Dependency Register'!P54)</f>
        <v/>
      </c>
      <c r="G53" s="20" t="str">
        <f aca="false">IF($A53="","",IF('Dependency Register'!L54="","",'Dependency Register'!L54))</f>
        <v/>
      </c>
      <c r="H53" s="16" t="str">
        <f aca="true">IF($A53="","",IF($G53="","No Date",IF($G53&lt;TODAY(),"Past Due",IF($G53-TODAY()&lt;=30,"Due ≤30 Days","Later"))))</f>
        <v/>
      </c>
    </row>
    <row r="54" customFormat="false" ht="15" hidden="false" customHeight="true" outlineLevel="0" collapsed="false">
      <c r="A54" s="16" t="str">
        <f aca="false">IF('Dependency Register'!A55="","",'Dependency Register'!C55)</f>
        <v/>
      </c>
      <c r="B54" s="16" t="str">
        <f aca="false">IF($A54="","","Giving")</f>
        <v/>
      </c>
      <c r="C54" s="16" t="str">
        <f aca="false">IF($A54="","",'Dependency Register'!B55)</f>
        <v/>
      </c>
      <c r="D54" s="16" t="str">
        <f aca="false">IF($A54="","",'Dependency Register'!A55)</f>
        <v/>
      </c>
      <c r="E54" s="16" t="str">
        <f aca="false">IF($A54="","",'Dependency Register'!O55)</f>
        <v/>
      </c>
      <c r="F54" s="16" t="str">
        <f aca="false">IF($A54="","",'Dependency Register'!P55)</f>
        <v/>
      </c>
      <c r="G54" s="20" t="str">
        <f aca="false">IF($A54="","",IF('Dependency Register'!L55="","",'Dependency Register'!L55))</f>
        <v/>
      </c>
      <c r="H54" s="16" t="str">
        <f aca="true">IF($A54="","",IF($G54="","No Date",IF($G54&lt;TODAY(),"Past Due",IF($G54-TODAY()&lt;=30,"Due ≤30 Days","Later"))))</f>
        <v/>
      </c>
    </row>
    <row r="55" customFormat="false" ht="15" hidden="false" customHeight="true" outlineLevel="0" collapsed="false">
      <c r="A55" s="16" t="str">
        <f aca="false">IF('Dependency Register'!A56="","",'Dependency Register'!C56)</f>
        <v/>
      </c>
      <c r="B55" s="16" t="str">
        <f aca="false">IF($A55="","","Giving")</f>
        <v/>
      </c>
      <c r="C55" s="16" t="str">
        <f aca="false">IF($A55="","",'Dependency Register'!B56)</f>
        <v/>
      </c>
      <c r="D55" s="16" t="str">
        <f aca="false">IF($A55="","",'Dependency Register'!A56)</f>
        <v/>
      </c>
      <c r="E55" s="16" t="str">
        <f aca="false">IF($A55="","",'Dependency Register'!O56)</f>
        <v/>
      </c>
      <c r="F55" s="16" t="str">
        <f aca="false">IF($A55="","",'Dependency Register'!P56)</f>
        <v/>
      </c>
      <c r="G55" s="20" t="str">
        <f aca="false">IF($A55="","",IF('Dependency Register'!L56="","",'Dependency Register'!L56))</f>
        <v/>
      </c>
      <c r="H55" s="16" t="str">
        <f aca="true">IF($A55="","",IF($G55="","No Date",IF($G55&lt;TODAY(),"Past Due",IF($G55-TODAY()&lt;=30,"Due ≤30 Days","Later"))))</f>
        <v/>
      </c>
    </row>
    <row r="56" customFormat="false" ht="15" hidden="false" customHeight="true" outlineLevel="0" collapsed="false">
      <c r="A56" s="16" t="str">
        <f aca="false">IF('Dependency Register'!A57="","",'Dependency Register'!C57)</f>
        <v/>
      </c>
      <c r="B56" s="16" t="str">
        <f aca="false">IF($A56="","","Giving")</f>
        <v/>
      </c>
      <c r="C56" s="16" t="str">
        <f aca="false">IF($A56="","",'Dependency Register'!B57)</f>
        <v/>
      </c>
      <c r="D56" s="16" t="str">
        <f aca="false">IF($A56="","",'Dependency Register'!A57)</f>
        <v/>
      </c>
      <c r="E56" s="16" t="str">
        <f aca="false">IF($A56="","",'Dependency Register'!O57)</f>
        <v/>
      </c>
      <c r="F56" s="16" t="str">
        <f aca="false">IF($A56="","",'Dependency Register'!P57)</f>
        <v/>
      </c>
      <c r="G56" s="20" t="str">
        <f aca="false">IF($A56="","",IF('Dependency Register'!L57="","",'Dependency Register'!L57))</f>
        <v/>
      </c>
      <c r="H56" s="16" t="str">
        <f aca="true">IF($A56="","",IF($G56="","No Date",IF($G56&lt;TODAY(),"Past Due",IF($G56-TODAY()&lt;=30,"Due ≤30 Days","Later"))))</f>
        <v/>
      </c>
    </row>
    <row r="57" customFormat="false" ht="15" hidden="false" customHeight="true" outlineLevel="0" collapsed="false">
      <c r="A57" s="16" t="str">
        <f aca="false">IF('Dependency Register'!A58="","",'Dependency Register'!C58)</f>
        <v/>
      </c>
      <c r="B57" s="16" t="str">
        <f aca="false">IF($A57="","","Giving")</f>
        <v/>
      </c>
      <c r="C57" s="16" t="str">
        <f aca="false">IF($A57="","",'Dependency Register'!B58)</f>
        <v/>
      </c>
      <c r="D57" s="16" t="str">
        <f aca="false">IF($A57="","",'Dependency Register'!A58)</f>
        <v/>
      </c>
      <c r="E57" s="16" t="str">
        <f aca="false">IF($A57="","",'Dependency Register'!O58)</f>
        <v/>
      </c>
      <c r="F57" s="16" t="str">
        <f aca="false">IF($A57="","",'Dependency Register'!P58)</f>
        <v/>
      </c>
      <c r="G57" s="20" t="str">
        <f aca="false">IF($A57="","",IF('Dependency Register'!L58="","",'Dependency Register'!L58))</f>
        <v/>
      </c>
      <c r="H57" s="16" t="str">
        <f aca="true">IF($A57="","",IF($G57="","No Date",IF($G57&lt;TODAY(),"Past Due",IF($G57-TODAY()&lt;=30,"Due ≤30 Days","Later"))))</f>
        <v/>
      </c>
    </row>
    <row r="58" customFormat="false" ht="15" hidden="false" customHeight="true" outlineLevel="0" collapsed="false">
      <c r="A58" s="16" t="str">
        <f aca="false">IF('Dependency Register'!A59="","",'Dependency Register'!C59)</f>
        <v/>
      </c>
      <c r="B58" s="16" t="str">
        <f aca="false">IF($A58="","","Giving")</f>
        <v/>
      </c>
      <c r="C58" s="16" t="str">
        <f aca="false">IF($A58="","",'Dependency Register'!B59)</f>
        <v/>
      </c>
      <c r="D58" s="16" t="str">
        <f aca="false">IF($A58="","",'Dependency Register'!A59)</f>
        <v/>
      </c>
      <c r="E58" s="16" t="str">
        <f aca="false">IF($A58="","",'Dependency Register'!O59)</f>
        <v/>
      </c>
      <c r="F58" s="16" t="str">
        <f aca="false">IF($A58="","",'Dependency Register'!P59)</f>
        <v/>
      </c>
      <c r="G58" s="20" t="str">
        <f aca="false">IF($A58="","",IF('Dependency Register'!L59="","",'Dependency Register'!L59))</f>
        <v/>
      </c>
      <c r="H58" s="16" t="str">
        <f aca="true">IF($A58="","",IF($G58="","No Date",IF($G58&lt;TODAY(),"Past Due",IF($G58-TODAY()&lt;=30,"Due ≤30 Days","Later"))))</f>
        <v/>
      </c>
    </row>
    <row r="59" customFormat="false" ht="15" hidden="false" customHeight="true" outlineLevel="0" collapsed="false">
      <c r="A59" s="16" t="str">
        <f aca="false">IF('Dependency Register'!A60="","",'Dependency Register'!C60)</f>
        <v/>
      </c>
      <c r="B59" s="16" t="str">
        <f aca="false">IF($A59="","","Giving")</f>
        <v/>
      </c>
      <c r="C59" s="16" t="str">
        <f aca="false">IF($A59="","",'Dependency Register'!B60)</f>
        <v/>
      </c>
      <c r="D59" s="16" t="str">
        <f aca="false">IF($A59="","",'Dependency Register'!A60)</f>
        <v/>
      </c>
      <c r="E59" s="16" t="str">
        <f aca="false">IF($A59="","",'Dependency Register'!O60)</f>
        <v/>
      </c>
      <c r="F59" s="16" t="str">
        <f aca="false">IF($A59="","",'Dependency Register'!P60)</f>
        <v/>
      </c>
      <c r="G59" s="20" t="str">
        <f aca="false">IF($A59="","",IF('Dependency Register'!L60="","",'Dependency Register'!L60))</f>
        <v/>
      </c>
      <c r="H59" s="16" t="str">
        <f aca="true">IF($A59="","",IF($G59="","No Date",IF($G59&lt;TODAY(),"Past Due",IF($G59-TODAY()&lt;=30,"Due ≤30 Days","Later"))))</f>
        <v/>
      </c>
    </row>
    <row r="60" customFormat="false" ht="15" hidden="false" customHeight="true" outlineLevel="0" collapsed="false">
      <c r="A60" s="16" t="str">
        <f aca="false">IF('Dependency Register'!A61="","",'Dependency Register'!C61)</f>
        <v/>
      </c>
      <c r="B60" s="16" t="str">
        <f aca="false">IF($A60="","","Giving")</f>
        <v/>
      </c>
      <c r="C60" s="16" t="str">
        <f aca="false">IF($A60="","",'Dependency Register'!B61)</f>
        <v/>
      </c>
      <c r="D60" s="16" t="str">
        <f aca="false">IF($A60="","",'Dependency Register'!A61)</f>
        <v/>
      </c>
      <c r="E60" s="16" t="str">
        <f aca="false">IF($A60="","",'Dependency Register'!O61)</f>
        <v/>
      </c>
      <c r="F60" s="16" t="str">
        <f aca="false">IF($A60="","",'Dependency Register'!P61)</f>
        <v/>
      </c>
      <c r="G60" s="20" t="str">
        <f aca="false">IF($A60="","",IF('Dependency Register'!L61="","",'Dependency Register'!L61))</f>
        <v/>
      </c>
      <c r="H60" s="16" t="str">
        <f aca="true">IF($A60="","",IF($G60="","No Date",IF($G60&lt;TODAY(),"Past Due",IF($G60-TODAY()&lt;=30,"Due ≤30 Days","Later"))))</f>
        <v/>
      </c>
    </row>
    <row r="61" customFormat="false" ht="15" hidden="false" customHeight="true" outlineLevel="0" collapsed="false">
      <c r="A61" s="16" t="str">
        <f aca="false">IF('Dependency Register'!A62="","",'Dependency Register'!C62)</f>
        <v/>
      </c>
      <c r="B61" s="16" t="str">
        <f aca="false">IF($A61="","","Giving")</f>
        <v/>
      </c>
      <c r="C61" s="16" t="str">
        <f aca="false">IF($A61="","",'Dependency Register'!B62)</f>
        <v/>
      </c>
      <c r="D61" s="16" t="str">
        <f aca="false">IF($A61="","",'Dependency Register'!A62)</f>
        <v/>
      </c>
      <c r="E61" s="16" t="str">
        <f aca="false">IF($A61="","",'Dependency Register'!O62)</f>
        <v/>
      </c>
      <c r="F61" s="16" t="str">
        <f aca="false">IF($A61="","",'Dependency Register'!P62)</f>
        <v/>
      </c>
      <c r="G61" s="20" t="str">
        <f aca="false">IF($A61="","",IF('Dependency Register'!L62="","",'Dependency Register'!L62))</f>
        <v/>
      </c>
      <c r="H61" s="16" t="str">
        <f aca="true">IF($A61="","",IF($G61="","No Date",IF($G61&lt;TODAY(),"Past Due",IF($G61-TODAY()&lt;=30,"Due ≤30 Days","Later"))))</f>
        <v/>
      </c>
    </row>
    <row r="62" customFormat="false" ht="15" hidden="false" customHeight="true" outlineLevel="0" collapsed="false">
      <c r="A62" s="16" t="str">
        <f aca="false">IF('Dependency Register'!A63="","",'Dependency Register'!C63)</f>
        <v/>
      </c>
      <c r="B62" s="16" t="str">
        <f aca="false">IF($A62="","","Giving")</f>
        <v/>
      </c>
      <c r="C62" s="16" t="str">
        <f aca="false">IF($A62="","",'Dependency Register'!B63)</f>
        <v/>
      </c>
      <c r="D62" s="16" t="str">
        <f aca="false">IF($A62="","",'Dependency Register'!A63)</f>
        <v/>
      </c>
      <c r="E62" s="16" t="str">
        <f aca="false">IF($A62="","",'Dependency Register'!O63)</f>
        <v/>
      </c>
      <c r="F62" s="16" t="str">
        <f aca="false">IF($A62="","",'Dependency Register'!P63)</f>
        <v/>
      </c>
      <c r="G62" s="20" t="str">
        <f aca="false">IF($A62="","",IF('Dependency Register'!L63="","",'Dependency Register'!L63))</f>
        <v/>
      </c>
      <c r="H62" s="16" t="str">
        <f aca="true">IF($A62="","",IF($G62="","No Date",IF($G62&lt;TODAY(),"Past Due",IF($G62-TODAY()&lt;=30,"Due ≤30 Days","Later"))))</f>
        <v/>
      </c>
    </row>
    <row r="63" customFormat="false" ht="15" hidden="false" customHeight="true" outlineLevel="0" collapsed="false">
      <c r="A63" s="16" t="str">
        <f aca="false">IF('Dependency Register'!A64="","",'Dependency Register'!C64)</f>
        <v/>
      </c>
      <c r="B63" s="16" t="str">
        <f aca="false">IF($A63="","","Giving")</f>
        <v/>
      </c>
      <c r="C63" s="16" t="str">
        <f aca="false">IF($A63="","",'Dependency Register'!B64)</f>
        <v/>
      </c>
      <c r="D63" s="16" t="str">
        <f aca="false">IF($A63="","",'Dependency Register'!A64)</f>
        <v/>
      </c>
      <c r="E63" s="16" t="str">
        <f aca="false">IF($A63="","",'Dependency Register'!O64)</f>
        <v/>
      </c>
      <c r="F63" s="16" t="str">
        <f aca="false">IF($A63="","",'Dependency Register'!P64)</f>
        <v/>
      </c>
      <c r="G63" s="20" t="str">
        <f aca="false">IF($A63="","",IF('Dependency Register'!L64="","",'Dependency Register'!L64))</f>
        <v/>
      </c>
      <c r="H63" s="16" t="str">
        <f aca="true">IF($A63="","",IF($G63="","No Date",IF($G63&lt;TODAY(),"Past Due",IF($G63-TODAY()&lt;=30,"Due ≤30 Days","Later"))))</f>
        <v/>
      </c>
    </row>
    <row r="64" customFormat="false" ht="15" hidden="false" customHeight="true" outlineLevel="0" collapsed="false">
      <c r="A64" s="16" t="str">
        <f aca="false">IF('Dependency Register'!A65="","",'Dependency Register'!C65)</f>
        <v/>
      </c>
      <c r="B64" s="16" t="str">
        <f aca="false">IF($A64="","","Giving")</f>
        <v/>
      </c>
      <c r="C64" s="16" t="str">
        <f aca="false">IF($A64="","",'Dependency Register'!B65)</f>
        <v/>
      </c>
      <c r="D64" s="16" t="str">
        <f aca="false">IF($A64="","",'Dependency Register'!A65)</f>
        <v/>
      </c>
      <c r="E64" s="16" t="str">
        <f aca="false">IF($A64="","",'Dependency Register'!O65)</f>
        <v/>
      </c>
      <c r="F64" s="16" t="str">
        <f aca="false">IF($A64="","",'Dependency Register'!P65)</f>
        <v/>
      </c>
      <c r="G64" s="20" t="str">
        <f aca="false">IF($A64="","",IF('Dependency Register'!L65="","",'Dependency Register'!L65))</f>
        <v/>
      </c>
      <c r="H64" s="16" t="str">
        <f aca="true">IF($A64="","",IF($G64="","No Date",IF($G64&lt;TODAY(),"Past Due",IF($G64-TODAY()&lt;=30,"Due ≤30 Days","Later"))))</f>
        <v/>
      </c>
    </row>
    <row r="65" customFormat="false" ht="15" hidden="false" customHeight="true" outlineLevel="0" collapsed="false">
      <c r="A65" s="16" t="str">
        <f aca="false">IF('Dependency Register'!A66="","",'Dependency Register'!C66)</f>
        <v/>
      </c>
      <c r="B65" s="16" t="str">
        <f aca="false">IF($A65="","","Giving")</f>
        <v/>
      </c>
      <c r="C65" s="16" t="str">
        <f aca="false">IF($A65="","",'Dependency Register'!B66)</f>
        <v/>
      </c>
      <c r="D65" s="16" t="str">
        <f aca="false">IF($A65="","",'Dependency Register'!A66)</f>
        <v/>
      </c>
      <c r="E65" s="16" t="str">
        <f aca="false">IF($A65="","",'Dependency Register'!O66)</f>
        <v/>
      </c>
      <c r="F65" s="16" t="str">
        <f aca="false">IF($A65="","",'Dependency Register'!P66)</f>
        <v/>
      </c>
      <c r="G65" s="20" t="str">
        <f aca="false">IF($A65="","",IF('Dependency Register'!L66="","",'Dependency Register'!L66))</f>
        <v/>
      </c>
      <c r="H65" s="16" t="str">
        <f aca="true">IF($A65="","",IF($G65="","No Date",IF($G65&lt;TODAY(),"Past Due",IF($G65-TODAY()&lt;=30,"Due ≤30 Days","Later"))))</f>
        <v/>
      </c>
    </row>
    <row r="66" customFormat="false" ht="15" hidden="false" customHeight="true" outlineLevel="0" collapsed="false">
      <c r="A66" s="16" t="str">
        <f aca="false">IF('Dependency Register'!A67="","",'Dependency Register'!C67)</f>
        <v/>
      </c>
      <c r="B66" s="16" t="str">
        <f aca="false">IF($A66="","","Giving")</f>
        <v/>
      </c>
      <c r="C66" s="16" t="str">
        <f aca="false">IF($A66="","",'Dependency Register'!B67)</f>
        <v/>
      </c>
      <c r="D66" s="16" t="str">
        <f aca="false">IF($A66="","",'Dependency Register'!A67)</f>
        <v/>
      </c>
      <c r="E66" s="16" t="str">
        <f aca="false">IF($A66="","",'Dependency Register'!O67)</f>
        <v/>
      </c>
      <c r="F66" s="16" t="str">
        <f aca="false">IF($A66="","",'Dependency Register'!P67)</f>
        <v/>
      </c>
      <c r="G66" s="20" t="str">
        <f aca="false">IF($A66="","",IF('Dependency Register'!L67="","",'Dependency Register'!L67))</f>
        <v/>
      </c>
      <c r="H66" s="16" t="str">
        <f aca="true">IF($A66="","",IF($G66="","No Date",IF($G66&lt;TODAY(),"Past Due",IF($G66-TODAY()&lt;=30,"Due ≤30 Days","Later"))))</f>
        <v/>
      </c>
    </row>
    <row r="67" customFormat="false" ht="15" hidden="false" customHeight="true" outlineLevel="0" collapsed="false">
      <c r="A67" s="16" t="str">
        <f aca="false">IF('Dependency Register'!A68="","",'Dependency Register'!C68)</f>
        <v/>
      </c>
      <c r="B67" s="16" t="str">
        <f aca="false">IF($A67="","","Giving")</f>
        <v/>
      </c>
      <c r="C67" s="16" t="str">
        <f aca="false">IF($A67="","",'Dependency Register'!B68)</f>
        <v/>
      </c>
      <c r="D67" s="16" t="str">
        <f aca="false">IF($A67="","",'Dependency Register'!A68)</f>
        <v/>
      </c>
      <c r="E67" s="16" t="str">
        <f aca="false">IF($A67="","",'Dependency Register'!O68)</f>
        <v/>
      </c>
      <c r="F67" s="16" t="str">
        <f aca="false">IF($A67="","",'Dependency Register'!P68)</f>
        <v/>
      </c>
      <c r="G67" s="20" t="str">
        <f aca="false">IF($A67="","",IF('Dependency Register'!L68="","",'Dependency Register'!L68))</f>
        <v/>
      </c>
      <c r="H67" s="16" t="str">
        <f aca="true">IF($A67="","",IF($G67="","No Date",IF($G67&lt;TODAY(),"Past Due",IF($G67-TODAY()&lt;=30,"Due ≤30 Days","Later"))))</f>
        <v/>
      </c>
    </row>
    <row r="68" customFormat="false" ht="15" hidden="false" customHeight="true" outlineLevel="0" collapsed="false">
      <c r="A68" s="16" t="str">
        <f aca="false">IF('Dependency Register'!A69="","",'Dependency Register'!C69)</f>
        <v/>
      </c>
      <c r="B68" s="16" t="str">
        <f aca="false">IF($A68="","","Giving")</f>
        <v/>
      </c>
      <c r="C68" s="16" t="str">
        <f aca="false">IF($A68="","",'Dependency Register'!B69)</f>
        <v/>
      </c>
      <c r="D68" s="16" t="str">
        <f aca="false">IF($A68="","",'Dependency Register'!A69)</f>
        <v/>
      </c>
      <c r="E68" s="16" t="str">
        <f aca="false">IF($A68="","",'Dependency Register'!O69)</f>
        <v/>
      </c>
      <c r="F68" s="16" t="str">
        <f aca="false">IF($A68="","",'Dependency Register'!P69)</f>
        <v/>
      </c>
      <c r="G68" s="20" t="str">
        <f aca="false">IF($A68="","",IF('Dependency Register'!L69="","",'Dependency Register'!L69))</f>
        <v/>
      </c>
      <c r="H68" s="16" t="str">
        <f aca="true">IF($A68="","",IF($G68="","No Date",IF($G68&lt;TODAY(),"Past Due",IF($G68-TODAY()&lt;=30,"Due ≤30 Days","Later"))))</f>
        <v/>
      </c>
    </row>
    <row r="69" customFormat="false" ht="15" hidden="false" customHeight="true" outlineLevel="0" collapsed="false">
      <c r="A69" s="16" t="str">
        <f aca="false">IF('Dependency Register'!A70="","",'Dependency Register'!C70)</f>
        <v/>
      </c>
      <c r="B69" s="16" t="str">
        <f aca="false">IF($A69="","","Giving")</f>
        <v/>
      </c>
      <c r="C69" s="16" t="str">
        <f aca="false">IF($A69="","",'Dependency Register'!B70)</f>
        <v/>
      </c>
      <c r="D69" s="16" t="str">
        <f aca="false">IF($A69="","",'Dependency Register'!A70)</f>
        <v/>
      </c>
      <c r="E69" s="16" t="str">
        <f aca="false">IF($A69="","",'Dependency Register'!O70)</f>
        <v/>
      </c>
      <c r="F69" s="16" t="str">
        <f aca="false">IF($A69="","",'Dependency Register'!P70)</f>
        <v/>
      </c>
      <c r="G69" s="20" t="str">
        <f aca="false">IF($A69="","",IF('Dependency Register'!L70="","",'Dependency Register'!L70))</f>
        <v/>
      </c>
      <c r="H69" s="16" t="str">
        <f aca="true">IF($A69="","",IF($G69="","No Date",IF($G69&lt;TODAY(),"Past Due",IF($G69-TODAY()&lt;=30,"Due ≤30 Days","Later"))))</f>
        <v/>
      </c>
    </row>
    <row r="70" customFormat="false" ht="15" hidden="false" customHeight="true" outlineLevel="0" collapsed="false">
      <c r="A70" s="16" t="str">
        <f aca="false">IF('Dependency Register'!A71="","",'Dependency Register'!C71)</f>
        <v/>
      </c>
      <c r="B70" s="16" t="str">
        <f aca="false">IF($A70="","","Giving")</f>
        <v/>
      </c>
      <c r="C70" s="16" t="str">
        <f aca="false">IF($A70="","",'Dependency Register'!B71)</f>
        <v/>
      </c>
      <c r="D70" s="16" t="str">
        <f aca="false">IF($A70="","",'Dependency Register'!A71)</f>
        <v/>
      </c>
      <c r="E70" s="16" t="str">
        <f aca="false">IF($A70="","",'Dependency Register'!O71)</f>
        <v/>
      </c>
      <c r="F70" s="16" t="str">
        <f aca="false">IF($A70="","",'Dependency Register'!P71)</f>
        <v/>
      </c>
      <c r="G70" s="20" t="str">
        <f aca="false">IF($A70="","",IF('Dependency Register'!L71="","",'Dependency Register'!L71))</f>
        <v/>
      </c>
      <c r="H70" s="16" t="str">
        <f aca="true">IF($A70="","",IF($G70="","No Date",IF($G70&lt;TODAY(),"Past Due",IF($G70-TODAY()&lt;=30,"Due ≤30 Days","Later"))))</f>
        <v/>
      </c>
    </row>
    <row r="71" customFormat="false" ht="15" hidden="false" customHeight="true" outlineLevel="0" collapsed="false">
      <c r="A71" s="16" t="str">
        <f aca="false">IF('Dependency Register'!A72="","",'Dependency Register'!C72)</f>
        <v/>
      </c>
      <c r="B71" s="16" t="str">
        <f aca="false">IF($A71="","","Giving")</f>
        <v/>
      </c>
      <c r="C71" s="16" t="str">
        <f aca="false">IF($A71="","",'Dependency Register'!B72)</f>
        <v/>
      </c>
      <c r="D71" s="16" t="str">
        <f aca="false">IF($A71="","",'Dependency Register'!A72)</f>
        <v/>
      </c>
      <c r="E71" s="16" t="str">
        <f aca="false">IF($A71="","",'Dependency Register'!O72)</f>
        <v/>
      </c>
      <c r="F71" s="16" t="str">
        <f aca="false">IF($A71="","",'Dependency Register'!P72)</f>
        <v/>
      </c>
      <c r="G71" s="20" t="str">
        <f aca="false">IF($A71="","",IF('Dependency Register'!L72="","",'Dependency Register'!L72))</f>
        <v/>
      </c>
      <c r="H71" s="16" t="str">
        <f aca="true">IF($A71="","",IF($G71="","No Date",IF($G71&lt;TODAY(),"Past Due",IF($G71-TODAY()&lt;=30,"Due ≤30 Days","Later"))))</f>
        <v/>
      </c>
    </row>
    <row r="72" customFormat="false" ht="15" hidden="false" customHeight="true" outlineLevel="0" collapsed="false">
      <c r="A72" s="16" t="str">
        <f aca="false">IF('Dependency Register'!A73="","",'Dependency Register'!C73)</f>
        <v/>
      </c>
      <c r="B72" s="16" t="str">
        <f aca="false">IF($A72="","","Giving")</f>
        <v/>
      </c>
      <c r="C72" s="16" t="str">
        <f aca="false">IF($A72="","",'Dependency Register'!B73)</f>
        <v/>
      </c>
      <c r="D72" s="16" t="str">
        <f aca="false">IF($A72="","",'Dependency Register'!A73)</f>
        <v/>
      </c>
      <c r="E72" s="16" t="str">
        <f aca="false">IF($A72="","",'Dependency Register'!O73)</f>
        <v/>
      </c>
      <c r="F72" s="16" t="str">
        <f aca="false">IF($A72="","",'Dependency Register'!P73)</f>
        <v/>
      </c>
      <c r="G72" s="20" t="str">
        <f aca="false">IF($A72="","",IF('Dependency Register'!L73="","",'Dependency Register'!L73))</f>
        <v/>
      </c>
      <c r="H72" s="16" t="str">
        <f aca="true">IF($A72="","",IF($G72="","No Date",IF($G72&lt;TODAY(),"Past Due",IF($G72-TODAY()&lt;=30,"Due ≤30 Days","Later"))))</f>
        <v/>
      </c>
    </row>
    <row r="73" customFormat="false" ht="15" hidden="false" customHeight="true" outlineLevel="0" collapsed="false">
      <c r="A73" s="16" t="str">
        <f aca="false">IF('Dependency Register'!A74="","",'Dependency Register'!C74)</f>
        <v/>
      </c>
      <c r="B73" s="16" t="str">
        <f aca="false">IF($A73="","","Giving")</f>
        <v/>
      </c>
      <c r="C73" s="16" t="str">
        <f aca="false">IF($A73="","",'Dependency Register'!B74)</f>
        <v/>
      </c>
      <c r="D73" s="16" t="str">
        <f aca="false">IF($A73="","",'Dependency Register'!A74)</f>
        <v/>
      </c>
      <c r="E73" s="16" t="str">
        <f aca="false">IF($A73="","",'Dependency Register'!O74)</f>
        <v/>
      </c>
      <c r="F73" s="16" t="str">
        <f aca="false">IF($A73="","",'Dependency Register'!P74)</f>
        <v/>
      </c>
      <c r="G73" s="20" t="str">
        <f aca="false">IF($A73="","",IF('Dependency Register'!L74="","",'Dependency Register'!L74))</f>
        <v/>
      </c>
      <c r="H73" s="16" t="str">
        <f aca="true">IF($A73="","",IF($G73="","No Date",IF($G73&lt;TODAY(),"Past Due",IF($G73-TODAY()&lt;=30,"Due ≤30 Days","Later"))))</f>
        <v/>
      </c>
    </row>
    <row r="74" customFormat="false" ht="15" hidden="false" customHeight="true" outlineLevel="0" collapsed="false">
      <c r="A74" s="16" t="str">
        <f aca="false">IF('Dependency Register'!A75="","",'Dependency Register'!C75)</f>
        <v/>
      </c>
      <c r="B74" s="16" t="str">
        <f aca="false">IF($A74="","","Giving")</f>
        <v/>
      </c>
      <c r="C74" s="16" t="str">
        <f aca="false">IF($A74="","",'Dependency Register'!B75)</f>
        <v/>
      </c>
      <c r="D74" s="16" t="str">
        <f aca="false">IF($A74="","",'Dependency Register'!A75)</f>
        <v/>
      </c>
      <c r="E74" s="16" t="str">
        <f aca="false">IF($A74="","",'Dependency Register'!O75)</f>
        <v/>
      </c>
      <c r="F74" s="16" t="str">
        <f aca="false">IF($A74="","",'Dependency Register'!P75)</f>
        <v/>
      </c>
      <c r="G74" s="20" t="str">
        <f aca="false">IF($A74="","",IF('Dependency Register'!L75="","",'Dependency Register'!L75))</f>
        <v/>
      </c>
      <c r="H74" s="16" t="str">
        <f aca="true">IF($A74="","",IF($G74="","No Date",IF($G74&lt;TODAY(),"Past Due",IF($G74-TODAY()&lt;=30,"Due ≤30 Days","Later"))))</f>
        <v/>
      </c>
    </row>
    <row r="75" customFormat="false" ht="15" hidden="false" customHeight="true" outlineLevel="0" collapsed="false">
      <c r="A75" s="16" t="str">
        <f aca="false">IF('Dependency Register'!A76="","",'Dependency Register'!C76)</f>
        <v/>
      </c>
      <c r="B75" s="16" t="str">
        <f aca="false">IF($A75="","","Giving")</f>
        <v/>
      </c>
      <c r="C75" s="16" t="str">
        <f aca="false">IF($A75="","",'Dependency Register'!B76)</f>
        <v/>
      </c>
      <c r="D75" s="16" t="str">
        <f aca="false">IF($A75="","",'Dependency Register'!A76)</f>
        <v/>
      </c>
      <c r="E75" s="16" t="str">
        <f aca="false">IF($A75="","",'Dependency Register'!O76)</f>
        <v/>
      </c>
      <c r="F75" s="16" t="str">
        <f aca="false">IF($A75="","",'Dependency Register'!P76)</f>
        <v/>
      </c>
      <c r="G75" s="20" t="str">
        <f aca="false">IF($A75="","",IF('Dependency Register'!L76="","",'Dependency Register'!L76))</f>
        <v/>
      </c>
      <c r="H75" s="16" t="str">
        <f aca="true">IF($A75="","",IF($G75="","No Date",IF($G75&lt;TODAY(),"Past Due",IF($G75-TODAY()&lt;=30,"Due ≤30 Days","Later"))))</f>
        <v/>
      </c>
    </row>
    <row r="76" customFormat="false" ht="15" hidden="false" customHeight="true" outlineLevel="0" collapsed="false">
      <c r="A76" s="16" t="str">
        <f aca="false">IF('Dependency Register'!A77="","",'Dependency Register'!C77)</f>
        <v/>
      </c>
      <c r="B76" s="16" t="str">
        <f aca="false">IF($A76="","","Giving")</f>
        <v/>
      </c>
      <c r="C76" s="16" t="str">
        <f aca="false">IF($A76="","",'Dependency Register'!B77)</f>
        <v/>
      </c>
      <c r="D76" s="16" t="str">
        <f aca="false">IF($A76="","",'Dependency Register'!A77)</f>
        <v/>
      </c>
      <c r="E76" s="16" t="str">
        <f aca="false">IF($A76="","",'Dependency Register'!O77)</f>
        <v/>
      </c>
      <c r="F76" s="16" t="str">
        <f aca="false">IF($A76="","",'Dependency Register'!P77)</f>
        <v/>
      </c>
      <c r="G76" s="20" t="str">
        <f aca="false">IF($A76="","",IF('Dependency Register'!L77="","",'Dependency Register'!L77))</f>
        <v/>
      </c>
      <c r="H76" s="16" t="str">
        <f aca="true">IF($A76="","",IF($G76="","No Date",IF($G76&lt;TODAY(),"Past Due",IF($G76-TODAY()&lt;=30,"Due ≤30 Days","Later"))))</f>
        <v/>
      </c>
    </row>
    <row r="77" customFormat="false" ht="15" hidden="false" customHeight="true" outlineLevel="0" collapsed="false">
      <c r="A77" s="16" t="str">
        <f aca="false">IF('Dependency Register'!A78="","",'Dependency Register'!C78)</f>
        <v/>
      </c>
      <c r="B77" s="16" t="str">
        <f aca="false">IF($A77="","","Giving")</f>
        <v/>
      </c>
      <c r="C77" s="16" t="str">
        <f aca="false">IF($A77="","",'Dependency Register'!B78)</f>
        <v/>
      </c>
      <c r="D77" s="16" t="str">
        <f aca="false">IF($A77="","",'Dependency Register'!A78)</f>
        <v/>
      </c>
      <c r="E77" s="16" t="str">
        <f aca="false">IF($A77="","",'Dependency Register'!O78)</f>
        <v/>
      </c>
      <c r="F77" s="16" t="str">
        <f aca="false">IF($A77="","",'Dependency Register'!P78)</f>
        <v/>
      </c>
      <c r="G77" s="20" t="str">
        <f aca="false">IF($A77="","",IF('Dependency Register'!L78="","",'Dependency Register'!L78))</f>
        <v/>
      </c>
      <c r="H77" s="16" t="str">
        <f aca="true">IF($A77="","",IF($G77="","No Date",IF($G77&lt;TODAY(),"Past Due",IF($G77-TODAY()&lt;=30,"Due ≤30 Days","Later"))))</f>
        <v/>
      </c>
    </row>
    <row r="78" customFormat="false" ht="15" hidden="false" customHeight="true" outlineLevel="0" collapsed="false">
      <c r="A78" s="16" t="str">
        <f aca="false">IF('Dependency Register'!A79="","",'Dependency Register'!C79)</f>
        <v/>
      </c>
      <c r="B78" s="16" t="str">
        <f aca="false">IF($A78="","","Giving")</f>
        <v/>
      </c>
      <c r="C78" s="16" t="str">
        <f aca="false">IF($A78="","",'Dependency Register'!B79)</f>
        <v/>
      </c>
      <c r="D78" s="16" t="str">
        <f aca="false">IF($A78="","",'Dependency Register'!A79)</f>
        <v/>
      </c>
      <c r="E78" s="16" t="str">
        <f aca="false">IF($A78="","",'Dependency Register'!O79)</f>
        <v/>
      </c>
      <c r="F78" s="16" t="str">
        <f aca="false">IF($A78="","",'Dependency Register'!P79)</f>
        <v/>
      </c>
      <c r="G78" s="20" t="str">
        <f aca="false">IF($A78="","",IF('Dependency Register'!L79="","",'Dependency Register'!L79))</f>
        <v/>
      </c>
      <c r="H78" s="16" t="str">
        <f aca="true">IF($A78="","",IF($G78="","No Date",IF($G78&lt;TODAY(),"Past Due",IF($G78-TODAY()&lt;=30,"Due ≤30 Days","Later"))))</f>
        <v/>
      </c>
    </row>
    <row r="79" customFormat="false" ht="15" hidden="false" customHeight="true" outlineLevel="0" collapsed="false">
      <c r="A79" s="16" t="str">
        <f aca="false">IF('Dependency Register'!A80="","",'Dependency Register'!C80)</f>
        <v/>
      </c>
      <c r="B79" s="16" t="str">
        <f aca="false">IF($A79="","","Giving")</f>
        <v/>
      </c>
      <c r="C79" s="16" t="str">
        <f aca="false">IF($A79="","",'Dependency Register'!B80)</f>
        <v/>
      </c>
      <c r="D79" s="16" t="str">
        <f aca="false">IF($A79="","",'Dependency Register'!A80)</f>
        <v/>
      </c>
      <c r="E79" s="16" t="str">
        <f aca="false">IF($A79="","",'Dependency Register'!O80)</f>
        <v/>
      </c>
      <c r="F79" s="16" t="str">
        <f aca="false">IF($A79="","",'Dependency Register'!P80)</f>
        <v/>
      </c>
      <c r="G79" s="20" t="str">
        <f aca="false">IF($A79="","",IF('Dependency Register'!L80="","",'Dependency Register'!L80))</f>
        <v/>
      </c>
      <c r="H79" s="16" t="str">
        <f aca="true">IF($A79="","",IF($G79="","No Date",IF($G79&lt;TODAY(),"Past Due",IF($G79-TODAY()&lt;=30,"Due ≤30 Days","Later"))))</f>
        <v/>
      </c>
    </row>
    <row r="80" customFormat="false" ht="15" hidden="false" customHeight="true" outlineLevel="0" collapsed="false">
      <c r="A80" s="16" t="str">
        <f aca="false">IF('Dependency Register'!A81="","",'Dependency Register'!C81)</f>
        <v/>
      </c>
      <c r="B80" s="16" t="str">
        <f aca="false">IF($A80="","","Giving")</f>
        <v/>
      </c>
      <c r="C80" s="16" t="str">
        <f aca="false">IF($A80="","",'Dependency Register'!B81)</f>
        <v/>
      </c>
      <c r="D80" s="16" t="str">
        <f aca="false">IF($A80="","",'Dependency Register'!A81)</f>
        <v/>
      </c>
      <c r="E80" s="16" t="str">
        <f aca="false">IF($A80="","",'Dependency Register'!O81)</f>
        <v/>
      </c>
      <c r="F80" s="16" t="str">
        <f aca="false">IF($A80="","",'Dependency Register'!P81)</f>
        <v/>
      </c>
      <c r="G80" s="20" t="str">
        <f aca="false">IF($A80="","",IF('Dependency Register'!L81="","",'Dependency Register'!L81))</f>
        <v/>
      </c>
      <c r="H80" s="16" t="str">
        <f aca="true">IF($A80="","",IF($G80="","No Date",IF($G80&lt;TODAY(),"Past Due",IF($G80-TODAY()&lt;=30,"Due ≤30 Days","Later"))))</f>
        <v/>
      </c>
    </row>
    <row r="81" customFormat="false" ht="15" hidden="false" customHeight="true" outlineLevel="0" collapsed="false">
      <c r="A81" s="16" t="str">
        <f aca="false">IF('Dependency Register'!A82="","",'Dependency Register'!C82)</f>
        <v/>
      </c>
      <c r="B81" s="16" t="str">
        <f aca="false">IF($A81="","","Giving")</f>
        <v/>
      </c>
      <c r="C81" s="16" t="str">
        <f aca="false">IF($A81="","",'Dependency Register'!B82)</f>
        <v/>
      </c>
      <c r="D81" s="16" t="str">
        <f aca="false">IF($A81="","",'Dependency Register'!A82)</f>
        <v/>
      </c>
      <c r="E81" s="16" t="str">
        <f aca="false">IF($A81="","",'Dependency Register'!O82)</f>
        <v/>
      </c>
      <c r="F81" s="16" t="str">
        <f aca="false">IF($A81="","",'Dependency Register'!P82)</f>
        <v/>
      </c>
      <c r="G81" s="20" t="str">
        <f aca="false">IF($A81="","",IF('Dependency Register'!L82="","",'Dependency Register'!L82))</f>
        <v/>
      </c>
      <c r="H81" s="16" t="str">
        <f aca="true">IF($A81="","",IF($G81="","No Date",IF($G81&lt;TODAY(),"Past Due",IF($G81-TODAY()&lt;=30,"Due ≤30 Days","Later"))))</f>
        <v/>
      </c>
    </row>
    <row r="82" customFormat="false" ht="15" hidden="false" customHeight="true" outlineLevel="0" collapsed="false">
      <c r="A82" s="16" t="str">
        <f aca="false">IF('Dependency Register'!A83="","",'Dependency Register'!C83)</f>
        <v/>
      </c>
      <c r="B82" s="16" t="str">
        <f aca="false">IF($A82="","","Giving")</f>
        <v/>
      </c>
      <c r="C82" s="16" t="str">
        <f aca="false">IF($A82="","",'Dependency Register'!B83)</f>
        <v/>
      </c>
      <c r="D82" s="16" t="str">
        <f aca="false">IF($A82="","",'Dependency Register'!A83)</f>
        <v/>
      </c>
      <c r="E82" s="16" t="str">
        <f aca="false">IF($A82="","",'Dependency Register'!O83)</f>
        <v/>
      </c>
      <c r="F82" s="16" t="str">
        <f aca="false">IF($A82="","",'Dependency Register'!P83)</f>
        <v/>
      </c>
      <c r="G82" s="20" t="str">
        <f aca="false">IF($A82="","",IF('Dependency Register'!L83="","",'Dependency Register'!L83))</f>
        <v/>
      </c>
      <c r="H82" s="16" t="str">
        <f aca="true">IF($A82="","",IF($G82="","No Date",IF($G82&lt;TODAY(),"Past Due",IF($G82-TODAY()&lt;=30,"Due ≤30 Days","Later"))))</f>
        <v/>
      </c>
    </row>
    <row r="83" customFormat="false" ht="15" hidden="false" customHeight="true" outlineLevel="0" collapsed="false">
      <c r="A83" s="16" t="str">
        <f aca="false">IF('Dependency Register'!A84="","",'Dependency Register'!C84)</f>
        <v/>
      </c>
      <c r="B83" s="16" t="str">
        <f aca="false">IF($A83="","","Giving")</f>
        <v/>
      </c>
      <c r="C83" s="16" t="str">
        <f aca="false">IF($A83="","",'Dependency Register'!B84)</f>
        <v/>
      </c>
      <c r="D83" s="16" t="str">
        <f aca="false">IF($A83="","",'Dependency Register'!A84)</f>
        <v/>
      </c>
      <c r="E83" s="16" t="str">
        <f aca="false">IF($A83="","",'Dependency Register'!O84)</f>
        <v/>
      </c>
      <c r="F83" s="16" t="str">
        <f aca="false">IF($A83="","",'Dependency Register'!P84)</f>
        <v/>
      </c>
      <c r="G83" s="20" t="str">
        <f aca="false">IF($A83="","",IF('Dependency Register'!L84="","",'Dependency Register'!L84))</f>
        <v/>
      </c>
      <c r="H83" s="16" t="str">
        <f aca="true">IF($A83="","",IF($G83="","No Date",IF($G83&lt;TODAY(),"Past Due",IF($G83-TODAY()&lt;=30,"Due ≤30 Days","Later"))))</f>
        <v/>
      </c>
    </row>
    <row r="84" customFormat="false" ht="15" hidden="false" customHeight="true" outlineLevel="0" collapsed="false">
      <c r="A84" s="16" t="str">
        <f aca="false">IF('Dependency Register'!A85="","",'Dependency Register'!C85)</f>
        <v/>
      </c>
      <c r="B84" s="16" t="str">
        <f aca="false">IF($A84="","","Giving")</f>
        <v/>
      </c>
      <c r="C84" s="16" t="str">
        <f aca="false">IF($A84="","",'Dependency Register'!B85)</f>
        <v/>
      </c>
      <c r="D84" s="16" t="str">
        <f aca="false">IF($A84="","",'Dependency Register'!A85)</f>
        <v/>
      </c>
      <c r="E84" s="16" t="str">
        <f aca="false">IF($A84="","",'Dependency Register'!O85)</f>
        <v/>
      </c>
      <c r="F84" s="16" t="str">
        <f aca="false">IF($A84="","",'Dependency Register'!P85)</f>
        <v/>
      </c>
      <c r="G84" s="20" t="str">
        <f aca="false">IF($A84="","",IF('Dependency Register'!L85="","",'Dependency Register'!L85))</f>
        <v/>
      </c>
      <c r="H84" s="16" t="str">
        <f aca="true">IF($A84="","",IF($G84="","No Date",IF($G84&lt;TODAY(),"Past Due",IF($G84-TODAY()&lt;=30,"Due ≤30 Days","Later"))))</f>
        <v/>
      </c>
    </row>
    <row r="85" customFormat="false" ht="15" hidden="false" customHeight="true" outlineLevel="0" collapsed="false">
      <c r="A85" s="16" t="str">
        <f aca="false">IF('Dependency Register'!A86="","",'Dependency Register'!C86)</f>
        <v/>
      </c>
      <c r="B85" s="16" t="str">
        <f aca="false">IF($A85="","","Giving")</f>
        <v/>
      </c>
      <c r="C85" s="16" t="str">
        <f aca="false">IF($A85="","",'Dependency Register'!B86)</f>
        <v/>
      </c>
      <c r="D85" s="16" t="str">
        <f aca="false">IF($A85="","",'Dependency Register'!A86)</f>
        <v/>
      </c>
      <c r="E85" s="16" t="str">
        <f aca="false">IF($A85="","",'Dependency Register'!O86)</f>
        <v/>
      </c>
      <c r="F85" s="16" t="str">
        <f aca="false">IF($A85="","",'Dependency Register'!P86)</f>
        <v/>
      </c>
      <c r="G85" s="20" t="str">
        <f aca="false">IF($A85="","",IF('Dependency Register'!L86="","",'Dependency Register'!L86))</f>
        <v/>
      </c>
      <c r="H85" s="16" t="str">
        <f aca="true">IF($A85="","",IF($G85="","No Date",IF($G85&lt;TODAY(),"Past Due",IF($G85-TODAY()&lt;=30,"Due ≤30 Days","Later"))))</f>
        <v/>
      </c>
    </row>
    <row r="86" customFormat="false" ht="15" hidden="false" customHeight="true" outlineLevel="0" collapsed="false">
      <c r="A86" s="16" t="str">
        <f aca="false">IF('Dependency Register'!A87="","",'Dependency Register'!C87)</f>
        <v/>
      </c>
      <c r="B86" s="16" t="str">
        <f aca="false">IF($A86="","","Giving")</f>
        <v/>
      </c>
      <c r="C86" s="16" t="str">
        <f aca="false">IF($A86="","",'Dependency Register'!B87)</f>
        <v/>
      </c>
      <c r="D86" s="16" t="str">
        <f aca="false">IF($A86="","",'Dependency Register'!A87)</f>
        <v/>
      </c>
      <c r="E86" s="16" t="str">
        <f aca="false">IF($A86="","",'Dependency Register'!O87)</f>
        <v/>
      </c>
      <c r="F86" s="16" t="str">
        <f aca="false">IF($A86="","",'Dependency Register'!P87)</f>
        <v/>
      </c>
      <c r="G86" s="20" t="str">
        <f aca="false">IF($A86="","",IF('Dependency Register'!L87="","",'Dependency Register'!L87))</f>
        <v/>
      </c>
      <c r="H86" s="16" t="str">
        <f aca="true">IF($A86="","",IF($G86="","No Date",IF($G86&lt;TODAY(),"Past Due",IF($G86-TODAY()&lt;=30,"Due ≤30 Days","Later"))))</f>
        <v/>
      </c>
    </row>
    <row r="87" customFormat="false" ht="15" hidden="false" customHeight="true" outlineLevel="0" collapsed="false">
      <c r="A87" s="16" t="str">
        <f aca="false">IF('Dependency Register'!A88="","",'Dependency Register'!C88)</f>
        <v/>
      </c>
      <c r="B87" s="16" t="str">
        <f aca="false">IF($A87="","","Giving")</f>
        <v/>
      </c>
      <c r="C87" s="16" t="str">
        <f aca="false">IF($A87="","",'Dependency Register'!B88)</f>
        <v/>
      </c>
      <c r="D87" s="16" t="str">
        <f aca="false">IF($A87="","",'Dependency Register'!A88)</f>
        <v/>
      </c>
      <c r="E87" s="16" t="str">
        <f aca="false">IF($A87="","",'Dependency Register'!O88)</f>
        <v/>
      </c>
      <c r="F87" s="16" t="str">
        <f aca="false">IF($A87="","",'Dependency Register'!P88)</f>
        <v/>
      </c>
      <c r="G87" s="20" t="str">
        <f aca="false">IF($A87="","",IF('Dependency Register'!L88="","",'Dependency Register'!L88))</f>
        <v/>
      </c>
      <c r="H87" s="16" t="str">
        <f aca="true">IF($A87="","",IF($G87="","No Date",IF($G87&lt;TODAY(),"Past Due",IF($G87-TODAY()&lt;=30,"Due ≤30 Days","Later"))))</f>
        <v/>
      </c>
    </row>
    <row r="88" customFormat="false" ht="15" hidden="false" customHeight="true" outlineLevel="0" collapsed="false">
      <c r="A88" s="16" t="str">
        <f aca="false">IF('Dependency Register'!A89="","",'Dependency Register'!C89)</f>
        <v/>
      </c>
      <c r="B88" s="16" t="str">
        <f aca="false">IF($A88="","","Giving")</f>
        <v/>
      </c>
      <c r="C88" s="16" t="str">
        <f aca="false">IF($A88="","",'Dependency Register'!B89)</f>
        <v/>
      </c>
      <c r="D88" s="16" t="str">
        <f aca="false">IF($A88="","",'Dependency Register'!A89)</f>
        <v/>
      </c>
      <c r="E88" s="16" t="str">
        <f aca="false">IF($A88="","",'Dependency Register'!O89)</f>
        <v/>
      </c>
      <c r="F88" s="16" t="str">
        <f aca="false">IF($A88="","",'Dependency Register'!P89)</f>
        <v/>
      </c>
      <c r="G88" s="20" t="str">
        <f aca="false">IF($A88="","",IF('Dependency Register'!L89="","",'Dependency Register'!L89))</f>
        <v/>
      </c>
      <c r="H88" s="16" t="str">
        <f aca="true">IF($A88="","",IF($G88="","No Date",IF($G88&lt;TODAY(),"Past Due",IF($G88-TODAY()&lt;=30,"Due ≤30 Days","Later"))))</f>
        <v/>
      </c>
    </row>
    <row r="89" customFormat="false" ht="15" hidden="false" customHeight="true" outlineLevel="0" collapsed="false">
      <c r="A89" s="16" t="str">
        <f aca="false">IF('Dependency Register'!A90="","",'Dependency Register'!C90)</f>
        <v/>
      </c>
      <c r="B89" s="16" t="str">
        <f aca="false">IF($A89="","","Giving")</f>
        <v/>
      </c>
      <c r="C89" s="16" t="str">
        <f aca="false">IF($A89="","",'Dependency Register'!B90)</f>
        <v/>
      </c>
      <c r="D89" s="16" t="str">
        <f aca="false">IF($A89="","",'Dependency Register'!A90)</f>
        <v/>
      </c>
      <c r="E89" s="16" t="str">
        <f aca="false">IF($A89="","",'Dependency Register'!O90)</f>
        <v/>
      </c>
      <c r="F89" s="16" t="str">
        <f aca="false">IF($A89="","",'Dependency Register'!P90)</f>
        <v/>
      </c>
      <c r="G89" s="20" t="str">
        <f aca="false">IF($A89="","",IF('Dependency Register'!L90="","",'Dependency Register'!L90))</f>
        <v/>
      </c>
      <c r="H89" s="16" t="str">
        <f aca="true">IF($A89="","",IF($G89="","No Date",IF($G89&lt;TODAY(),"Past Due",IF($G89-TODAY()&lt;=30,"Due ≤30 Days","Later"))))</f>
        <v/>
      </c>
    </row>
    <row r="90" customFormat="false" ht="15" hidden="false" customHeight="true" outlineLevel="0" collapsed="false">
      <c r="A90" s="16" t="str">
        <f aca="false">IF('Dependency Register'!A91="","",'Dependency Register'!C91)</f>
        <v/>
      </c>
      <c r="B90" s="16" t="str">
        <f aca="false">IF($A90="","","Giving")</f>
        <v/>
      </c>
      <c r="C90" s="16" t="str">
        <f aca="false">IF($A90="","",'Dependency Register'!B91)</f>
        <v/>
      </c>
      <c r="D90" s="16" t="str">
        <f aca="false">IF($A90="","",'Dependency Register'!A91)</f>
        <v/>
      </c>
      <c r="E90" s="16" t="str">
        <f aca="false">IF($A90="","",'Dependency Register'!O91)</f>
        <v/>
      </c>
      <c r="F90" s="16" t="str">
        <f aca="false">IF($A90="","",'Dependency Register'!P91)</f>
        <v/>
      </c>
      <c r="G90" s="20" t="str">
        <f aca="false">IF($A90="","",IF('Dependency Register'!L91="","",'Dependency Register'!L91))</f>
        <v/>
      </c>
      <c r="H90" s="16" t="str">
        <f aca="true">IF($A90="","",IF($G90="","No Date",IF($G90&lt;TODAY(),"Past Due",IF($G90-TODAY()&lt;=30,"Due ≤30 Days","Later"))))</f>
        <v/>
      </c>
    </row>
    <row r="91" customFormat="false" ht="15" hidden="false" customHeight="true" outlineLevel="0" collapsed="false">
      <c r="A91" s="16" t="str">
        <f aca="false">IF('Dependency Register'!A92="","",'Dependency Register'!C92)</f>
        <v/>
      </c>
      <c r="B91" s="16" t="str">
        <f aca="false">IF($A91="","","Giving")</f>
        <v/>
      </c>
      <c r="C91" s="16" t="str">
        <f aca="false">IF($A91="","",'Dependency Register'!B92)</f>
        <v/>
      </c>
      <c r="D91" s="16" t="str">
        <f aca="false">IF($A91="","",'Dependency Register'!A92)</f>
        <v/>
      </c>
      <c r="E91" s="16" t="str">
        <f aca="false">IF($A91="","",'Dependency Register'!O92)</f>
        <v/>
      </c>
      <c r="F91" s="16" t="str">
        <f aca="false">IF($A91="","",'Dependency Register'!P92)</f>
        <v/>
      </c>
      <c r="G91" s="20" t="str">
        <f aca="false">IF($A91="","",IF('Dependency Register'!L92="","",'Dependency Register'!L92))</f>
        <v/>
      </c>
      <c r="H91" s="16" t="str">
        <f aca="true">IF($A91="","",IF($G91="","No Date",IF($G91&lt;TODAY(),"Past Due",IF($G91-TODAY()&lt;=30,"Due ≤30 Days","Later"))))</f>
        <v/>
      </c>
    </row>
    <row r="92" customFormat="false" ht="15" hidden="false" customHeight="true" outlineLevel="0" collapsed="false">
      <c r="A92" s="16" t="str">
        <f aca="false">IF('Dependency Register'!A93="","",'Dependency Register'!C93)</f>
        <v/>
      </c>
      <c r="B92" s="16" t="str">
        <f aca="false">IF($A92="","","Giving")</f>
        <v/>
      </c>
      <c r="C92" s="16" t="str">
        <f aca="false">IF($A92="","",'Dependency Register'!B93)</f>
        <v/>
      </c>
      <c r="D92" s="16" t="str">
        <f aca="false">IF($A92="","",'Dependency Register'!A93)</f>
        <v/>
      </c>
      <c r="E92" s="16" t="str">
        <f aca="false">IF($A92="","",'Dependency Register'!O93)</f>
        <v/>
      </c>
      <c r="F92" s="16" t="str">
        <f aca="false">IF($A92="","",'Dependency Register'!P93)</f>
        <v/>
      </c>
      <c r="G92" s="20" t="str">
        <f aca="false">IF($A92="","",IF('Dependency Register'!L93="","",'Dependency Register'!L93))</f>
        <v/>
      </c>
      <c r="H92" s="16" t="str">
        <f aca="true">IF($A92="","",IF($G92="","No Date",IF($G92&lt;TODAY(),"Past Due",IF($G92-TODAY()&lt;=30,"Due ≤30 Days","Later"))))</f>
        <v/>
      </c>
    </row>
    <row r="93" customFormat="false" ht="15" hidden="false" customHeight="true" outlineLevel="0" collapsed="false">
      <c r="A93" s="16" t="str">
        <f aca="false">IF('Dependency Register'!A94="","",'Dependency Register'!C94)</f>
        <v/>
      </c>
      <c r="B93" s="16" t="str">
        <f aca="false">IF($A93="","","Giving")</f>
        <v/>
      </c>
      <c r="C93" s="16" t="str">
        <f aca="false">IF($A93="","",'Dependency Register'!B94)</f>
        <v/>
      </c>
      <c r="D93" s="16" t="str">
        <f aca="false">IF($A93="","",'Dependency Register'!A94)</f>
        <v/>
      </c>
      <c r="E93" s="16" t="str">
        <f aca="false">IF($A93="","",'Dependency Register'!O94)</f>
        <v/>
      </c>
      <c r="F93" s="16" t="str">
        <f aca="false">IF($A93="","",'Dependency Register'!P94)</f>
        <v/>
      </c>
      <c r="G93" s="20" t="str">
        <f aca="false">IF($A93="","",IF('Dependency Register'!L94="","",'Dependency Register'!L94))</f>
        <v/>
      </c>
      <c r="H93" s="16" t="str">
        <f aca="true">IF($A93="","",IF($G93="","No Date",IF($G93&lt;TODAY(),"Past Due",IF($G93-TODAY()&lt;=30,"Due ≤30 Days","Later"))))</f>
        <v/>
      </c>
    </row>
    <row r="94" customFormat="false" ht="15" hidden="false" customHeight="true" outlineLevel="0" collapsed="false">
      <c r="A94" s="16" t="str">
        <f aca="false">IF('Dependency Register'!A95="","",'Dependency Register'!C95)</f>
        <v/>
      </c>
      <c r="B94" s="16" t="str">
        <f aca="false">IF($A94="","","Giving")</f>
        <v/>
      </c>
      <c r="C94" s="16" t="str">
        <f aca="false">IF($A94="","",'Dependency Register'!B95)</f>
        <v/>
      </c>
      <c r="D94" s="16" t="str">
        <f aca="false">IF($A94="","",'Dependency Register'!A95)</f>
        <v/>
      </c>
      <c r="E94" s="16" t="str">
        <f aca="false">IF($A94="","",'Dependency Register'!O95)</f>
        <v/>
      </c>
      <c r="F94" s="16" t="str">
        <f aca="false">IF($A94="","",'Dependency Register'!P95)</f>
        <v/>
      </c>
      <c r="G94" s="20" t="str">
        <f aca="false">IF($A94="","",IF('Dependency Register'!L95="","",'Dependency Register'!L95))</f>
        <v/>
      </c>
      <c r="H94" s="16" t="str">
        <f aca="true">IF($A94="","",IF($G94="","No Date",IF($G94&lt;TODAY(),"Past Due",IF($G94-TODAY()&lt;=30,"Due ≤30 Days","Later"))))</f>
        <v/>
      </c>
    </row>
    <row r="95" customFormat="false" ht="15" hidden="false" customHeight="true" outlineLevel="0" collapsed="false">
      <c r="A95" s="16" t="str">
        <f aca="false">IF('Dependency Register'!A96="","",'Dependency Register'!C96)</f>
        <v/>
      </c>
      <c r="B95" s="16" t="str">
        <f aca="false">IF($A95="","","Giving")</f>
        <v/>
      </c>
      <c r="C95" s="16" t="str">
        <f aca="false">IF($A95="","",'Dependency Register'!B96)</f>
        <v/>
      </c>
      <c r="D95" s="16" t="str">
        <f aca="false">IF($A95="","",'Dependency Register'!A96)</f>
        <v/>
      </c>
      <c r="E95" s="16" t="str">
        <f aca="false">IF($A95="","",'Dependency Register'!O96)</f>
        <v/>
      </c>
      <c r="F95" s="16" t="str">
        <f aca="false">IF($A95="","",'Dependency Register'!P96)</f>
        <v/>
      </c>
      <c r="G95" s="20" t="str">
        <f aca="false">IF($A95="","",IF('Dependency Register'!L96="","",'Dependency Register'!L96))</f>
        <v/>
      </c>
      <c r="H95" s="16" t="str">
        <f aca="true">IF($A95="","",IF($G95="","No Date",IF($G95&lt;TODAY(),"Past Due",IF($G95-TODAY()&lt;=30,"Due ≤30 Days","Later"))))</f>
        <v/>
      </c>
    </row>
    <row r="96" customFormat="false" ht="15" hidden="false" customHeight="true" outlineLevel="0" collapsed="false">
      <c r="A96" s="16" t="str">
        <f aca="false">IF('Dependency Register'!A97="","",'Dependency Register'!C97)</f>
        <v/>
      </c>
      <c r="B96" s="16" t="str">
        <f aca="false">IF($A96="","","Giving")</f>
        <v/>
      </c>
      <c r="C96" s="16" t="str">
        <f aca="false">IF($A96="","",'Dependency Register'!B97)</f>
        <v/>
      </c>
      <c r="D96" s="16" t="str">
        <f aca="false">IF($A96="","",'Dependency Register'!A97)</f>
        <v/>
      </c>
      <c r="E96" s="16" t="str">
        <f aca="false">IF($A96="","",'Dependency Register'!O97)</f>
        <v/>
      </c>
      <c r="F96" s="16" t="str">
        <f aca="false">IF($A96="","",'Dependency Register'!P97)</f>
        <v/>
      </c>
      <c r="G96" s="20" t="str">
        <f aca="false">IF($A96="","",IF('Dependency Register'!L97="","",'Dependency Register'!L97))</f>
        <v/>
      </c>
      <c r="H96" s="16" t="str">
        <f aca="true">IF($A96="","",IF($G96="","No Date",IF($G96&lt;TODAY(),"Past Due",IF($G96-TODAY()&lt;=30,"Due ≤30 Days","Later"))))</f>
        <v/>
      </c>
    </row>
    <row r="97" customFormat="false" ht="15" hidden="false" customHeight="true" outlineLevel="0" collapsed="false">
      <c r="A97" s="16" t="str">
        <f aca="false">IF('Dependency Register'!A98="","",'Dependency Register'!C98)</f>
        <v/>
      </c>
      <c r="B97" s="16" t="str">
        <f aca="false">IF($A97="","","Giving")</f>
        <v/>
      </c>
      <c r="C97" s="16" t="str">
        <f aca="false">IF($A97="","",'Dependency Register'!B98)</f>
        <v/>
      </c>
      <c r="D97" s="16" t="str">
        <f aca="false">IF($A97="","",'Dependency Register'!A98)</f>
        <v/>
      </c>
      <c r="E97" s="16" t="str">
        <f aca="false">IF($A97="","",'Dependency Register'!O98)</f>
        <v/>
      </c>
      <c r="F97" s="16" t="str">
        <f aca="false">IF($A97="","",'Dependency Register'!P98)</f>
        <v/>
      </c>
      <c r="G97" s="20" t="str">
        <f aca="false">IF($A97="","",IF('Dependency Register'!L98="","",'Dependency Register'!L98))</f>
        <v/>
      </c>
      <c r="H97" s="16" t="str">
        <f aca="true">IF($A97="","",IF($G97="","No Date",IF($G97&lt;TODAY(),"Past Due",IF($G97-TODAY()&lt;=30,"Due ≤30 Days","Later"))))</f>
        <v/>
      </c>
    </row>
    <row r="98" customFormat="false" ht="15" hidden="false" customHeight="true" outlineLevel="0" collapsed="false">
      <c r="A98" s="16" t="str">
        <f aca="false">IF('Dependency Register'!A99="","",'Dependency Register'!C99)</f>
        <v/>
      </c>
      <c r="B98" s="16" t="str">
        <f aca="false">IF($A98="","","Giving")</f>
        <v/>
      </c>
      <c r="C98" s="16" t="str">
        <f aca="false">IF($A98="","",'Dependency Register'!B99)</f>
        <v/>
      </c>
      <c r="D98" s="16" t="str">
        <f aca="false">IF($A98="","",'Dependency Register'!A99)</f>
        <v/>
      </c>
      <c r="E98" s="16" t="str">
        <f aca="false">IF($A98="","",'Dependency Register'!O99)</f>
        <v/>
      </c>
      <c r="F98" s="16" t="str">
        <f aca="false">IF($A98="","",'Dependency Register'!P99)</f>
        <v/>
      </c>
      <c r="G98" s="20" t="str">
        <f aca="false">IF($A98="","",IF('Dependency Register'!L99="","",'Dependency Register'!L99))</f>
        <v/>
      </c>
      <c r="H98" s="16" t="str">
        <f aca="true">IF($A98="","",IF($G98="","No Date",IF($G98&lt;TODAY(),"Past Due",IF($G98-TODAY()&lt;=30,"Due ≤30 Days","Later"))))</f>
        <v/>
      </c>
    </row>
    <row r="99" customFormat="false" ht="15" hidden="false" customHeight="true" outlineLevel="0" collapsed="false">
      <c r="A99" s="16" t="str">
        <f aca="false">IF('Dependency Register'!A100="","",'Dependency Register'!C100)</f>
        <v/>
      </c>
      <c r="B99" s="16" t="str">
        <f aca="false">IF($A99="","","Giving")</f>
        <v/>
      </c>
      <c r="C99" s="16" t="str">
        <f aca="false">IF($A99="","",'Dependency Register'!B100)</f>
        <v/>
      </c>
      <c r="D99" s="16" t="str">
        <f aca="false">IF($A99="","",'Dependency Register'!A100)</f>
        <v/>
      </c>
      <c r="E99" s="16" t="str">
        <f aca="false">IF($A99="","",'Dependency Register'!O100)</f>
        <v/>
      </c>
      <c r="F99" s="16" t="str">
        <f aca="false">IF($A99="","",'Dependency Register'!P100)</f>
        <v/>
      </c>
      <c r="G99" s="20" t="str">
        <f aca="false">IF($A99="","",IF('Dependency Register'!L100="","",'Dependency Register'!L100))</f>
        <v/>
      </c>
      <c r="H99" s="16" t="str">
        <f aca="true">IF($A99="","",IF($G99="","No Date",IF($G99&lt;TODAY(),"Past Due",IF($G99-TODAY()&lt;=30,"Due ≤30 Days","Later"))))</f>
        <v/>
      </c>
    </row>
    <row r="100" customFormat="false" ht="15" hidden="false" customHeight="true" outlineLevel="0" collapsed="false">
      <c r="A100" s="16" t="str">
        <f aca="false">IF('Dependency Register'!A101="","",'Dependency Register'!C101)</f>
        <v/>
      </c>
      <c r="B100" s="16" t="str">
        <f aca="false">IF($A100="","","Giving")</f>
        <v/>
      </c>
      <c r="C100" s="16" t="str">
        <f aca="false">IF($A100="","",'Dependency Register'!B101)</f>
        <v/>
      </c>
      <c r="D100" s="16" t="str">
        <f aca="false">IF($A100="","",'Dependency Register'!A101)</f>
        <v/>
      </c>
      <c r="E100" s="16" t="str">
        <f aca="false">IF($A100="","",'Dependency Register'!O101)</f>
        <v/>
      </c>
      <c r="F100" s="16" t="str">
        <f aca="false">IF($A100="","",'Dependency Register'!P101)</f>
        <v/>
      </c>
      <c r="G100" s="20" t="str">
        <f aca="false">IF($A100="","",IF('Dependency Register'!L101="","",'Dependency Register'!L101))</f>
        <v/>
      </c>
      <c r="H100" s="16" t="str">
        <f aca="true">IF($A100="","",IF($G100="","No Date",IF($G100&lt;TODAY(),"Past Due",IF($G100-TODAY()&lt;=30,"Due ≤30 Days","Later"))))</f>
        <v/>
      </c>
    </row>
    <row r="101" customFormat="false" ht="15" hidden="false" customHeight="true" outlineLevel="0" collapsed="false">
      <c r="A101" s="16" t="str">
        <f aca="false">IF('Dependency Register'!A102="","",'Dependency Register'!C102)</f>
        <v/>
      </c>
      <c r="B101" s="16" t="str">
        <f aca="false">IF($A101="","","Giving")</f>
        <v/>
      </c>
      <c r="C101" s="16" t="str">
        <f aca="false">IF($A101="","",'Dependency Register'!B102)</f>
        <v/>
      </c>
      <c r="D101" s="16" t="str">
        <f aca="false">IF($A101="","",'Dependency Register'!A102)</f>
        <v/>
      </c>
      <c r="E101" s="16" t="str">
        <f aca="false">IF($A101="","",'Dependency Register'!O102)</f>
        <v/>
      </c>
      <c r="F101" s="16" t="str">
        <f aca="false">IF($A101="","",'Dependency Register'!P102)</f>
        <v/>
      </c>
      <c r="G101" s="20" t="str">
        <f aca="false">IF($A101="","",IF('Dependency Register'!L102="","",'Dependency Register'!L102))</f>
        <v/>
      </c>
      <c r="H101" s="16" t="str">
        <f aca="true">IF($A101="","",IF($G101="","No Date",IF($G101&lt;TODAY(),"Past Due",IF($G101-TODAY()&lt;=30,"Due ≤30 Days","Later"))))</f>
        <v/>
      </c>
    </row>
    <row r="102" customFormat="false" ht="15" hidden="false" customHeight="true" outlineLevel="0" collapsed="false">
      <c r="A102" s="16" t="str">
        <f aca="false">IF('Dependency Register'!A103="","",'Dependency Register'!C103)</f>
        <v/>
      </c>
      <c r="B102" s="16" t="str">
        <f aca="false">IF($A102="","","Giving")</f>
        <v/>
      </c>
      <c r="C102" s="16" t="str">
        <f aca="false">IF($A102="","",'Dependency Register'!B103)</f>
        <v/>
      </c>
      <c r="D102" s="16" t="str">
        <f aca="false">IF($A102="","",'Dependency Register'!A103)</f>
        <v/>
      </c>
      <c r="E102" s="16" t="str">
        <f aca="false">IF($A102="","",'Dependency Register'!O103)</f>
        <v/>
      </c>
      <c r="F102" s="16" t="str">
        <f aca="false">IF($A102="","",'Dependency Register'!P103)</f>
        <v/>
      </c>
      <c r="G102" s="20" t="str">
        <f aca="false">IF($A102="","",IF('Dependency Register'!L103="","",'Dependency Register'!L103))</f>
        <v/>
      </c>
      <c r="H102" s="16" t="str">
        <f aca="true">IF($A102="","",IF($G102="","No Date",IF($G102&lt;TODAY(),"Past Due",IF($G102-TODAY()&lt;=30,"Due ≤30 Days","Later"))))</f>
        <v/>
      </c>
    </row>
    <row r="103" customFormat="false" ht="15" hidden="false" customHeight="true" outlineLevel="0" collapsed="false">
      <c r="A103" s="16" t="str">
        <f aca="false">IF('Dependency Register'!A104="","",'Dependency Register'!C104)</f>
        <v/>
      </c>
      <c r="B103" s="16" t="str">
        <f aca="false">IF($A103="","","Giving")</f>
        <v/>
      </c>
      <c r="C103" s="16" t="str">
        <f aca="false">IF($A103="","",'Dependency Register'!B104)</f>
        <v/>
      </c>
      <c r="D103" s="16" t="str">
        <f aca="false">IF($A103="","",'Dependency Register'!A104)</f>
        <v/>
      </c>
      <c r="E103" s="16" t="str">
        <f aca="false">IF($A103="","",'Dependency Register'!O104)</f>
        <v/>
      </c>
      <c r="F103" s="16" t="str">
        <f aca="false">IF($A103="","",'Dependency Register'!P104)</f>
        <v/>
      </c>
      <c r="G103" s="20" t="str">
        <f aca="false">IF($A103="","",IF('Dependency Register'!L104="","",'Dependency Register'!L104))</f>
        <v/>
      </c>
      <c r="H103" s="16" t="str">
        <f aca="true">IF($A103="","",IF($G103="","No Date",IF($G103&lt;TODAY(),"Past Due",IF($G103-TODAY()&lt;=30,"Due ≤30 Days","Later"))))</f>
        <v/>
      </c>
    </row>
    <row r="104" customFormat="false" ht="15" hidden="false" customHeight="true" outlineLevel="0" collapsed="false">
      <c r="A104" s="16" t="str">
        <f aca="false">IF('Dependency Register'!A105="","",'Dependency Register'!C105)</f>
        <v/>
      </c>
      <c r="B104" s="16" t="str">
        <f aca="false">IF($A104="","","Giving")</f>
        <v/>
      </c>
      <c r="C104" s="16" t="str">
        <f aca="false">IF($A104="","",'Dependency Register'!B105)</f>
        <v/>
      </c>
      <c r="D104" s="16" t="str">
        <f aca="false">IF($A104="","",'Dependency Register'!A105)</f>
        <v/>
      </c>
      <c r="E104" s="16" t="str">
        <f aca="false">IF($A104="","",'Dependency Register'!O105)</f>
        <v/>
      </c>
      <c r="F104" s="16" t="str">
        <f aca="false">IF($A104="","",'Dependency Register'!P105)</f>
        <v/>
      </c>
      <c r="G104" s="20" t="str">
        <f aca="false">IF($A104="","",IF('Dependency Register'!L105="","",'Dependency Register'!L105))</f>
        <v/>
      </c>
      <c r="H104" s="16" t="str">
        <f aca="true">IF($A104="","",IF($G104="","No Date",IF($G104&lt;TODAY(),"Past Due",IF($G104-TODAY()&lt;=30,"Due ≤30 Days","Later"))))</f>
        <v/>
      </c>
    </row>
    <row r="105" customFormat="false" ht="15" hidden="false" customHeight="true" outlineLevel="0" collapsed="false">
      <c r="A105" s="16" t="str">
        <f aca="false">IF('Dependency Register'!A106="","",'Dependency Register'!C106)</f>
        <v/>
      </c>
      <c r="B105" s="16" t="str">
        <f aca="false">IF($A105="","","Giving")</f>
        <v/>
      </c>
      <c r="C105" s="16" t="str">
        <f aca="false">IF($A105="","",'Dependency Register'!B106)</f>
        <v/>
      </c>
      <c r="D105" s="16" t="str">
        <f aca="false">IF($A105="","",'Dependency Register'!A106)</f>
        <v/>
      </c>
      <c r="E105" s="16" t="str">
        <f aca="false">IF($A105="","",'Dependency Register'!O106)</f>
        <v/>
      </c>
      <c r="F105" s="16" t="str">
        <f aca="false">IF($A105="","",'Dependency Register'!P106)</f>
        <v/>
      </c>
      <c r="G105" s="20" t="str">
        <f aca="false">IF($A105="","",IF('Dependency Register'!L106="","",'Dependency Register'!L106))</f>
        <v/>
      </c>
      <c r="H105" s="16" t="str">
        <f aca="true">IF($A105="","",IF($G105="","No Date",IF($G105&lt;TODAY(),"Past Due",IF($G105-TODAY()&lt;=30,"Due ≤30 Days","Later"))))</f>
        <v/>
      </c>
    </row>
    <row r="106" customFormat="false" ht="15" hidden="false" customHeight="true" outlineLevel="0" collapsed="false">
      <c r="A106" s="16" t="str">
        <f aca="false">IF('Dependency Register'!A107="","",'Dependency Register'!C107)</f>
        <v/>
      </c>
      <c r="B106" s="16" t="str">
        <f aca="false">IF($A106="","","Giving")</f>
        <v/>
      </c>
      <c r="C106" s="16" t="str">
        <f aca="false">IF($A106="","",'Dependency Register'!B107)</f>
        <v/>
      </c>
      <c r="D106" s="16" t="str">
        <f aca="false">IF($A106="","",'Dependency Register'!A107)</f>
        <v/>
      </c>
      <c r="E106" s="16" t="str">
        <f aca="false">IF($A106="","",'Dependency Register'!O107)</f>
        <v/>
      </c>
      <c r="F106" s="16" t="str">
        <f aca="false">IF($A106="","",'Dependency Register'!P107)</f>
        <v/>
      </c>
      <c r="G106" s="20" t="str">
        <f aca="false">IF($A106="","",IF('Dependency Register'!L107="","",'Dependency Register'!L107))</f>
        <v/>
      </c>
      <c r="H106" s="16" t="str">
        <f aca="true">IF($A106="","",IF($G106="","No Date",IF($G106&lt;TODAY(),"Past Due",IF($G106-TODAY()&lt;=30,"Due ≤30 Days","Later"))))</f>
        <v/>
      </c>
    </row>
    <row r="107" customFormat="false" ht="15" hidden="false" customHeight="true" outlineLevel="0" collapsed="false">
      <c r="A107" s="16" t="str">
        <f aca="false">IF('Dependency Register'!A108="","",'Dependency Register'!C108)</f>
        <v/>
      </c>
      <c r="B107" s="16" t="str">
        <f aca="false">IF($A107="","","Giving")</f>
        <v/>
      </c>
      <c r="C107" s="16" t="str">
        <f aca="false">IF($A107="","",'Dependency Register'!B108)</f>
        <v/>
      </c>
      <c r="D107" s="16" t="str">
        <f aca="false">IF($A107="","",'Dependency Register'!A108)</f>
        <v/>
      </c>
      <c r="E107" s="16" t="str">
        <f aca="false">IF($A107="","",'Dependency Register'!O108)</f>
        <v/>
      </c>
      <c r="F107" s="16" t="str">
        <f aca="false">IF($A107="","",'Dependency Register'!P108)</f>
        <v/>
      </c>
      <c r="G107" s="20" t="str">
        <f aca="false">IF($A107="","",IF('Dependency Register'!L108="","",'Dependency Register'!L108))</f>
        <v/>
      </c>
      <c r="H107" s="16" t="str">
        <f aca="true">IF($A107="","",IF($G107="","No Date",IF($G107&lt;TODAY(),"Past Due",IF($G107-TODAY()&lt;=30,"Due ≤30 Days","Later"))))</f>
        <v/>
      </c>
    </row>
    <row r="108" customFormat="false" ht="15" hidden="false" customHeight="true" outlineLevel="0" collapsed="false">
      <c r="A108" s="16" t="str">
        <f aca="false">IF('Dependency Register'!A109="","",'Dependency Register'!C109)</f>
        <v/>
      </c>
      <c r="B108" s="16" t="str">
        <f aca="false">IF($A108="","","Giving")</f>
        <v/>
      </c>
      <c r="C108" s="16" t="str">
        <f aca="false">IF($A108="","",'Dependency Register'!B109)</f>
        <v/>
      </c>
      <c r="D108" s="16" t="str">
        <f aca="false">IF($A108="","",'Dependency Register'!A109)</f>
        <v/>
      </c>
      <c r="E108" s="16" t="str">
        <f aca="false">IF($A108="","",'Dependency Register'!O109)</f>
        <v/>
      </c>
      <c r="F108" s="16" t="str">
        <f aca="false">IF($A108="","",'Dependency Register'!P109)</f>
        <v/>
      </c>
      <c r="G108" s="20" t="str">
        <f aca="false">IF($A108="","",IF('Dependency Register'!L109="","",'Dependency Register'!L109))</f>
        <v/>
      </c>
      <c r="H108" s="16" t="str">
        <f aca="true">IF($A108="","",IF($G108="","No Date",IF($G108&lt;TODAY(),"Past Due",IF($G108-TODAY()&lt;=30,"Due ≤30 Days","Later"))))</f>
        <v/>
      </c>
    </row>
    <row r="109" customFormat="false" ht="15" hidden="false" customHeight="true" outlineLevel="0" collapsed="false">
      <c r="A109" s="16" t="str">
        <f aca="false">IF('Dependency Register'!A110="","",'Dependency Register'!C110)</f>
        <v/>
      </c>
      <c r="B109" s="16" t="str">
        <f aca="false">IF($A109="","","Giving")</f>
        <v/>
      </c>
      <c r="C109" s="16" t="str">
        <f aca="false">IF($A109="","",'Dependency Register'!B110)</f>
        <v/>
      </c>
      <c r="D109" s="16" t="str">
        <f aca="false">IF($A109="","",'Dependency Register'!A110)</f>
        <v/>
      </c>
      <c r="E109" s="16" t="str">
        <f aca="false">IF($A109="","",'Dependency Register'!O110)</f>
        <v/>
      </c>
      <c r="F109" s="16" t="str">
        <f aca="false">IF($A109="","",'Dependency Register'!P110)</f>
        <v/>
      </c>
      <c r="G109" s="20" t="str">
        <f aca="false">IF($A109="","",IF('Dependency Register'!L110="","",'Dependency Register'!L110))</f>
        <v/>
      </c>
      <c r="H109" s="16" t="str">
        <f aca="true">IF($A109="","",IF($G109="","No Date",IF($G109&lt;TODAY(),"Past Due",IF($G109-TODAY()&lt;=30,"Due ≤30 Days","Later"))))</f>
        <v/>
      </c>
    </row>
    <row r="110" customFormat="false" ht="15" hidden="false" customHeight="true" outlineLevel="0" collapsed="false">
      <c r="A110" s="16" t="str">
        <f aca="false">IF('Dependency Register'!A111="","",'Dependency Register'!C111)</f>
        <v/>
      </c>
      <c r="B110" s="16" t="str">
        <f aca="false">IF($A110="","","Giving")</f>
        <v/>
      </c>
      <c r="C110" s="16" t="str">
        <f aca="false">IF($A110="","",'Dependency Register'!B111)</f>
        <v/>
      </c>
      <c r="D110" s="16" t="str">
        <f aca="false">IF($A110="","",'Dependency Register'!A111)</f>
        <v/>
      </c>
      <c r="E110" s="16" t="str">
        <f aca="false">IF($A110="","",'Dependency Register'!O111)</f>
        <v/>
      </c>
      <c r="F110" s="16" t="str">
        <f aca="false">IF($A110="","",'Dependency Register'!P111)</f>
        <v/>
      </c>
      <c r="G110" s="20" t="str">
        <f aca="false">IF($A110="","",IF('Dependency Register'!L111="","",'Dependency Register'!L111))</f>
        <v/>
      </c>
      <c r="H110" s="16" t="str">
        <f aca="true">IF($A110="","",IF($G110="","No Date",IF($G110&lt;TODAY(),"Past Due",IF($G110-TODAY()&lt;=30,"Due ≤30 Days","Later"))))</f>
        <v/>
      </c>
    </row>
    <row r="111" customFormat="false" ht="15" hidden="false" customHeight="true" outlineLevel="0" collapsed="false">
      <c r="A111" s="16" t="str">
        <f aca="false">IF('Dependency Register'!A112="","",'Dependency Register'!C112)</f>
        <v/>
      </c>
      <c r="B111" s="16" t="str">
        <f aca="false">IF($A111="","","Giving")</f>
        <v/>
      </c>
      <c r="C111" s="16" t="str">
        <f aca="false">IF($A111="","",'Dependency Register'!B112)</f>
        <v/>
      </c>
      <c r="D111" s="16" t="str">
        <f aca="false">IF($A111="","",'Dependency Register'!A112)</f>
        <v/>
      </c>
      <c r="E111" s="16" t="str">
        <f aca="false">IF($A111="","",'Dependency Register'!O112)</f>
        <v/>
      </c>
      <c r="F111" s="16" t="str">
        <f aca="false">IF($A111="","",'Dependency Register'!P112)</f>
        <v/>
      </c>
      <c r="G111" s="20" t="str">
        <f aca="false">IF($A111="","",IF('Dependency Register'!L112="","",'Dependency Register'!L112))</f>
        <v/>
      </c>
      <c r="H111" s="16" t="str">
        <f aca="true">IF($A111="","",IF($G111="","No Date",IF($G111&lt;TODAY(),"Past Due",IF($G111-TODAY()&lt;=30,"Due ≤30 Days","Later"))))</f>
        <v/>
      </c>
    </row>
    <row r="112" customFormat="false" ht="15" hidden="false" customHeight="true" outlineLevel="0" collapsed="false">
      <c r="A112" s="16" t="str">
        <f aca="false">IF('Dependency Register'!A113="","",'Dependency Register'!C113)</f>
        <v/>
      </c>
      <c r="B112" s="16" t="str">
        <f aca="false">IF($A112="","","Giving")</f>
        <v/>
      </c>
      <c r="C112" s="16" t="str">
        <f aca="false">IF($A112="","",'Dependency Register'!B113)</f>
        <v/>
      </c>
      <c r="D112" s="16" t="str">
        <f aca="false">IF($A112="","",'Dependency Register'!A113)</f>
        <v/>
      </c>
      <c r="E112" s="16" t="str">
        <f aca="false">IF($A112="","",'Dependency Register'!O113)</f>
        <v/>
      </c>
      <c r="F112" s="16" t="str">
        <f aca="false">IF($A112="","",'Dependency Register'!P113)</f>
        <v/>
      </c>
      <c r="G112" s="20" t="str">
        <f aca="false">IF($A112="","",IF('Dependency Register'!L113="","",'Dependency Register'!L113))</f>
        <v/>
      </c>
      <c r="H112" s="16" t="str">
        <f aca="true">IF($A112="","",IF($G112="","No Date",IF($G112&lt;TODAY(),"Past Due",IF($G112-TODAY()&lt;=30,"Due ≤30 Days","Later"))))</f>
        <v/>
      </c>
    </row>
    <row r="113" customFormat="false" ht="15" hidden="false" customHeight="true" outlineLevel="0" collapsed="false">
      <c r="A113" s="16" t="str">
        <f aca="false">IF('Dependency Register'!A114="","",'Dependency Register'!C114)</f>
        <v/>
      </c>
      <c r="B113" s="16" t="str">
        <f aca="false">IF($A113="","","Giving")</f>
        <v/>
      </c>
      <c r="C113" s="16" t="str">
        <f aca="false">IF($A113="","",'Dependency Register'!B114)</f>
        <v/>
      </c>
      <c r="D113" s="16" t="str">
        <f aca="false">IF($A113="","",'Dependency Register'!A114)</f>
        <v/>
      </c>
      <c r="E113" s="16" t="str">
        <f aca="false">IF($A113="","",'Dependency Register'!O114)</f>
        <v/>
      </c>
      <c r="F113" s="16" t="str">
        <f aca="false">IF($A113="","",'Dependency Register'!P114)</f>
        <v/>
      </c>
      <c r="G113" s="20" t="str">
        <f aca="false">IF($A113="","",IF('Dependency Register'!L114="","",'Dependency Register'!L114))</f>
        <v/>
      </c>
      <c r="H113" s="16" t="str">
        <f aca="true">IF($A113="","",IF($G113="","No Date",IF($G113&lt;TODAY(),"Past Due",IF($G113-TODAY()&lt;=30,"Due ≤30 Days","Later"))))</f>
        <v/>
      </c>
    </row>
    <row r="114" customFormat="false" ht="15" hidden="false" customHeight="true" outlineLevel="0" collapsed="false">
      <c r="A114" s="16" t="str">
        <f aca="false">IF('Dependency Register'!A115="","",'Dependency Register'!C115)</f>
        <v/>
      </c>
      <c r="B114" s="16" t="str">
        <f aca="false">IF($A114="","","Giving")</f>
        <v/>
      </c>
      <c r="C114" s="16" t="str">
        <f aca="false">IF($A114="","",'Dependency Register'!B115)</f>
        <v/>
      </c>
      <c r="D114" s="16" t="str">
        <f aca="false">IF($A114="","",'Dependency Register'!A115)</f>
        <v/>
      </c>
      <c r="E114" s="16" t="str">
        <f aca="false">IF($A114="","",'Dependency Register'!O115)</f>
        <v/>
      </c>
      <c r="F114" s="16" t="str">
        <f aca="false">IF($A114="","",'Dependency Register'!P115)</f>
        <v/>
      </c>
      <c r="G114" s="20" t="str">
        <f aca="false">IF($A114="","",IF('Dependency Register'!L115="","",'Dependency Register'!L115))</f>
        <v/>
      </c>
      <c r="H114" s="16" t="str">
        <f aca="true">IF($A114="","",IF($G114="","No Date",IF($G114&lt;TODAY(),"Past Due",IF($G114-TODAY()&lt;=30,"Due ≤30 Days","Later"))))</f>
        <v/>
      </c>
    </row>
    <row r="115" customFormat="false" ht="15" hidden="false" customHeight="true" outlineLevel="0" collapsed="false">
      <c r="A115" s="16" t="str">
        <f aca="false">IF('Dependency Register'!A116="","",'Dependency Register'!C116)</f>
        <v/>
      </c>
      <c r="B115" s="16" t="str">
        <f aca="false">IF($A115="","","Giving")</f>
        <v/>
      </c>
      <c r="C115" s="16" t="str">
        <f aca="false">IF($A115="","",'Dependency Register'!B116)</f>
        <v/>
      </c>
      <c r="D115" s="16" t="str">
        <f aca="false">IF($A115="","",'Dependency Register'!A116)</f>
        <v/>
      </c>
      <c r="E115" s="16" t="str">
        <f aca="false">IF($A115="","",'Dependency Register'!O116)</f>
        <v/>
      </c>
      <c r="F115" s="16" t="str">
        <f aca="false">IF($A115="","",'Dependency Register'!P116)</f>
        <v/>
      </c>
      <c r="G115" s="20" t="str">
        <f aca="false">IF($A115="","",IF('Dependency Register'!L116="","",'Dependency Register'!L116))</f>
        <v/>
      </c>
      <c r="H115" s="16" t="str">
        <f aca="true">IF($A115="","",IF($G115="","No Date",IF($G115&lt;TODAY(),"Past Due",IF($G115-TODAY()&lt;=30,"Due ≤30 Days","Later"))))</f>
        <v/>
      </c>
    </row>
    <row r="116" customFormat="false" ht="15" hidden="false" customHeight="true" outlineLevel="0" collapsed="false">
      <c r="A116" s="16" t="str">
        <f aca="false">IF('Dependency Register'!A117="","",'Dependency Register'!C117)</f>
        <v/>
      </c>
      <c r="B116" s="16" t="str">
        <f aca="false">IF($A116="","","Giving")</f>
        <v/>
      </c>
      <c r="C116" s="16" t="str">
        <f aca="false">IF($A116="","",'Dependency Register'!B117)</f>
        <v/>
      </c>
      <c r="D116" s="16" t="str">
        <f aca="false">IF($A116="","",'Dependency Register'!A117)</f>
        <v/>
      </c>
      <c r="E116" s="16" t="str">
        <f aca="false">IF($A116="","",'Dependency Register'!O117)</f>
        <v/>
      </c>
      <c r="F116" s="16" t="str">
        <f aca="false">IF($A116="","",'Dependency Register'!P117)</f>
        <v/>
      </c>
      <c r="G116" s="20" t="str">
        <f aca="false">IF($A116="","",IF('Dependency Register'!L117="","",'Dependency Register'!L117))</f>
        <v/>
      </c>
      <c r="H116" s="16" t="str">
        <f aca="true">IF($A116="","",IF($G116="","No Date",IF($G116&lt;TODAY(),"Past Due",IF($G116-TODAY()&lt;=30,"Due ≤30 Days","Later"))))</f>
        <v/>
      </c>
    </row>
    <row r="117" customFormat="false" ht="15" hidden="false" customHeight="true" outlineLevel="0" collapsed="false">
      <c r="A117" s="16" t="str">
        <f aca="false">IF('Dependency Register'!A118="","",'Dependency Register'!C118)</f>
        <v/>
      </c>
      <c r="B117" s="16" t="str">
        <f aca="false">IF($A117="","","Giving")</f>
        <v/>
      </c>
      <c r="C117" s="16" t="str">
        <f aca="false">IF($A117="","",'Dependency Register'!B118)</f>
        <v/>
      </c>
      <c r="D117" s="16" t="str">
        <f aca="false">IF($A117="","",'Dependency Register'!A118)</f>
        <v/>
      </c>
      <c r="E117" s="16" t="str">
        <f aca="false">IF($A117="","",'Dependency Register'!O118)</f>
        <v/>
      </c>
      <c r="F117" s="16" t="str">
        <f aca="false">IF($A117="","",'Dependency Register'!P118)</f>
        <v/>
      </c>
      <c r="G117" s="20" t="str">
        <f aca="false">IF($A117="","",IF('Dependency Register'!L118="","",'Dependency Register'!L118))</f>
        <v/>
      </c>
      <c r="H117" s="16" t="str">
        <f aca="true">IF($A117="","",IF($G117="","No Date",IF($G117&lt;TODAY(),"Past Due",IF($G117-TODAY()&lt;=30,"Due ≤30 Days","Later"))))</f>
        <v/>
      </c>
    </row>
    <row r="118" customFormat="false" ht="15" hidden="false" customHeight="true" outlineLevel="0" collapsed="false">
      <c r="A118" s="16" t="str">
        <f aca="false">IF('Dependency Register'!A119="","",'Dependency Register'!C119)</f>
        <v/>
      </c>
      <c r="B118" s="16" t="str">
        <f aca="false">IF($A118="","","Giving")</f>
        <v/>
      </c>
      <c r="C118" s="16" t="str">
        <f aca="false">IF($A118="","",'Dependency Register'!B119)</f>
        <v/>
      </c>
      <c r="D118" s="16" t="str">
        <f aca="false">IF($A118="","",'Dependency Register'!A119)</f>
        <v/>
      </c>
      <c r="E118" s="16" t="str">
        <f aca="false">IF($A118="","",'Dependency Register'!O119)</f>
        <v/>
      </c>
      <c r="F118" s="16" t="str">
        <f aca="false">IF($A118="","",'Dependency Register'!P119)</f>
        <v/>
      </c>
      <c r="G118" s="20" t="str">
        <f aca="false">IF($A118="","",IF('Dependency Register'!L119="","",'Dependency Register'!L119))</f>
        <v/>
      </c>
      <c r="H118" s="16" t="str">
        <f aca="true">IF($A118="","",IF($G118="","No Date",IF($G118&lt;TODAY(),"Past Due",IF($G118-TODAY()&lt;=30,"Due ≤30 Days","Later"))))</f>
        <v/>
      </c>
    </row>
    <row r="119" customFormat="false" ht="15" hidden="false" customHeight="true" outlineLevel="0" collapsed="false">
      <c r="A119" s="16" t="str">
        <f aca="false">IF('Dependency Register'!A120="","",'Dependency Register'!C120)</f>
        <v/>
      </c>
      <c r="B119" s="16" t="str">
        <f aca="false">IF($A119="","","Giving")</f>
        <v/>
      </c>
      <c r="C119" s="16" t="str">
        <f aca="false">IF($A119="","",'Dependency Register'!B120)</f>
        <v/>
      </c>
      <c r="D119" s="16" t="str">
        <f aca="false">IF($A119="","",'Dependency Register'!A120)</f>
        <v/>
      </c>
      <c r="E119" s="16" t="str">
        <f aca="false">IF($A119="","",'Dependency Register'!O120)</f>
        <v/>
      </c>
      <c r="F119" s="16" t="str">
        <f aca="false">IF($A119="","",'Dependency Register'!P120)</f>
        <v/>
      </c>
      <c r="G119" s="20" t="str">
        <f aca="false">IF($A119="","",IF('Dependency Register'!L120="","",'Dependency Register'!L120))</f>
        <v/>
      </c>
      <c r="H119" s="16" t="str">
        <f aca="true">IF($A119="","",IF($G119="","No Date",IF($G119&lt;TODAY(),"Past Due",IF($G119-TODAY()&lt;=30,"Due ≤30 Days","Later"))))</f>
        <v/>
      </c>
    </row>
    <row r="120" customFormat="false" ht="15" hidden="false" customHeight="true" outlineLevel="0" collapsed="false">
      <c r="A120" s="16" t="str">
        <f aca="false">IF('Dependency Register'!A121="","",'Dependency Register'!C121)</f>
        <v/>
      </c>
      <c r="B120" s="16" t="str">
        <f aca="false">IF($A120="","","Giving")</f>
        <v/>
      </c>
      <c r="C120" s="16" t="str">
        <f aca="false">IF($A120="","",'Dependency Register'!B121)</f>
        <v/>
      </c>
      <c r="D120" s="16" t="str">
        <f aca="false">IF($A120="","",'Dependency Register'!A121)</f>
        <v/>
      </c>
      <c r="E120" s="16" t="str">
        <f aca="false">IF($A120="","",'Dependency Register'!O121)</f>
        <v/>
      </c>
      <c r="F120" s="16" t="str">
        <f aca="false">IF($A120="","",'Dependency Register'!P121)</f>
        <v/>
      </c>
      <c r="G120" s="20" t="str">
        <f aca="false">IF($A120="","",IF('Dependency Register'!L121="","",'Dependency Register'!L121))</f>
        <v/>
      </c>
      <c r="H120" s="16" t="str">
        <f aca="true">IF($A120="","",IF($G120="","No Date",IF($G120&lt;TODAY(),"Past Due",IF($G120-TODAY()&lt;=30,"Due ≤30 Days","Later"))))</f>
        <v/>
      </c>
    </row>
    <row r="121" customFormat="false" ht="15" hidden="false" customHeight="true" outlineLevel="0" collapsed="false">
      <c r="A121" s="16" t="str">
        <f aca="false">IF('Dependency Register'!A122="","",'Dependency Register'!C122)</f>
        <v/>
      </c>
      <c r="B121" s="16" t="str">
        <f aca="false">IF($A121="","","Giving")</f>
        <v/>
      </c>
      <c r="C121" s="16" t="str">
        <f aca="false">IF($A121="","",'Dependency Register'!B122)</f>
        <v/>
      </c>
      <c r="D121" s="16" t="str">
        <f aca="false">IF($A121="","",'Dependency Register'!A122)</f>
        <v/>
      </c>
      <c r="E121" s="16" t="str">
        <f aca="false">IF($A121="","",'Dependency Register'!O122)</f>
        <v/>
      </c>
      <c r="F121" s="16" t="str">
        <f aca="false">IF($A121="","",'Dependency Register'!P122)</f>
        <v/>
      </c>
      <c r="G121" s="20" t="str">
        <f aca="false">IF($A121="","",IF('Dependency Register'!L122="","",'Dependency Register'!L122))</f>
        <v/>
      </c>
      <c r="H121" s="16" t="str">
        <f aca="true">IF($A121="","",IF($G121="","No Date",IF($G121&lt;TODAY(),"Past Due",IF($G121-TODAY()&lt;=30,"Due ≤30 Days","Later"))))</f>
        <v/>
      </c>
    </row>
    <row r="122" customFormat="false" ht="15" hidden="false" customHeight="true" outlineLevel="0" collapsed="false">
      <c r="A122" s="16" t="str">
        <f aca="false">IF('Dependency Register'!A123="","",'Dependency Register'!C123)</f>
        <v/>
      </c>
      <c r="B122" s="16" t="str">
        <f aca="false">IF($A122="","","Giving")</f>
        <v/>
      </c>
      <c r="C122" s="16" t="str">
        <f aca="false">IF($A122="","",'Dependency Register'!B123)</f>
        <v/>
      </c>
      <c r="D122" s="16" t="str">
        <f aca="false">IF($A122="","",'Dependency Register'!A123)</f>
        <v/>
      </c>
      <c r="E122" s="16" t="str">
        <f aca="false">IF($A122="","",'Dependency Register'!O123)</f>
        <v/>
      </c>
      <c r="F122" s="16" t="str">
        <f aca="false">IF($A122="","",'Dependency Register'!P123)</f>
        <v/>
      </c>
      <c r="G122" s="20" t="str">
        <f aca="false">IF($A122="","",IF('Dependency Register'!L123="","",'Dependency Register'!L123))</f>
        <v/>
      </c>
      <c r="H122" s="16" t="str">
        <f aca="true">IF($A122="","",IF($G122="","No Date",IF($G122&lt;TODAY(),"Past Due",IF($G122-TODAY()&lt;=30,"Due ≤30 Days","Later"))))</f>
        <v/>
      </c>
    </row>
    <row r="123" customFormat="false" ht="15" hidden="false" customHeight="true" outlineLevel="0" collapsed="false">
      <c r="A123" s="16" t="str">
        <f aca="false">IF('Dependency Register'!A124="","",'Dependency Register'!C124)</f>
        <v/>
      </c>
      <c r="B123" s="16" t="str">
        <f aca="false">IF($A123="","","Giving")</f>
        <v/>
      </c>
      <c r="C123" s="16" t="str">
        <f aca="false">IF($A123="","",'Dependency Register'!B124)</f>
        <v/>
      </c>
      <c r="D123" s="16" t="str">
        <f aca="false">IF($A123="","",'Dependency Register'!A124)</f>
        <v/>
      </c>
      <c r="E123" s="16" t="str">
        <f aca="false">IF($A123="","",'Dependency Register'!O124)</f>
        <v/>
      </c>
      <c r="F123" s="16" t="str">
        <f aca="false">IF($A123="","",'Dependency Register'!P124)</f>
        <v/>
      </c>
      <c r="G123" s="20" t="str">
        <f aca="false">IF($A123="","",IF('Dependency Register'!L124="","",'Dependency Register'!L124))</f>
        <v/>
      </c>
      <c r="H123" s="16" t="str">
        <f aca="true">IF($A123="","",IF($G123="","No Date",IF($G123&lt;TODAY(),"Past Due",IF($G123-TODAY()&lt;=30,"Due ≤30 Days","Later"))))</f>
        <v/>
      </c>
    </row>
    <row r="124" customFormat="false" ht="15" hidden="false" customHeight="true" outlineLevel="0" collapsed="false">
      <c r="A124" s="16" t="str">
        <f aca="false">IF('Dependency Register'!A125="","",'Dependency Register'!C125)</f>
        <v/>
      </c>
      <c r="B124" s="16" t="str">
        <f aca="false">IF($A124="","","Giving")</f>
        <v/>
      </c>
      <c r="C124" s="16" t="str">
        <f aca="false">IF($A124="","",'Dependency Register'!B125)</f>
        <v/>
      </c>
      <c r="D124" s="16" t="str">
        <f aca="false">IF($A124="","",'Dependency Register'!A125)</f>
        <v/>
      </c>
      <c r="E124" s="16" t="str">
        <f aca="false">IF($A124="","",'Dependency Register'!O125)</f>
        <v/>
      </c>
      <c r="F124" s="16" t="str">
        <f aca="false">IF($A124="","",'Dependency Register'!P125)</f>
        <v/>
      </c>
      <c r="G124" s="20" t="str">
        <f aca="false">IF($A124="","",IF('Dependency Register'!L125="","",'Dependency Register'!L125))</f>
        <v/>
      </c>
      <c r="H124" s="16" t="str">
        <f aca="true">IF($A124="","",IF($G124="","No Date",IF($G124&lt;TODAY(),"Past Due",IF($G124-TODAY()&lt;=30,"Due ≤30 Days","Later"))))</f>
        <v/>
      </c>
    </row>
    <row r="125" customFormat="false" ht="15" hidden="false" customHeight="true" outlineLevel="0" collapsed="false">
      <c r="A125" s="16" t="str">
        <f aca="false">IF('Dependency Register'!A126="","",'Dependency Register'!C126)</f>
        <v/>
      </c>
      <c r="B125" s="16" t="str">
        <f aca="false">IF($A125="","","Giving")</f>
        <v/>
      </c>
      <c r="C125" s="16" t="str">
        <f aca="false">IF($A125="","",'Dependency Register'!B126)</f>
        <v/>
      </c>
      <c r="D125" s="16" t="str">
        <f aca="false">IF($A125="","",'Dependency Register'!A126)</f>
        <v/>
      </c>
      <c r="E125" s="16" t="str">
        <f aca="false">IF($A125="","",'Dependency Register'!O126)</f>
        <v/>
      </c>
      <c r="F125" s="16" t="str">
        <f aca="false">IF($A125="","",'Dependency Register'!P126)</f>
        <v/>
      </c>
      <c r="G125" s="20" t="str">
        <f aca="false">IF($A125="","",IF('Dependency Register'!L126="","",'Dependency Register'!L126))</f>
        <v/>
      </c>
      <c r="H125" s="16" t="str">
        <f aca="true">IF($A125="","",IF($G125="","No Date",IF($G125&lt;TODAY(),"Past Due",IF($G125-TODAY()&lt;=30,"Due ≤30 Days","Later"))))</f>
        <v/>
      </c>
    </row>
    <row r="126" customFormat="false" ht="15" hidden="false" customHeight="true" outlineLevel="0" collapsed="false">
      <c r="A126" s="16" t="str">
        <f aca="false">IF('Dependency Register'!A127="","",'Dependency Register'!C127)</f>
        <v/>
      </c>
      <c r="B126" s="16" t="str">
        <f aca="false">IF($A126="","","Giving")</f>
        <v/>
      </c>
      <c r="C126" s="16" t="str">
        <f aca="false">IF($A126="","",'Dependency Register'!B127)</f>
        <v/>
      </c>
      <c r="D126" s="16" t="str">
        <f aca="false">IF($A126="","",'Dependency Register'!A127)</f>
        <v/>
      </c>
      <c r="E126" s="16" t="str">
        <f aca="false">IF($A126="","",'Dependency Register'!O127)</f>
        <v/>
      </c>
      <c r="F126" s="16" t="str">
        <f aca="false">IF($A126="","",'Dependency Register'!P127)</f>
        <v/>
      </c>
      <c r="G126" s="20" t="str">
        <f aca="false">IF($A126="","",IF('Dependency Register'!L127="","",'Dependency Register'!L127))</f>
        <v/>
      </c>
      <c r="H126" s="16" t="str">
        <f aca="true">IF($A126="","",IF($G126="","No Date",IF($G126&lt;TODAY(),"Past Due",IF($G126-TODAY()&lt;=30,"Due ≤30 Days","Later"))))</f>
        <v/>
      </c>
    </row>
    <row r="127" customFormat="false" ht="15" hidden="false" customHeight="true" outlineLevel="0" collapsed="false">
      <c r="A127" s="16" t="str">
        <f aca="false">IF('Dependency Register'!A128="","",'Dependency Register'!C128)</f>
        <v/>
      </c>
      <c r="B127" s="16" t="str">
        <f aca="false">IF($A127="","","Giving")</f>
        <v/>
      </c>
      <c r="C127" s="16" t="str">
        <f aca="false">IF($A127="","",'Dependency Register'!B128)</f>
        <v/>
      </c>
      <c r="D127" s="16" t="str">
        <f aca="false">IF($A127="","",'Dependency Register'!A128)</f>
        <v/>
      </c>
      <c r="E127" s="16" t="str">
        <f aca="false">IF($A127="","",'Dependency Register'!O128)</f>
        <v/>
      </c>
      <c r="F127" s="16" t="str">
        <f aca="false">IF($A127="","",'Dependency Register'!P128)</f>
        <v/>
      </c>
      <c r="G127" s="20" t="str">
        <f aca="false">IF($A127="","",IF('Dependency Register'!L128="","",'Dependency Register'!L128))</f>
        <v/>
      </c>
      <c r="H127" s="16" t="str">
        <f aca="true">IF($A127="","",IF($G127="","No Date",IF($G127&lt;TODAY(),"Past Due",IF($G127-TODAY()&lt;=30,"Due ≤30 Days","Later"))))</f>
        <v/>
      </c>
    </row>
    <row r="128" customFormat="false" ht="15" hidden="false" customHeight="true" outlineLevel="0" collapsed="false">
      <c r="A128" s="16" t="str">
        <f aca="false">IF('Dependency Register'!A129="","",'Dependency Register'!C129)</f>
        <v/>
      </c>
      <c r="B128" s="16" t="str">
        <f aca="false">IF($A128="","","Giving")</f>
        <v/>
      </c>
      <c r="C128" s="16" t="str">
        <f aca="false">IF($A128="","",'Dependency Register'!B129)</f>
        <v/>
      </c>
      <c r="D128" s="16" t="str">
        <f aca="false">IF($A128="","",'Dependency Register'!A129)</f>
        <v/>
      </c>
      <c r="E128" s="16" t="str">
        <f aca="false">IF($A128="","",'Dependency Register'!O129)</f>
        <v/>
      </c>
      <c r="F128" s="16" t="str">
        <f aca="false">IF($A128="","",'Dependency Register'!P129)</f>
        <v/>
      </c>
      <c r="G128" s="20" t="str">
        <f aca="false">IF($A128="","",IF('Dependency Register'!L129="","",'Dependency Register'!L129))</f>
        <v/>
      </c>
      <c r="H128" s="16" t="str">
        <f aca="true">IF($A128="","",IF($G128="","No Date",IF($G128&lt;TODAY(),"Past Due",IF($G128-TODAY()&lt;=30,"Due ≤30 Days","Later"))))</f>
        <v/>
      </c>
    </row>
    <row r="129" customFormat="false" ht="15" hidden="false" customHeight="true" outlineLevel="0" collapsed="false">
      <c r="A129" s="16" t="str">
        <f aca="false">IF('Dependency Register'!A130="","",'Dependency Register'!C130)</f>
        <v/>
      </c>
      <c r="B129" s="16" t="str">
        <f aca="false">IF($A129="","","Giving")</f>
        <v/>
      </c>
      <c r="C129" s="16" t="str">
        <f aca="false">IF($A129="","",'Dependency Register'!B130)</f>
        <v/>
      </c>
      <c r="D129" s="16" t="str">
        <f aca="false">IF($A129="","",'Dependency Register'!A130)</f>
        <v/>
      </c>
      <c r="E129" s="16" t="str">
        <f aca="false">IF($A129="","",'Dependency Register'!O130)</f>
        <v/>
      </c>
      <c r="F129" s="16" t="str">
        <f aca="false">IF($A129="","",'Dependency Register'!P130)</f>
        <v/>
      </c>
      <c r="G129" s="20" t="str">
        <f aca="false">IF($A129="","",IF('Dependency Register'!L130="","",'Dependency Register'!L130))</f>
        <v/>
      </c>
      <c r="H129" s="16" t="str">
        <f aca="true">IF($A129="","",IF($G129="","No Date",IF($G129&lt;TODAY(),"Past Due",IF($G129-TODAY()&lt;=30,"Due ≤30 Days","Later"))))</f>
        <v/>
      </c>
    </row>
    <row r="130" customFormat="false" ht="15" hidden="false" customHeight="true" outlineLevel="0" collapsed="false">
      <c r="A130" s="16" t="str">
        <f aca="false">IF('Dependency Register'!A131="","",'Dependency Register'!C131)</f>
        <v/>
      </c>
      <c r="B130" s="16" t="str">
        <f aca="false">IF($A130="","","Giving")</f>
        <v/>
      </c>
      <c r="C130" s="16" t="str">
        <f aca="false">IF($A130="","",'Dependency Register'!B131)</f>
        <v/>
      </c>
      <c r="D130" s="16" t="str">
        <f aca="false">IF($A130="","",'Dependency Register'!A131)</f>
        <v/>
      </c>
      <c r="E130" s="16" t="str">
        <f aca="false">IF($A130="","",'Dependency Register'!O131)</f>
        <v/>
      </c>
      <c r="F130" s="16" t="str">
        <f aca="false">IF($A130="","",'Dependency Register'!P131)</f>
        <v/>
      </c>
      <c r="G130" s="20" t="str">
        <f aca="false">IF($A130="","",IF('Dependency Register'!L131="","",'Dependency Register'!L131))</f>
        <v/>
      </c>
      <c r="H130" s="16" t="str">
        <f aca="true">IF($A130="","",IF($G130="","No Date",IF($G130&lt;TODAY(),"Past Due",IF($G130-TODAY()&lt;=30,"Due ≤30 Days","Later"))))</f>
        <v/>
      </c>
    </row>
    <row r="131" customFormat="false" ht="15" hidden="false" customHeight="true" outlineLevel="0" collapsed="false">
      <c r="A131" s="16" t="str">
        <f aca="false">IF('Dependency Register'!A132="","",'Dependency Register'!C132)</f>
        <v/>
      </c>
      <c r="B131" s="16" t="str">
        <f aca="false">IF($A131="","","Giving")</f>
        <v/>
      </c>
      <c r="C131" s="16" t="str">
        <f aca="false">IF($A131="","",'Dependency Register'!B132)</f>
        <v/>
      </c>
      <c r="D131" s="16" t="str">
        <f aca="false">IF($A131="","",'Dependency Register'!A132)</f>
        <v/>
      </c>
      <c r="E131" s="16" t="str">
        <f aca="false">IF($A131="","",'Dependency Register'!O132)</f>
        <v/>
      </c>
      <c r="F131" s="16" t="str">
        <f aca="false">IF($A131="","",'Dependency Register'!P132)</f>
        <v/>
      </c>
      <c r="G131" s="20" t="str">
        <f aca="false">IF($A131="","",IF('Dependency Register'!L132="","",'Dependency Register'!L132))</f>
        <v/>
      </c>
      <c r="H131" s="16" t="str">
        <f aca="true">IF($A131="","",IF($G131="","No Date",IF($G131&lt;TODAY(),"Past Due",IF($G131-TODAY()&lt;=30,"Due ≤30 Days","Later"))))</f>
        <v/>
      </c>
    </row>
    <row r="132" customFormat="false" ht="15" hidden="false" customHeight="true" outlineLevel="0" collapsed="false">
      <c r="A132" s="16" t="str">
        <f aca="false">IF('Dependency Register'!A133="","",'Dependency Register'!C133)</f>
        <v/>
      </c>
      <c r="B132" s="16" t="str">
        <f aca="false">IF($A132="","","Giving")</f>
        <v/>
      </c>
      <c r="C132" s="16" t="str">
        <f aca="false">IF($A132="","",'Dependency Register'!B133)</f>
        <v/>
      </c>
      <c r="D132" s="16" t="str">
        <f aca="false">IF($A132="","",'Dependency Register'!A133)</f>
        <v/>
      </c>
      <c r="E132" s="16" t="str">
        <f aca="false">IF($A132="","",'Dependency Register'!O133)</f>
        <v/>
      </c>
      <c r="F132" s="16" t="str">
        <f aca="false">IF($A132="","",'Dependency Register'!P133)</f>
        <v/>
      </c>
      <c r="G132" s="20" t="str">
        <f aca="false">IF($A132="","",IF('Dependency Register'!L133="","",'Dependency Register'!L133))</f>
        <v/>
      </c>
      <c r="H132" s="16" t="str">
        <f aca="true">IF($A132="","",IF($G132="","No Date",IF($G132&lt;TODAY(),"Past Due",IF($G132-TODAY()&lt;=30,"Due ≤30 Days","Later"))))</f>
        <v/>
      </c>
    </row>
    <row r="133" customFormat="false" ht="15" hidden="false" customHeight="true" outlineLevel="0" collapsed="false">
      <c r="A133" s="16" t="str">
        <f aca="false">IF('Dependency Register'!A134="","",'Dependency Register'!C134)</f>
        <v/>
      </c>
      <c r="B133" s="16" t="str">
        <f aca="false">IF($A133="","","Giving")</f>
        <v/>
      </c>
      <c r="C133" s="16" t="str">
        <f aca="false">IF($A133="","",'Dependency Register'!B134)</f>
        <v/>
      </c>
      <c r="D133" s="16" t="str">
        <f aca="false">IF($A133="","",'Dependency Register'!A134)</f>
        <v/>
      </c>
      <c r="E133" s="16" t="str">
        <f aca="false">IF($A133="","",'Dependency Register'!O134)</f>
        <v/>
      </c>
      <c r="F133" s="16" t="str">
        <f aca="false">IF($A133="","",'Dependency Register'!P134)</f>
        <v/>
      </c>
      <c r="G133" s="20" t="str">
        <f aca="false">IF($A133="","",IF('Dependency Register'!L134="","",'Dependency Register'!L134))</f>
        <v/>
      </c>
      <c r="H133" s="16" t="str">
        <f aca="true">IF($A133="","",IF($G133="","No Date",IF($G133&lt;TODAY(),"Past Due",IF($G133-TODAY()&lt;=30,"Due ≤30 Days","Later"))))</f>
        <v/>
      </c>
    </row>
    <row r="134" customFormat="false" ht="15" hidden="false" customHeight="true" outlineLevel="0" collapsed="false">
      <c r="A134" s="16" t="str">
        <f aca="false">IF('Dependency Register'!A135="","",'Dependency Register'!C135)</f>
        <v/>
      </c>
      <c r="B134" s="16" t="str">
        <f aca="false">IF($A134="","","Giving")</f>
        <v/>
      </c>
      <c r="C134" s="16" t="str">
        <f aca="false">IF($A134="","",'Dependency Register'!B135)</f>
        <v/>
      </c>
      <c r="D134" s="16" t="str">
        <f aca="false">IF($A134="","",'Dependency Register'!A135)</f>
        <v/>
      </c>
      <c r="E134" s="16" t="str">
        <f aca="false">IF($A134="","",'Dependency Register'!O135)</f>
        <v/>
      </c>
      <c r="F134" s="16" t="str">
        <f aca="false">IF($A134="","",'Dependency Register'!P135)</f>
        <v/>
      </c>
      <c r="G134" s="20" t="str">
        <f aca="false">IF($A134="","",IF('Dependency Register'!L135="","",'Dependency Register'!L135))</f>
        <v/>
      </c>
      <c r="H134" s="16" t="str">
        <f aca="true">IF($A134="","",IF($G134="","No Date",IF($G134&lt;TODAY(),"Past Due",IF($G134-TODAY()&lt;=30,"Due ≤30 Days","Later"))))</f>
        <v/>
      </c>
    </row>
    <row r="135" customFormat="false" ht="15" hidden="false" customHeight="true" outlineLevel="0" collapsed="false">
      <c r="A135" s="16" t="str">
        <f aca="false">IF('Dependency Register'!A136="","",'Dependency Register'!C136)</f>
        <v/>
      </c>
      <c r="B135" s="16" t="str">
        <f aca="false">IF($A135="","","Giving")</f>
        <v/>
      </c>
      <c r="C135" s="16" t="str">
        <f aca="false">IF($A135="","",'Dependency Register'!B136)</f>
        <v/>
      </c>
      <c r="D135" s="16" t="str">
        <f aca="false">IF($A135="","",'Dependency Register'!A136)</f>
        <v/>
      </c>
      <c r="E135" s="16" t="str">
        <f aca="false">IF($A135="","",'Dependency Register'!O136)</f>
        <v/>
      </c>
      <c r="F135" s="16" t="str">
        <f aca="false">IF($A135="","",'Dependency Register'!P136)</f>
        <v/>
      </c>
      <c r="G135" s="20" t="str">
        <f aca="false">IF($A135="","",IF('Dependency Register'!L136="","",'Dependency Register'!L136))</f>
        <v/>
      </c>
      <c r="H135" s="16" t="str">
        <f aca="true">IF($A135="","",IF($G135="","No Date",IF($G135&lt;TODAY(),"Past Due",IF($G135-TODAY()&lt;=30,"Due ≤30 Days","Later"))))</f>
        <v/>
      </c>
    </row>
    <row r="136" customFormat="false" ht="15" hidden="false" customHeight="true" outlineLevel="0" collapsed="false">
      <c r="A136" s="16" t="str">
        <f aca="false">IF('Dependency Register'!A137="","",'Dependency Register'!C137)</f>
        <v/>
      </c>
      <c r="B136" s="16" t="str">
        <f aca="false">IF($A136="","","Giving")</f>
        <v/>
      </c>
      <c r="C136" s="16" t="str">
        <f aca="false">IF($A136="","",'Dependency Register'!B137)</f>
        <v/>
      </c>
      <c r="D136" s="16" t="str">
        <f aca="false">IF($A136="","",'Dependency Register'!A137)</f>
        <v/>
      </c>
      <c r="E136" s="16" t="str">
        <f aca="false">IF($A136="","",'Dependency Register'!O137)</f>
        <v/>
      </c>
      <c r="F136" s="16" t="str">
        <f aca="false">IF($A136="","",'Dependency Register'!P137)</f>
        <v/>
      </c>
      <c r="G136" s="20" t="str">
        <f aca="false">IF($A136="","",IF('Dependency Register'!L137="","",'Dependency Register'!L137))</f>
        <v/>
      </c>
      <c r="H136" s="16" t="str">
        <f aca="true">IF($A136="","",IF($G136="","No Date",IF($G136&lt;TODAY(),"Past Due",IF($G136-TODAY()&lt;=30,"Due ≤30 Days","Later"))))</f>
        <v/>
      </c>
    </row>
    <row r="137" customFormat="false" ht="15" hidden="false" customHeight="true" outlineLevel="0" collapsed="false">
      <c r="A137" s="16" t="str">
        <f aca="false">IF('Dependency Register'!A138="","",'Dependency Register'!C138)</f>
        <v/>
      </c>
      <c r="B137" s="16" t="str">
        <f aca="false">IF($A137="","","Giving")</f>
        <v/>
      </c>
      <c r="C137" s="16" t="str">
        <f aca="false">IF($A137="","",'Dependency Register'!B138)</f>
        <v/>
      </c>
      <c r="D137" s="16" t="str">
        <f aca="false">IF($A137="","",'Dependency Register'!A138)</f>
        <v/>
      </c>
      <c r="E137" s="16" t="str">
        <f aca="false">IF($A137="","",'Dependency Register'!O138)</f>
        <v/>
      </c>
      <c r="F137" s="16" t="str">
        <f aca="false">IF($A137="","",'Dependency Register'!P138)</f>
        <v/>
      </c>
      <c r="G137" s="20" t="str">
        <f aca="false">IF($A137="","",IF('Dependency Register'!L138="","",'Dependency Register'!L138))</f>
        <v/>
      </c>
      <c r="H137" s="16" t="str">
        <f aca="true">IF($A137="","",IF($G137="","No Date",IF($G137&lt;TODAY(),"Past Due",IF($G137-TODAY()&lt;=30,"Due ≤30 Days","Later"))))</f>
        <v/>
      </c>
    </row>
    <row r="138" customFormat="false" ht="15" hidden="false" customHeight="true" outlineLevel="0" collapsed="false">
      <c r="A138" s="16" t="str">
        <f aca="false">IF('Dependency Register'!A139="","",'Dependency Register'!C139)</f>
        <v/>
      </c>
      <c r="B138" s="16" t="str">
        <f aca="false">IF($A138="","","Giving")</f>
        <v/>
      </c>
      <c r="C138" s="16" t="str">
        <f aca="false">IF($A138="","",'Dependency Register'!B139)</f>
        <v/>
      </c>
      <c r="D138" s="16" t="str">
        <f aca="false">IF($A138="","",'Dependency Register'!A139)</f>
        <v/>
      </c>
      <c r="E138" s="16" t="str">
        <f aca="false">IF($A138="","",'Dependency Register'!O139)</f>
        <v/>
      </c>
      <c r="F138" s="16" t="str">
        <f aca="false">IF($A138="","",'Dependency Register'!P139)</f>
        <v/>
      </c>
      <c r="G138" s="20" t="str">
        <f aca="false">IF($A138="","",IF('Dependency Register'!L139="","",'Dependency Register'!L139))</f>
        <v/>
      </c>
      <c r="H138" s="16" t="str">
        <f aca="true">IF($A138="","",IF($G138="","No Date",IF($G138&lt;TODAY(),"Past Due",IF($G138-TODAY()&lt;=30,"Due ≤30 Days","Later"))))</f>
        <v/>
      </c>
    </row>
    <row r="139" customFormat="false" ht="15" hidden="false" customHeight="true" outlineLevel="0" collapsed="false">
      <c r="A139" s="16" t="str">
        <f aca="false">IF('Dependency Register'!A140="","",'Dependency Register'!C140)</f>
        <v/>
      </c>
      <c r="B139" s="16" t="str">
        <f aca="false">IF($A139="","","Giving")</f>
        <v/>
      </c>
      <c r="C139" s="16" t="str">
        <f aca="false">IF($A139="","",'Dependency Register'!B140)</f>
        <v/>
      </c>
      <c r="D139" s="16" t="str">
        <f aca="false">IF($A139="","",'Dependency Register'!A140)</f>
        <v/>
      </c>
      <c r="E139" s="16" t="str">
        <f aca="false">IF($A139="","",'Dependency Register'!O140)</f>
        <v/>
      </c>
      <c r="F139" s="16" t="str">
        <f aca="false">IF($A139="","",'Dependency Register'!P140)</f>
        <v/>
      </c>
      <c r="G139" s="20" t="str">
        <f aca="false">IF($A139="","",IF('Dependency Register'!L140="","",'Dependency Register'!L140))</f>
        <v/>
      </c>
      <c r="H139" s="16" t="str">
        <f aca="true">IF($A139="","",IF($G139="","No Date",IF($G139&lt;TODAY(),"Past Due",IF($G139-TODAY()&lt;=30,"Due ≤30 Days","Later"))))</f>
        <v/>
      </c>
    </row>
    <row r="140" customFormat="false" ht="15" hidden="false" customHeight="true" outlineLevel="0" collapsed="false">
      <c r="A140" s="16" t="str">
        <f aca="false">IF('Dependency Register'!A141="","",'Dependency Register'!C141)</f>
        <v/>
      </c>
      <c r="B140" s="16" t="str">
        <f aca="false">IF($A140="","","Giving")</f>
        <v/>
      </c>
      <c r="C140" s="16" t="str">
        <f aca="false">IF($A140="","",'Dependency Register'!B141)</f>
        <v/>
      </c>
      <c r="D140" s="16" t="str">
        <f aca="false">IF($A140="","",'Dependency Register'!A141)</f>
        <v/>
      </c>
      <c r="E140" s="16" t="str">
        <f aca="false">IF($A140="","",'Dependency Register'!O141)</f>
        <v/>
      </c>
      <c r="F140" s="16" t="str">
        <f aca="false">IF($A140="","",'Dependency Register'!P141)</f>
        <v/>
      </c>
      <c r="G140" s="20" t="str">
        <f aca="false">IF($A140="","",IF('Dependency Register'!L141="","",'Dependency Register'!L141))</f>
        <v/>
      </c>
      <c r="H140" s="16" t="str">
        <f aca="true">IF($A140="","",IF($G140="","No Date",IF($G140&lt;TODAY(),"Past Due",IF($G140-TODAY()&lt;=30,"Due ≤30 Days","Later"))))</f>
        <v/>
      </c>
    </row>
    <row r="141" customFormat="false" ht="15" hidden="false" customHeight="true" outlineLevel="0" collapsed="false">
      <c r="A141" s="16" t="str">
        <f aca="false">IF('Dependency Register'!A142="","",'Dependency Register'!C142)</f>
        <v/>
      </c>
      <c r="B141" s="16" t="str">
        <f aca="false">IF($A141="","","Giving")</f>
        <v/>
      </c>
      <c r="C141" s="16" t="str">
        <f aca="false">IF($A141="","",'Dependency Register'!B142)</f>
        <v/>
      </c>
      <c r="D141" s="16" t="str">
        <f aca="false">IF($A141="","",'Dependency Register'!A142)</f>
        <v/>
      </c>
      <c r="E141" s="16" t="str">
        <f aca="false">IF($A141="","",'Dependency Register'!O142)</f>
        <v/>
      </c>
      <c r="F141" s="16" t="str">
        <f aca="false">IF($A141="","",'Dependency Register'!P142)</f>
        <v/>
      </c>
      <c r="G141" s="20" t="str">
        <f aca="false">IF($A141="","",IF('Dependency Register'!L142="","",'Dependency Register'!L142))</f>
        <v/>
      </c>
      <c r="H141" s="16" t="str">
        <f aca="true">IF($A141="","",IF($G141="","No Date",IF($G141&lt;TODAY(),"Past Due",IF($G141-TODAY()&lt;=30,"Due ≤30 Days","Later"))))</f>
        <v/>
      </c>
    </row>
    <row r="142" customFormat="false" ht="15" hidden="false" customHeight="true" outlineLevel="0" collapsed="false">
      <c r="A142" s="16" t="str">
        <f aca="false">IF('Dependency Register'!A143="","",'Dependency Register'!C143)</f>
        <v/>
      </c>
      <c r="B142" s="16" t="str">
        <f aca="false">IF($A142="","","Giving")</f>
        <v/>
      </c>
      <c r="C142" s="16" t="str">
        <f aca="false">IF($A142="","",'Dependency Register'!B143)</f>
        <v/>
      </c>
      <c r="D142" s="16" t="str">
        <f aca="false">IF($A142="","",'Dependency Register'!A143)</f>
        <v/>
      </c>
      <c r="E142" s="16" t="str">
        <f aca="false">IF($A142="","",'Dependency Register'!O143)</f>
        <v/>
      </c>
      <c r="F142" s="16" t="str">
        <f aca="false">IF($A142="","",'Dependency Register'!P143)</f>
        <v/>
      </c>
      <c r="G142" s="20" t="str">
        <f aca="false">IF($A142="","",IF('Dependency Register'!L143="","",'Dependency Register'!L143))</f>
        <v/>
      </c>
      <c r="H142" s="16" t="str">
        <f aca="true">IF($A142="","",IF($G142="","No Date",IF($G142&lt;TODAY(),"Past Due",IF($G142-TODAY()&lt;=30,"Due ≤30 Days","Later"))))</f>
        <v/>
      </c>
    </row>
    <row r="143" customFormat="false" ht="15" hidden="false" customHeight="true" outlineLevel="0" collapsed="false">
      <c r="A143" s="16" t="str">
        <f aca="false">IF('Dependency Register'!A144="","",'Dependency Register'!C144)</f>
        <v/>
      </c>
      <c r="B143" s="16" t="str">
        <f aca="false">IF($A143="","","Giving")</f>
        <v/>
      </c>
      <c r="C143" s="16" t="str">
        <f aca="false">IF($A143="","",'Dependency Register'!B144)</f>
        <v/>
      </c>
      <c r="D143" s="16" t="str">
        <f aca="false">IF($A143="","",'Dependency Register'!A144)</f>
        <v/>
      </c>
      <c r="E143" s="16" t="str">
        <f aca="false">IF($A143="","",'Dependency Register'!O144)</f>
        <v/>
      </c>
      <c r="F143" s="16" t="str">
        <f aca="false">IF($A143="","",'Dependency Register'!P144)</f>
        <v/>
      </c>
      <c r="G143" s="20" t="str">
        <f aca="false">IF($A143="","",IF('Dependency Register'!L144="","",'Dependency Register'!L144))</f>
        <v/>
      </c>
      <c r="H143" s="16" t="str">
        <f aca="true">IF($A143="","",IF($G143="","No Date",IF($G143&lt;TODAY(),"Past Due",IF($G143-TODAY()&lt;=30,"Due ≤30 Days","Later"))))</f>
        <v/>
      </c>
    </row>
    <row r="144" customFormat="false" ht="15" hidden="false" customHeight="true" outlineLevel="0" collapsed="false">
      <c r="A144" s="16" t="str">
        <f aca="false">IF('Dependency Register'!A145="","",'Dependency Register'!C145)</f>
        <v/>
      </c>
      <c r="B144" s="16" t="str">
        <f aca="false">IF($A144="","","Giving")</f>
        <v/>
      </c>
      <c r="C144" s="16" t="str">
        <f aca="false">IF($A144="","",'Dependency Register'!B145)</f>
        <v/>
      </c>
      <c r="D144" s="16" t="str">
        <f aca="false">IF($A144="","",'Dependency Register'!A145)</f>
        <v/>
      </c>
      <c r="E144" s="16" t="str">
        <f aca="false">IF($A144="","",'Dependency Register'!O145)</f>
        <v/>
      </c>
      <c r="F144" s="16" t="str">
        <f aca="false">IF($A144="","",'Dependency Register'!P145)</f>
        <v/>
      </c>
      <c r="G144" s="20" t="str">
        <f aca="false">IF($A144="","",IF('Dependency Register'!L145="","",'Dependency Register'!L145))</f>
        <v/>
      </c>
      <c r="H144" s="16" t="str">
        <f aca="true">IF($A144="","",IF($G144="","No Date",IF($G144&lt;TODAY(),"Past Due",IF($G144-TODAY()&lt;=30,"Due ≤30 Days","Later"))))</f>
        <v/>
      </c>
    </row>
    <row r="145" customFormat="false" ht="15" hidden="false" customHeight="true" outlineLevel="0" collapsed="false">
      <c r="A145" s="16" t="str">
        <f aca="false">IF('Dependency Register'!A146="","",'Dependency Register'!C146)</f>
        <v/>
      </c>
      <c r="B145" s="16" t="str">
        <f aca="false">IF($A145="","","Giving")</f>
        <v/>
      </c>
      <c r="C145" s="16" t="str">
        <f aca="false">IF($A145="","",'Dependency Register'!B146)</f>
        <v/>
      </c>
      <c r="D145" s="16" t="str">
        <f aca="false">IF($A145="","",'Dependency Register'!A146)</f>
        <v/>
      </c>
      <c r="E145" s="16" t="str">
        <f aca="false">IF($A145="","",'Dependency Register'!O146)</f>
        <v/>
      </c>
      <c r="F145" s="16" t="str">
        <f aca="false">IF($A145="","",'Dependency Register'!P146)</f>
        <v/>
      </c>
      <c r="G145" s="20" t="str">
        <f aca="false">IF($A145="","",IF('Dependency Register'!L146="","",'Dependency Register'!L146))</f>
        <v/>
      </c>
      <c r="H145" s="16" t="str">
        <f aca="true">IF($A145="","",IF($G145="","No Date",IF($G145&lt;TODAY(),"Past Due",IF($G145-TODAY()&lt;=30,"Due ≤30 Days","Later"))))</f>
        <v/>
      </c>
    </row>
    <row r="146" customFormat="false" ht="15" hidden="false" customHeight="true" outlineLevel="0" collapsed="false">
      <c r="A146" s="16" t="str">
        <f aca="false">IF('Dependency Register'!A147="","",'Dependency Register'!C147)</f>
        <v/>
      </c>
      <c r="B146" s="16" t="str">
        <f aca="false">IF($A146="","","Giving")</f>
        <v/>
      </c>
      <c r="C146" s="16" t="str">
        <f aca="false">IF($A146="","",'Dependency Register'!B147)</f>
        <v/>
      </c>
      <c r="D146" s="16" t="str">
        <f aca="false">IF($A146="","",'Dependency Register'!A147)</f>
        <v/>
      </c>
      <c r="E146" s="16" t="str">
        <f aca="false">IF($A146="","",'Dependency Register'!O147)</f>
        <v/>
      </c>
      <c r="F146" s="16" t="str">
        <f aca="false">IF($A146="","",'Dependency Register'!P147)</f>
        <v/>
      </c>
      <c r="G146" s="20" t="str">
        <f aca="false">IF($A146="","",IF('Dependency Register'!L147="","",'Dependency Register'!L147))</f>
        <v/>
      </c>
      <c r="H146" s="16" t="str">
        <f aca="true">IF($A146="","",IF($G146="","No Date",IF($G146&lt;TODAY(),"Past Due",IF($G146-TODAY()&lt;=30,"Due ≤30 Days","Later"))))</f>
        <v/>
      </c>
    </row>
    <row r="147" customFormat="false" ht="15" hidden="false" customHeight="true" outlineLevel="0" collapsed="false">
      <c r="A147" s="16" t="str">
        <f aca="false">IF('Dependency Register'!A148="","",'Dependency Register'!C148)</f>
        <v/>
      </c>
      <c r="B147" s="16" t="str">
        <f aca="false">IF($A147="","","Giving")</f>
        <v/>
      </c>
      <c r="C147" s="16" t="str">
        <f aca="false">IF($A147="","",'Dependency Register'!B148)</f>
        <v/>
      </c>
      <c r="D147" s="16" t="str">
        <f aca="false">IF($A147="","",'Dependency Register'!A148)</f>
        <v/>
      </c>
      <c r="E147" s="16" t="str">
        <f aca="false">IF($A147="","",'Dependency Register'!O148)</f>
        <v/>
      </c>
      <c r="F147" s="16" t="str">
        <f aca="false">IF($A147="","",'Dependency Register'!P148)</f>
        <v/>
      </c>
      <c r="G147" s="20" t="str">
        <f aca="false">IF($A147="","",IF('Dependency Register'!L148="","",'Dependency Register'!L148))</f>
        <v/>
      </c>
      <c r="H147" s="16" t="str">
        <f aca="true">IF($A147="","",IF($G147="","No Date",IF($G147&lt;TODAY(),"Past Due",IF($G147-TODAY()&lt;=30,"Due ≤30 Days","Later"))))</f>
        <v/>
      </c>
    </row>
    <row r="148" customFormat="false" ht="15" hidden="false" customHeight="true" outlineLevel="0" collapsed="false">
      <c r="A148" s="16" t="str">
        <f aca="false">IF('Dependency Register'!A149="","",'Dependency Register'!C149)</f>
        <v/>
      </c>
      <c r="B148" s="16" t="str">
        <f aca="false">IF($A148="","","Giving")</f>
        <v/>
      </c>
      <c r="C148" s="16" t="str">
        <f aca="false">IF($A148="","",'Dependency Register'!B149)</f>
        <v/>
      </c>
      <c r="D148" s="16" t="str">
        <f aca="false">IF($A148="","",'Dependency Register'!A149)</f>
        <v/>
      </c>
      <c r="E148" s="16" t="str">
        <f aca="false">IF($A148="","",'Dependency Register'!O149)</f>
        <v/>
      </c>
      <c r="F148" s="16" t="str">
        <f aca="false">IF($A148="","",'Dependency Register'!P149)</f>
        <v/>
      </c>
      <c r="G148" s="20" t="str">
        <f aca="false">IF($A148="","",IF('Dependency Register'!L149="","",'Dependency Register'!L149))</f>
        <v/>
      </c>
      <c r="H148" s="16" t="str">
        <f aca="true">IF($A148="","",IF($G148="","No Date",IF($G148&lt;TODAY(),"Past Due",IF($G148-TODAY()&lt;=30,"Due ≤30 Days","Later"))))</f>
        <v/>
      </c>
    </row>
    <row r="149" customFormat="false" ht="15" hidden="false" customHeight="true" outlineLevel="0" collapsed="false">
      <c r="A149" s="16" t="str">
        <f aca="false">IF('Dependency Register'!A150="","",'Dependency Register'!C150)</f>
        <v/>
      </c>
      <c r="B149" s="16" t="str">
        <f aca="false">IF($A149="","","Giving")</f>
        <v/>
      </c>
      <c r="C149" s="16" t="str">
        <f aca="false">IF($A149="","",'Dependency Register'!B150)</f>
        <v/>
      </c>
      <c r="D149" s="16" t="str">
        <f aca="false">IF($A149="","",'Dependency Register'!A150)</f>
        <v/>
      </c>
      <c r="E149" s="16" t="str">
        <f aca="false">IF($A149="","",'Dependency Register'!O150)</f>
        <v/>
      </c>
      <c r="F149" s="16" t="str">
        <f aca="false">IF($A149="","",'Dependency Register'!P150)</f>
        <v/>
      </c>
      <c r="G149" s="20" t="str">
        <f aca="false">IF($A149="","",IF('Dependency Register'!L150="","",'Dependency Register'!L150))</f>
        <v/>
      </c>
      <c r="H149" s="16" t="str">
        <f aca="true">IF($A149="","",IF($G149="","No Date",IF($G149&lt;TODAY(),"Past Due",IF($G149-TODAY()&lt;=30,"Due ≤30 Days","Later"))))</f>
        <v/>
      </c>
    </row>
    <row r="150" customFormat="false" ht="15" hidden="false" customHeight="true" outlineLevel="0" collapsed="false">
      <c r="A150" s="16" t="str">
        <f aca="false">IF('Dependency Register'!A151="","",'Dependency Register'!C151)</f>
        <v/>
      </c>
      <c r="B150" s="16" t="str">
        <f aca="false">IF($A150="","","Giving")</f>
        <v/>
      </c>
      <c r="C150" s="16" t="str">
        <f aca="false">IF($A150="","",'Dependency Register'!B151)</f>
        <v/>
      </c>
      <c r="D150" s="16" t="str">
        <f aca="false">IF($A150="","",'Dependency Register'!A151)</f>
        <v/>
      </c>
      <c r="E150" s="16" t="str">
        <f aca="false">IF($A150="","",'Dependency Register'!O151)</f>
        <v/>
      </c>
      <c r="F150" s="16" t="str">
        <f aca="false">IF($A150="","",'Dependency Register'!P151)</f>
        <v/>
      </c>
      <c r="G150" s="20" t="str">
        <f aca="false">IF($A150="","",IF('Dependency Register'!L151="","",'Dependency Register'!L151))</f>
        <v/>
      </c>
      <c r="H150" s="16" t="str">
        <f aca="true">IF($A150="","",IF($G150="","No Date",IF($G150&lt;TODAY(),"Past Due",IF($G150-TODAY()&lt;=30,"Due ≤30 Days","Later"))))</f>
        <v/>
      </c>
    </row>
    <row r="151" customFormat="false" ht="15" hidden="false" customHeight="true" outlineLevel="0" collapsed="false">
      <c r="A151" s="16" t="str">
        <f aca="false">IF('Dependency Register'!A152="","",'Dependency Register'!C152)</f>
        <v/>
      </c>
      <c r="B151" s="16" t="str">
        <f aca="false">IF($A151="","","Giving")</f>
        <v/>
      </c>
      <c r="C151" s="16" t="str">
        <f aca="false">IF($A151="","",'Dependency Register'!B152)</f>
        <v/>
      </c>
      <c r="D151" s="16" t="str">
        <f aca="false">IF($A151="","",'Dependency Register'!A152)</f>
        <v/>
      </c>
      <c r="E151" s="16" t="str">
        <f aca="false">IF($A151="","",'Dependency Register'!O152)</f>
        <v/>
      </c>
      <c r="F151" s="16" t="str">
        <f aca="false">IF($A151="","",'Dependency Register'!P152)</f>
        <v/>
      </c>
      <c r="G151" s="20" t="str">
        <f aca="false">IF($A151="","",IF('Dependency Register'!L152="","",'Dependency Register'!L152))</f>
        <v/>
      </c>
      <c r="H151" s="16" t="str">
        <f aca="true">IF($A151="","",IF($G151="","No Date",IF($G151&lt;TODAY(),"Past Due",IF($G151-TODAY()&lt;=30,"Due ≤30 Days","Later"))))</f>
        <v/>
      </c>
    </row>
    <row r="152" customFormat="false" ht="15" hidden="false" customHeight="true" outlineLevel="0" collapsed="false">
      <c r="A152" s="16" t="str">
        <f aca="false">IF('Dependency Register'!A3="","",'Dependency Register'!E3)</f>
        <v>SailPoint IGA</v>
      </c>
      <c r="B152" s="16" t="str">
        <f aca="false">IF($A152="","","Receiving")</f>
        <v>Receiving</v>
      </c>
      <c r="C152" s="16" t="str">
        <f aca="false">IF($A152="","",'Dependency Register'!B3)</f>
        <v>Needs</v>
      </c>
      <c r="D152" s="16" t="str">
        <f aca="false">IF($A152="","",'Dependency Register'!A3)</f>
        <v>DEP-01</v>
      </c>
      <c r="E152" s="16" t="str">
        <f aca="false">IF($A152="","",'Dependency Register'!O3)</f>
        <v>Committed</v>
      </c>
      <c r="F152" s="16" t="str">
        <f aca="false">IF($A152="","",'Dependency Register'!P3)</f>
        <v>On Track</v>
      </c>
      <c r="G152" s="20" t="n">
        <f aca="false">IF($A152="","",IF('Dependency Register'!L3="","",'Dependency Register'!L3))</f>
        <v>47559</v>
      </c>
      <c r="H152" s="16" t="str">
        <f aca="true">IF($A152="","",IF($G152="","No Date",IF($G152&lt;TODAY(),"Past Due",IF($G152-TODAY()&lt;=30,"Due ≤30 Days","Later"))))</f>
        <v>Later</v>
      </c>
    </row>
    <row r="153" customFormat="false" ht="15" hidden="false" customHeight="true" outlineLevel="0" collapsed="false">
      <c r="A153" s="16" t="str">
        <f aca="false">IF('Dependency Register'!A4="","",'Dependency Register'!E4)</f>
        <v>Service Desk / ITSM Tooling</v>
      </c>
      <c r="B153" s="16" t="str">
        <f aca="false">IF($A153="","","Receiving")</f>
        <v>Receiving</v>
      </c>
      <c r="C153" s="16" t="str">
        <f aca="false">IF($A153="","",'Dependency Register'!B4)</f>
        <v>Feeds</v>
      </c>
      <c r="D153" s="16" t="str">
        <f aca="false">IF($A153="","",'Dependency Register'!A4)</f>
        <v>DEP-02</v>
      </c>
      <c r="E153" s="16" t="str">
        <f aca="false">IF($A153="","",'Dependency Register'!O4)</f>
        <v>Committed</v>
      </c>
      <c r="F153" s="16" t="str">
        <f aca="false">IF($A153="","",'Dependency Register'!P4)</f>
        <v>At Risk</v>
      </c>
      <c r="G153" s="20" t="n">
        <f aca="false">IF($A153="","",IF('Dependency Register'!L4="","",'Dependency Register'!L4))</f>
        <v>47618</v>
      </c>
      <c r="H153" s="16" t="str">
        <f aca="true">IF($A153="","",IF($G153="","No Date",IF($G153&lt;TODAY(),"Past Due",IF($G153-TODAY()&lt;=30,"Due ≤30 Days","Later"))))</f>
        <v>Later</v>
      </c>
    </row>
    <row r="154" customFormat="false" ht="15" hidden="false" customHeight="true" outlineLevel="0" collapsed="false">
      <c r="A154" s="16" t="str">
        <f aca="false">IF('Dependency Register'!A5="","",'Dependency Register'!E5)</f>
        <v>CyberArk PAM</v>
      </c>
      <c r="B154" s="16" t="str">
        <f aca="false">IF($A154="","","Receiving")</f>
        <v>Receiving</v>
      </c>
      <c r="C154" s="16" t="str">
        <f aca="false">IF($A154="","",'Dependency Register'!B5)</f>
        <v>Internal</v>
      </c>
      <c r="D154" s="16" t="str">
        <f aca="false">IF($A154="","",'Dependency Register'!A5)</f>
        <v>DEP-03</v>
      </c>
      <c r="E154" s="16" t="str">
        <f aca="false">IF($A154="","",'Dependency Register'!O5)</f>
        <v>Negotiating</v>
      </c>
      <c r="F154" s="16" t="str">
        <f aca="false">IF($A154="","",'Dependency Register'!P5)</f>
        <v>Uncommitted</v>
      </c>
      <c r="G154" s="20" t="n">
        <f aca="false">IF($A154="","",IF('Dependency Register'!L5="","",'Dependency Register'!L5))</f>
        <v>47538</v>
      </c>
      <c r="H154" s="16" t="str">
        <f aca="true">IF($A154="","",IF($G154="","No Date",IF($G154&lt;TODAY(),"Past Due",IF($G154-TODAY()&lt;=30,"Due ≤30 Days","Later"))))</f>
        <v>Later</v>
      </c>
    </row>
    <row r="155" customFormat="false" ht="15" hidden="false" customHeight="true" outlineLevel="0" collapsed="false">
      <c r="A155" s="16" t="str">
        <f aca="false">IF('Dependency Register'!A6="","",'Dependency Register'!E6)</f>
        <v/>
      </c>
      <c r="B155" s="16" t="str">
        <f aca="false">IF($A155="","","Receiving")</f>
        <v/>
      </c>
      <c r="C155" s="16" t="str">
        <f aca="false">IF($A155="","",'Dependency Register'!B6)</f>
        <v/>
      </c>
      <c r="D155" s="16" t="str">
        <f aca="false">IF($A155="","",'Dependency Register'!A6)</f>
        <v/>
      </c>
      <c r="E155" s="16" t="str">
        <f aca="false">IF($A155="","",'Dependency Register'!O6)</f>
        <v/>
      </c>
      <c r="F155" s="16" t="str">
        <f aca="false">IF($A155="","",'Dependency Register'!P6)</f>
        <v/>
      </c>
      <c r="G155" s="20" t="str">
        <f aca="false">IF($A155="","",IF('Dependency Register'!L6="","",'Dependency Register'!L6))</f>
        <v/>
      </c>
      <c r="H155" s="16" t="str">
        <f aca="true">IF($A155="","",IF($G155="","No Date",IF($G155&lt;TODAY(),"Past Due",IF($G155-TODAY()&lt;=30,"Due ≤30 Days","Later"))))</f>
        <v/>
      </c>
    </row>
    <row r="156" customFormat="false" ht="15" hidden="false" customHeight="true" outlineLevel="0" collapsed="false">
      <c r="A156" s="16" t="str">
        <f aca="false">IF('Dependency Register'!A7="","",'Dependency Register'!E7)</f>
        <v/>
      </c>
      <c r="B156" s="16" t="str">
        <f aca="false">IF($A156="","","Receiving")</f>
        <v/>
      </c>
      <c r="C156" s="16" t="str">
        <f aca="false">IF($A156="","",'Dependency Register'!B7)</f>
        <v/>
      </c>
      <c r="D156" s="16" t="str">
        <f aca="false">IF($A156="","",'Dependency Register'!A7)</f>
        <v/>
      </c>
      <c r="E156" s="16" t="str">
        <f aca="false">IF($A156="","",'Dependency Register'!O7)</f>
        <v/>
      </c>
      <c r="F156" s="16" t="str">
        <f aca="false">IF($A156="","",'Dependency Register'!P7)</f>
        <v/>
      </c>
      <c r="G156" s="20" t="str">
        <f aca="false">IF($A156="","",IF('Dependency Register'!L7="","",'Dependency Register'!L7))</f>
        <v/>
      </c>
      <c r="H156" s="16" t="str">
        <f aca="true">IF($A156="","",IF($G156="","No Date",IF($G156&lt;TODAY(),"Past Due",IF($G156-TODAY()&lt;=30,"Due ≤30 Days","Later"))))</f>
        <v/>
      </c>
    </row>
    <row r="157" customFormat="false" ht="15" hidden="false" customHeight="true" outlineLevel="0" collapsed="false">
      <c r="A157" s="16" t="str">
        <f aca="false">IF('Dependency Register'!A8="","",'Dependency Register'!E8)</f>
        <v/>
      </c>
      <c r="B157" s="16" t="str">
        <f aca="false">IF($A157="","","Receiving")</f>
        <v/>
      </c>
      <c r="C157" s="16" t="str">
        <f aca="false">IF($A157="","",'Dependency Register'!B8)</f>
        <v/>
      </c>
      <c r="D157" s="16" t="str">
        <f aca="false">IF($A157="","",'Dependency Register'!A8)</f>
        <v/>
      </c>
      <c r="E157" s="16" t="str">
        <f aca="false">IF($A157="","",'Dependency Register'!O8)</f>
        <v/>
      </c>
      <c r="F157" s="16" t="str">
        <f aca="false">IF($A157="","",'Dependency Register'!P8)</f>
        <v/>
      </c>
      <c r="G157" s="20" t="str">
        <f aca="false">IF($A157="","",IF('Dependency Register'!L8="","",'Dependency Register'!L8))</f>
        <v/>
      </c>
      <c r="H157" s="16" t="str">
        <f aca="true">IF($A157="","",IF($G157="","No Date",IF($G157&lt;TODAY(),"Past Due",IF($G157-TODAY()&lt;=30,"Due ≤30 Days","Later"))))</f>
        <v/>
      </c>
    </row>
    <row r="158" customFormat="false" ht="15" hidden="false" customHeight="true" outlineLevel="0" collapsed="false">
      <c r="A158" s="16" t="str">
        <f aca="false">IF('Dependency Register'!A9="","",'Dependency Register'!E9)</f>
        <v/>
      </c>
      <c r="B158" s="16" t="str">
        <f aca="false">IF($A158="","","Receiving")</f>
        <v/>
      </c>
      <c r="C158" s="16" t="str">
        <f aca="false">IF($A158="","",'Dependency Register'!B9)</f>
        <v/>
      </c>
      <c r="D158" s="16" t="str">
        <f aca="false">IF($A158="","",'Dependency Register'!A9)</f>
        <v/>
      </c>
      <c r="E158" s="16" t="str">
        <f aca="false">IF($A158="","",'Dependency Register'!O9)</f>
        <v/>
      </c>
      <c r="F158" s="16" t="str">
        <f aca="false">IF($A158="","",'Dependency Register'!P9)</f>
        <v/>
      </c>
      <c r="G158" s="20" t="str">
        <f aca="false">IF($A158="","",IF('Dependency Register'!L9="","",'Dependency Register'!L9))</f>
        <v/>
      </c>
      <c r="H158" s="16" t="str">
        <f aca="true">IF($A158="","",IF($G158="","No Date",IF($G158&lt;TODAY(),"Past Due",IF($G158-TODAY()&lt;=30,"Due ≤30 Days","Later"))))</f>
        <v/>
      </c>
    </row>
    <row r="159" customFormat="false" ht="15" hidden="false" customHeight="true" outlineLevel="0" collapsed="false">
      <c r="A159" s="16" t="str">
        <f aca="false">IF('Dependency Register'!A10="","",'Dependency Register'!E10)</f>
        <v/>
      </c>
      <c r="B159" s="16" t="str">
        <f aca="false">IF($A159="","","Receiving")</f>
        <v/>
      </c>
      <c r="C159" s="16" t="str">
        <f aca="false">IF($A159="","",'Dependency Register'!B10)</f>
        <v/>
      </c>
      <c r="D159" s="16" t="str">
        <f aca="false">IF($A159="","",'Dependency Register'!A10)</f>
        <v/>
      </c>
      <c r="E159" s="16" t="str">
        <f aca="false">IF($A159="","",'Dependency Register'!O10)</f>
        <v/>
      </c>
      <c r="F159" s="16" t="str">
        <f aca="false">IF($A159="","",'Dependency Register'!P10)</f>
        <v/>
      </c>
      <c r="G159" s="20" t="str">
        <f aca="false">IF($A159="","",IF('Dependency Register'!L10="","",'Dependency Register'!L10))</f>
        <v/>
      </c>
      <c r="H159" s="16" t="str">
        <f aca="true">IF($A159="","",IF($G159="","No Date",IF($G159&lt;TODAY(),"Past Due",IF($G159-TODAY()&lt;=30,"Due ≤30 Days","Later"))))</f>
        <v/>
      </c>
    </row>
    <row r="160" customFormat="false" ht="15" hidden="false" customHeight="true" outlineLevel="0" collapsed="false">
      <c r="A160" s="16" t="str">
        <f aca="false">IF('Dependency Register'!A11="","",'Dependency Register'!E11)</f>
        <v/>
      </c>
      <c r="B160" s="16" t="str">
        <f aca="false">IF($A160="","","Receiving")</f>
        <v/>
      </c>
      <c r="C160" s="16" t="str">
        <f aca="false">IF($A160="","",'Dependency Register'!B11)</f>
        <v/>
      </c>
      <c r="D160" s="16" t="str">
        <f aca="false">IF($A160="","",'Dependency Register'!A11)</f>
        <v/>
      </c>
      <c r="E160" s="16" t="str">
        <f aca="false">IF($A160="","",'Dependency Register'!O11)</f>
        <v/>
      </c>
      <c r="F160" s="16" t="str">
        <f aca="false">IF($A160="","",'Dependency Register'!P11)</f>
        <v/>
      </c>
      <c r="G160" s="20" t="str">
        <f aca="false">IF($A160="","",IF('Dependency Register'!L11="","",'Dependency Register'!L11))</f>
        <v/>
      </c>
      <c r="H160" s="16" t="str">
        <f aca="true">IF($A160="","",IF($G160="","No Date",IF($G160&lt;TODAY(),"Past Due",IF($G160-TODAY()&lt;=30,"Due ≤30 Days","Later"))))</f>
        <v/>
      </c>
    </row>
    <row r="161" customFormat="false" ht="15" hidden="false" customHeight="true" outlineLevel="0" collapsed="false">
      <c r="A161" s="16" t="str">
        <f aca="false">IF('Dependency Register'!A12="","",'Dependency Register'!E12)</f>
        <v/>
      </c>
      <c r="B161" s="16" t="str">
        <f aca="false">IF($A161="","","Receiving")</f>
        <v/>
      </c>
      <c r="C161" s="16" t="str">
        <f aca="false">IF($A161="","",'Dependency Register'!B12)</f>
        <v/>
      </c>
      <c r="D161" s="16" t="str">
        <f aca="false">IF($A161="","",'Dependency Register'!A12)</f>
        <v/>
      </c>
      <c r="E161" s="16" t="str">
        <f aca="false">IF($A161="","",'Dependency Register'!O12)</f>
        <v/>
      </c>
      <c r="F161" s="16" t="str">
        <f aca="false">IF($A161="","",'Dependency Register'!P12)</f>
        <v/>
      </c>
      <c r="G161" s="20" t="str">
        <f aca="false">IF($A161="","",IF('Dependency Register'!L12="","",'Dependency Register'!L12))</f>
        <v/>
      </c>
      <c r="H161" s="16" t="str">
        <f aca="true">IF($A161="","",IF($G161="","No Date",IF($G161&lt;TODAY(),"Past Due",IF($G161-TODAY()&lt;=30,"Due ≤30 Days","Later"))))</f>
        <v/>
      </c>
    </row>
    <row r="162" customFormat="false" ht="15" hidden="false" customHeight="true" outlineLevel="0" collapsed="false">
      <c r="A162" s="16" t="str">
        <f aca="false">IF('Dependency Register'!A13="","",'Dependency Register'!E13)</f>
        <v/>
      </c>
      <c r="B162" s="16" t="str">
        <f aca="false">IF($A162="","","Receiving")</f>
        <v/>
      </c>
      <c r="C162" s="16" t="str">
        <f aca="false">IF($A162="","",'Dependency Register'!B13)</f>
        <v/>
      </c>
      <c r="D162" s="16" t="str">
        <f aca="false">IF($A162="","",'Dependency Register'!A13)</f>
        <v/>
      </c>
      <c r="E162" s="16" t="str">
        <f aca="false">IF($A162="","",'Dependency Register'!O13)</f>
        <v/>
      </c>
      <c r="F162" s="16" t="str">
        <f aca="false">IF($A162="","",'Dependency Register'!P13)</f>
        <v/>
      </c>
      <c r="G162" s="20" t="str">
        <f aca="false">IF($A162="","",IF('Dependency Register'!L13="","",'Dependency Register'!L13))</f>
        <v/>
      </c>
      <c r="H162" s="16" t="str">
        <f aca="true">IF($A162="","",IF($G162="","No Date",IF($G162&lt;TODAY(),"Past Due",IF($G162-TODAY()&lt;=30,"Due ≤30 Days","Later"))))</f>
        <v/>
      </c>
    </row>
    <row r="163" customFormat="false" ht="15" hidden="false" customHeight="true" outlineLevel="0" collapsed="false">
      <c r="A163" s="16" t="str">
        <f aca="false">IF('Dependency Register'!A14="","",'Dependency Register'!E14)</f>
        <v/>
      </c>
      <c r="B163" s="16" t="str">
        <f aca="false">IF($A163="","","Receiving")</f>
        <v/>
      </c>
      <c r="C163" s="16" t="str">
        <f aca="false">IF($A163="","",'Dependency Register'!B14)</f>
        <v/>
      </c>
      <c r="D163" s="16" t="str">
        <f aca="false">IF($A163="","",'Dependency Register'!A14)</f>
        <v/>
      </c>
      <c r="E163" s="16" t="str">
        <f aca="false">IF($A163="","",'Dependency Register'!O14)</f>
        <v/>
      </c>
      <c r="F163" s="16" t="str">
        <f aca="false">IF($A163="","",'Dependency Register'!P14)</f>
        <v/>
      </c>
      <c r="G163" s="20" t="str">
        <f aca="false">IF($A163="","",IF('Dependency Register'!L14="","",'Dependency Register'!L14))</f>
        <v/>
      </c>
      <c r="H163" s="16" t="str">
        <f aca="true">IF($A163="","",IF($G163="","No Date",IF($G163&lt;TODAY(),"Past Due",IF($G163-TODAY()&lt;=30,"Due ≤30 Days","Later"))))</f>
        <v/>
      </c>
    </row>
    <row r="164" customFormat="false" ht="15" hidden="false" customHeight="true" outlineLevel="0" collapsed="false">
      <c r="A164" s="16" t="str">
        <f aca="false">IF('Dependency Register'!A15="","",'Dependency Register'!E15)</f>
        <v/>
      </c>
      <c r="B164" s="16" t="str">
        <f aca="false">IF($A164="","","Receiving")</f>
        <v/>
      </c>
      <c r="C164" s="16" t="str">
        <f aca="false">IF($A164="","",'Dependency Register'!B15)</f>
        <v/>
      </c>
      <c r="D164" s="16" t="str">
        <f aca="false">IF($A164="","",'Dependency Register'!A15)</f>
        <v/>
      </c>
      <c r="E164" s="16" t="str">
        <f aca="false">IF($A164="","",'Dependency Register'!O15)</f>
        <v/>
      </c>
      <c r="F164" s="16" t="str">
        <f aca="false">IF($A164="","",'Dependency Register'!P15)</f>
        <v/>
      </c>
      <c r="G164" s="20" t="str">
        <f aca="false">IF($A164="","",IF('Dependency Register'!L15="","",'Dependency Register'!L15))</f>
        <v/>
      </c>
      <c r="H164" s="16" t="str">
        <f aca="true">IF($A164="","",IF($G164="","No Date",IF($G164&lt;TODAY(),"Past Due",IF($G164-TODAY()&lt;=30,"Due ≤30 Days","Later"))))</f>
        <v/>
      </c>
    </row>
    <row r="165" customFormat="false" ht="15" hidden="false" customHeight="true" outlineLevel="0" collapsed="false">
      <c r="A165" s="16" t="str">
        <f aca="false">IF('Dependency Register'!A16="","",'Dependency Register'!E16)</f>
        <v/>
      </c>
      <c r="B165" s="16" t="str">
        <f aca="false">IF($A165="","","Receiving")</f>
        <v/>
      </c>
      <c r="C165" s="16" t="str">
        <f aca="false">IF($A165="","",'Dependency Register'!B16)</f>
        <v/>
      </c>
      <c r="D165" s="16" t="str">
        <f aca="false">IF($A165="","",'Dependency Register'!A16)</f>
        <v/>
      </c>
      <c r="E165" s="16" t="str">
        <f aca="false">IF($A165="","",'Dependency Register'!O16)</f>
        <v/>
      </c>
      <c r="F165" s="16" t="str">
        <f aca="false">IF($A165="","",'Dependency Register'!P16)</f>
        <v/>
      </c>
      <c r="G165" s="20" t="str">
        <f aca="false">IF($A165="","",IF('Dependency Register'!L16="","",'Dependency Register'!L16))</f>
        <v/>
      </c>
      <c r="H165" s="16" t="str">
        <f aca="true">IF($A165="","",IF($G165="","No Date",IF($G165&lt;TODAY(),"Past Due",IF($G165-TODAY()&lt;=30,"Due ≤30 Days","Later"))))</f>
        <v/>
      </c>
    </row>
    <row r="166" customFormat="false" ht="15" hidden="false" customHeight="true" outlineLevel="0" collapsed="false">
      <c r="A166" s="16" t="str">
        <f aca="false">IF('Dependency Register'!A17="","",'Dependency Register'!E17)</f>
        <v/>
      </c>
      <c r="B166" s="16" t="str">
        <f aca="false">IF($A166="","","Receiving")</f>
        <v/>
      </c>
      <c r="C166" s="16" t="str">
        <f aca="false">IF($A166="","",'Dependency Register'!B17)</f>
        <v/>
      </c>
      <c r="D166" s="16" t="str">
        <f aca="false">IF($A166="","",'Dependency Register'!A17)</f>
        <v/>
      </c>
      <c r="E166" s="16" t="str">
        <f aca="false">IF($A166="","",'Dependency Register'!O17)</f>
        <v/>
      </c>
      <c r="F166" s="16" t="str">
        <f aca="false">IF($A166="","",'Dependency Register'!P17)</f>
        <v/>
      </c>
      <c r="G166" s="20" t="str">
        <f aca="false">IF($A166="","",IF('Dependency Register'!L17="","",'Dependency Register'!L17))</f>
        <v/>
      </c>
      <c r="H166" s="16" t="str">
        <f aca="true">IF($A166="","",IF($G166="","No Date",IF($G166&lt;TODAY(),"Past Due",IF($G166-TODAY()&lt;=30,"Due ≤30 Days","Later"))))</f>
        <v/>
      </c>
    </row>
    <row r="167" customFormat="false" ht="15" hidden="false" customHeight="true" outlineLevel="0" collapsed="false">
      <c r="A167" s="16" t="str">
        <f aca="false">IF('Dependency Register'!A18="","",'Dependency Register'!E18)</f>
        <v/>
      </c>
      <c r="B167" s="16" t="str">
        <f aca="false">IF($A167="","","Receiving")</f>
        <v/>
      </c>
      <c r="C167" s="16" t="str">
        <f aca="false">IF($A167="","",'Dependency Register'!B18)</f>
        <v/>
      </c>
      <c r="D167" s="16" t="str">
        <f aca="false">IF($A167="","",'Dependency Register'!A18)</f>
        <v/>
      </c>
      <c r="E167" s="16" t="str">
        <f aca="false">IF($A167="","",'Dependency Register'!O18)</f>
        <v/>
      </c>
      <c r="F167" s="16" t="str">
        <f aca="false">IF($A167="","",'Dependency Register'!P18)</f>
        <v/>
      </c>
      <c r="G167" s="20" t="str">
        <f aca="false">IF($A167="","",IF('Dependency Register'!L18="","",'Dependency Register'!L18))</f>
        <v/>
      </c>
      <c r="H167" s="16" t="str">
        <f aca="true">IF($A167="","",IF($G167="","No Date",IF($G167&lt;TODAY(),"Past Due",IF($G167-TODAY()&lt;=30,"Due ≤30 Days","Later"))))</f>
        <v/>
      </c>
    </row>
    <row r="168" customFormat="false" ht="15" hidden="false" customHeight="true" outlineLevel="0" collapsed="false">
      <c r="A168" s="16" t="str">
        <f aca="false">IF('Dependency Register'!A19="","",'Dependency Register'!E19)</f>
        <v/>
      </c>
      <c r="B168" s="16" t="str">
        <f aca="false">IF($A168="","","Receiving")</f>
        <v/>
      </c>
      <c r="C168" s="16" t="str">
        <f aca="false">IF($A168="","",'Dependency Register'!B19)</f>
        <v/>
      </c>
      <c r="D168" s="16" t="str">
        <f aca="false">IF($A168="","",'Dependency Register'!A19)</f>
        <v/>
      </c>
      <c r="E168" s="16" t="str">
        <f aca="false">IF($A168="","",'Dependency Register'!O19)</f>
        <v/>
      </c>
      <c r="F168" s="16" t="str">
        <f aca="false">IF($A168="","",'Dependency Register'!P19)</f>
        <v/>
      </c>
      <c r="G168" s="20" t="str">
        <f aca="false">IF($A168="","",IF('Dependency Register'!L19="","",'Dependency Register'!L19))</f>
        <v/>
      </c>
      <c r="H168" s="16" t="str">
        <f aca="true">IF($A168="","",IF($G168="","No Date",IF($G168&lt;TODAY(),"Past Due",IF($G168-TODAY()&lt;=30,"Due ≤30 Days","Later"))))</f>
        <v/>
      </c>
    </row>
    <row r="169" customFormat="false" ht="15" hidden="false" customHeight="true" outlineLevel="0" collapsed="false">
      <c r="A169" s="16" t="str">
        <f aca="false">IF('Dependency Register'!A20="","",'Dependency Register'!E20)</f>
        <v/>
      </c>
      <c r="B169" s="16" t="str">
        <f aca="false">IF($A169="","","Receiving")</f>
        <v/>
      </c>
      <c r="C169" s="16" t="str">
        <f aca="false">IF($A169="","",'Dependency Register'!B20)</f>
        <v/>
      </c>
      <c r="D169" s="16" t="str">
        <f aca="false">IF($A169="","",'Dependency Register'!A20)</f>
        <v/>
      </c>
      <c r="E169" s="16" t="str">
        <f aca="false">IF($A169="","",'Dependency Register'!O20)</f>
        <v/>
      </c>
      <c r="F169" s="16" t="str">
        <f aca="false">IF($A169="","",'Dependency Register'!P20)</f>
        <v/>
      </c>
      <c r="G169" s="20" t="str">
        <f aca="false">IF($A169="","",IF('Dependency Register'!L20="","",'Dependency Register'!L20))</f>
        <v/>
      </c>
      <c r="H169" s="16" t="str">
        <f aca="true">IF($A169="","",IF($G169="","No Date",IF($G169&lt;TODAY(),"Past Due",IF($G169-TODAY()&lt;=30,"Due ≤30 Days","Later"))))</f>
        <v/>
      </c>
    </row>
    <row r="170" customFormat="false" ht="15" hidden="false" customHeight="true" outlineLevel="0" collapsed="false">
      <c r="A170" s="16" t="str">
        <f aca="false">IF('Dependency Register'!A21="","",'Dependency Register'!E21)</f>
        <v/>
      </c>
      <c r="B170" s="16" t="str">
        <f aca="false">IF($A170="","","Receiving")</f>
        <v/>
      </c>
      <c r="C170" s="16" t="str">
        <f aca="false">IF($A170="","",'Dependency Register'!B21)</f>
        <v/>
      </c>
      <c r="D170" s="16" t="str">
        <f aca="false">IF($A170="","",'Dependency Register'!A21)</f>
        <v/>
      </c>
      <c r="E170" s="16" t="str">
        <f aca="false">IF($A170="","",'Dependency Register'!O21)</f>
        <v/>
      </c>
      <c r="F170" s="16" t="str">
        <f aca="false">IF($A170="","",'Dependency Register'!P21)</f>
        <v/>
      </c>
      <c r="G170" s="20" t="str">
        <f aca="false">IF($A170="","",IF('Dependency Register'!L21="","",'Dependency Register'!L21))</f>
        <v/>
      </c>
      <c r="H170" s="16" t="str">
        <f aca="true">IF($A170="","",IF($G170="","No Date",IF($G170&lt;TODAY(),"Past Due",IF($G170-TODAY()&lt;=30,"Due ≤30 Days","Later"))))</f>
        <v/>
      </c>
    </row>
    <row r="171" customFormat="false" ht="15" hidden="false" customHeight="true" outlineLevel="0" collapsed="false">
      <c r="A171" s="16" t="str">
        <f aca="false">IF('Dependency Register'!A22="","",'Dependency Register'!E22)</f>
        <v/>
      </c>
      <c r="B171" s="16" t="str">
        <f aca="false">IF($A171="","","Receiving")</f>
        <v/>
      </c>
      <c r="C171" s="16" t="str">
        <f aca="false">IF($A171="","",'Dependency Register'!B22)</f>
        <v/>
      </c>
      <c r="D171" s="16" t="str">
        <f aca="false">IF($A171="","",'Dependency Register'!A22)</f>
        <v/>
      </c>
      <c r="E171" s="16" t="str">
        <f aca="false">IF($A171="","",'Dependency Register'!O22)</f>
        <v/>
      </c>
      <c r="F171" s="16" t="str">
        <f aca="false">IF($A171="","",'Dependency Register'!P22)</f>
        <v/>
      </c>
      <c r="G171" s="20" t="str">
        <f aca="false">IF($A171="","",IF('Dependency Register'!L22="","",'Dependency Register'!L22))</f>
        <v/>
      </c>
      <c r="H171" s="16" t="str">
        <f aca="true">IF($A171="","",IF($G171="","No Date",IF($G171&lt;TODAY(),"Past Due",IF($G171-TODAY()&lt;=30,"Due ≤30 Days","Later"))))</f>
        <v/>
      </c>
    </row>
    <row r="172" customFormat="false" ht="15" hidden="false" customHeight="true" outlineLevel="0" collapsed="false">
      <c r="A172" s="16" t="str">
        <f aca="false">IF('Dependency Register'!A23="","",'Dependency Register'!E23)</f>
        <v/>
      </c>
      <c r="B172" s="16" t="str">
        <f aca="false">IF($A172="","","Receiving")</f>
        <v/>
      </c>
      <c r="C172" s="16" t="str">
        <f aca="false">IF($A172="","",'Dependency Register'!B23)</f>
        <v/>
      </c>
      <c r="D172" s="16" t="str">
        <f aca="false">IF($A172="","",'Dependency Register'!A23)</f>
        <v/>
      </c>
      <c r="E172" s="16" t="str">
        <f aca="false">IF($A172="","",'Dependency Register'!O23)</f>
        <v/>
      </c>
      <c r="F172" s="16" t="str">
        <f aca="false">IF($A172="","",'Dependency Register'!P23)</f>
        <v/>
      </c>
      <c r="G172" s="20" t="str">
        <f aca="false">IF($A172="","",IF('Dependency Register'!L23="","",'Dependency Register'!L23))</f>
        <v/>
      </c>
      <c r="H172" s="16" t="str">
        <f aca="true">IF($A172="","",IF($G172="","No Date",IF($G172&lt;TODAY(),"Past Due",IF($G172-TODAY()&lt;=30,"Due ≤30 Days","Later"))))</f>
        <v/>
      </c>
    </row>
    <row r="173" customFormat="false" ht="15" hidden="false" customHeight="true" outlineLevel="0" collapsed="false">
      <c r="A173" s="16" t="str">
        <f aca="false">IF('Dependency Register'!A24="","",'Dependency Register'!E24)</f>
        <v/>
      </c>
      <c r="B173" s="16" t="str">
        <f aca="false">IF($A173="","","Receiving")</f>
        <v/>
      </c>
      <c r="C173" s="16" t="str">
        <f aca="false">IF($A173="","",'Dependency Register'!B24)</f>
        <v/>
      </c>
      <c r="D173" s="16" t="str">
        <f aca="false">IF($A173="","",'Dependency Register'!A24)</f>
        <v/>
      </c>
      <c r="E173" s="16" t="str">
        <f aca="false">IF($A173="","",'Dependency Register'!O24)</f>
        <v/>
      </c>
      <c r="F173" s="16" t="str">
        <f aca="false">IF($A173="","",'Dependency Register'!P24)</f>
        <v/>
      </c>
      <c r="G173" s="20" t="str">
        <f aca="false">IF($A173="","",IF('Dependency Register'!L24="","",'Dependency Register'!L24))</f>
        <v/>
      </c>
      <c r="H173" s="16" t="str">
        <f aca="true">IF($A173="","",IF($G173="","No Date",IF($G173&lt;TODAY(),"Past Due",IF($G173-TODAY()&lt;=30,"Due ≤30 Days","Later"))))</f>
        <v/>
      </c>
    </row>
    <row r="174" customFormat="false" ht="15" hidden="false" customHeight="true" outlineLevel="0" collapsed="false">
      <c r="A174" s="16" t="str">
        <f aca="false">IF('Dependency Register'!A25="","",'Dependency Register'!E25)</f>
        <v/>
      </c>
      <c r="B174" s="16" t="str">
        <f aca="false">IF($A174="","","Receiving")</f>
        <v/>
      </c>
      <c r="C174" s="16" t="str">
        <f aca="false">IF($A174="","",'Dependency Register'!B25)</f>
        <v/>
      </c>
      <c r="D174" s="16" t="str">
        <f aca="false">IF($A174="","",'Dependency Register'!A25)</f>
        <v/>
      </c>
      <c r="E174" s="16" t="str">
        <f aca="false">IF($A174="","",'Dependency Register'!O25)</f>
        <v/>
      </c>
      <c r="F174" s="16" t="str">
        <f aca="false">IF($A174="","",'Dependency Register'!P25)</f>
        <v/>
      </c>
      <c r="G174" s="20" t="str">
        <f aca="false">IF($A174="","",IF('Dependency Register'!L25="","",'Dependency Register'!L25))</f>
        <v/>
      </c>
      <c r="H174" s="16" t="str">
        <f aca="true">IF($A174="","",IF($G174="","No Date",IF($G174&lt;TODAY(),"Past Due",IF($G174-TODAY()&lt;=30,"Due ≤30 Days","Later"))))</f>
        <v/>
      </c>
    </row>
    <row r="175" customFormat="false" ht="15" hidden="false" customHeight="true" outlineLevel="0" collapsed="false">
      <c r="A175" s="16" t="str">
        <f aca="false">IF('Dependency Register'!A26="","",'Dependency Register'!E26)</f>
        <v/>
      </c>
      <c r="B175" s="16" t="str">
        <f aca="false">IF($A175="","","Receiving")</f>
        <v/>
      </c>
      <c r="C175" s="16" t="str">
        <f aca="false">IF($A175="","",'Dependency Register'!B26)</f>
        <v/>
      </c>
      <c r="D175" s="16" t="str">
        <f aca="false">IF($A175="","",'Dependency Register'!A26)</f>
        <v/>
      </c>
      <c r="E175" s="16" t="str">
        <f aca="false">IF($A175="","",'Dependency Register'!O26)</f>
        <v/>
      </c>
      <c r="F175" s="16" t="str">
        <f aca="false">IF($A175="","",'Dependency Register'!P26)</f>
        <v/>
      </c>
      <c r="G175" s="20" t="str">
        <f aca="false">IF($A175="","",IF('Dependency Register'!L26="","",'Dependency Register'!L26))</f>
        <v/>
      </c>
      <c r="H175" s="16" t="str">
        <f aca="true">IF($A175="","",IF($G175="","No Date",IF($G175&lt;TODAY(),"Past Due",IF($G175-TODAY()&lt;=30,"Due ≤30 Days","Later"))))</f>
        <v/>
      </c>
    </row>
    <row r="176" customFormat="false" ht="15" hidden="false" customHeight="true" outlineLevel="0" collapsed="false">
      <c r="A176" s="16" t="str">
        <f aca="false">IF('Dependency Register'!A27="","",'Dependency Register'!E27)</f>
        <v/>
      </c>
      <c r="B176" s="16" t="str">
        <f aca="false">IF($A176="","","Receiving")</f>
        <v/>
      </c>
      <c r="C176" s="16" t="str">
        <f aca="false">IF($A176="","",'Dependency Register'!B27)</f>
        <v/>
      </c>
      <c r="D176" s="16" t="str">
        <f aca="false">IF($A176="","",'Dependency Register'!A27)</f>
        <v/>
      </c>
      <c r="E176" s="16" t="str">
        <f aca="false">IF($A176="","",'Dependency Register'!O27)</f>
        <v/>
      </c>
      <c r="F176" s="16" t="str">
        <f aca="false">IF($A176="","",'Dependency Register'!P27)</f>
        <v/>
      </c>
      <c r="G176" s="20" t="str">
        <f aca="false">IF($A176="","",IF('Dependency Register'!L27="","",'Dependency Register'!L27))</f>
        <v/>
      </c>
      <c r="H176" s="16" t="str">
        <f aca="true">IF($A176="","",IF($G176="","No Date",IF($G176&lt;TODAY(),"Past Due",IF($G176-TODAY()&lt;=30,"Due ≤30 Days","Later"))))</f>
        <v/>
      </c>
    </row>
    <row r="177" customFormat="false" ht="15" hidden="false" customHeight="true" outlineLevel="0" collapsed="false">
      <c r="A177" s="16" t="str">
        <f aca="false">IF('Dependency Register'!A28="","",'Dependency Register'!E28)</f>
        <v/>
      </c>
      <c r="B177" s="16" t="str">
        <f aca="false">IF($A177="","","Receiving")</f>
        <v/>
      </c>
      <c r="C177" s="16" t="str">
        <f aca="false">IF($A177="","",'Dependency Register'!B28)</f>
        <v/>
      </c>
      <c r="D177" s="16" t="str">
        <f aca="false">IF($A177="","",'Dependency Register'!A28)</f>
        <v/>
      </c>
      <c r="E177" s="16" t="str">
        <f aca="false">IF($A177="","",'Dependency Register'!O28)</f>
        <v/>
      </c>
      <c r="F177" s="16" t="str">
        <f aca="false">IF($A177="","",'Dependency Register'!P28)</f>
        <v/>
      </c>
      <c r="G177" s="20" t="str">
        <f aca="false">IF($A177="","",IF('Dependency Register'!L28="","",'Dependency Register'!L28))</f>
        <v/>
      </c>
      <c r="H177" s="16" t="str">
        <f aca="true">IF($A177="","",IF($G177="","No Date",IF($G177&lt;TODAY(),"Past Due",IF($G177-TODAY()&lt;=30,"Due ≤30 Days","Later"))))</f>
        <v/>
      </c>
    </row>
    <row r="178" customFormat="false" ht="15" hidden="false" customHeight="true" outlineLevel="0" collapsed="false">
      <c r="A178" s="16" t="str">
        <f aca="false">IF('Dependency Register'!A29="","",'Dependency Register'!E29)</f>
        <v/>
      </c>
      <c r="B178" s="16" t="str">
        <f aca="false">IF($A178="","","Receiving")</f>
        <v/>
      </c>
      <c r="C178" s="16" t="str">
        <f aca="false">IF($A178="","",'Dependency Register'!B29)</f>
        <v/>
      </c>
      <c r="D178" s="16" t="str">
        <f aca="false">IF($A178="","",'Dependency Register'!A29)</f>
        <v/>
      </c>
      <c r="E178" s="16" t="str">
        <f aca="false">IF($A178="","",'Dependency Register'!O29)</f>
        <v/>
      </c>
      <c r="F178" s="16" t="str">
        <f aca="false">IF($A178="","",'Dependency Register'!P29)</f>
        <v/>
      </c>
      <c r="G178" s="20" t="str">
        <f aca="false">IF($A178="","",IF('Dependency Register'!L29="","",'Dependency Register'!L29))</f>
        <v/>
      </c>
      <c r="H178" s="16" t="str">
        <f aca="true">IF($A178="","",IF($G178="","No Date",IF($G178&lt;TODAY(),"Past Due",IF($G178-TODAY()&lt;=30,"Due ≤30 Days","Later"))))</f>
        <v/>
      </c>
    </row>
    <row r="179" customFormat="false" ht="15" hidden="false" customHeight="true" outlineLevel="0" collapsed="false">
      <c r="A179" s="16" t="str">
        <f aca="false">IF('Dependency Register'!A30="","",'Dependency Register'!E30)</f>
        <v/>
      </c>
      <c r="B179" s="16" t="str">
        <f aca="false">IF($A179="","","Receiving")</f>
        <v/>
      </c>
      <c r="C179" s="16" t="str">
        <f aca="false">IF($A179="","",'Dependency Register'!B30)</f>
        <v/>
      </c>
      <c r="D179" s="16" t="str">
        <f aca="false">IF($A179="","",'Dependency Register'!A30)</f>
        <v/>
      </c>
      <c r="E179" s="16" t="str">
        <f aca="false">IF($A179="","",'Dependency Register'!O30)</f>
        <v/>
      </c>
      <c r="F179" s="16" t="str">
        <f aca="false">IF($A179="","",'Dependency Register'!P30)</f>
        <v/>
      </c>
      <c r="G179" s="20" t="str">
        <f aca="false">IF($A179="","",IF('Dependency Register'!L30="","",'Dependency Register'!L30))</f>
        <v/>
      </c>
      <c r="H179" s="16" t="str">
        <f aca="true">IF($A179="","",IF($G179="","No Date",IF($G179&lt;TODAY(),"Past Due",IF($G179-TODAY()&lt;=30,"Due ≤30 Days","Later"))))</f>
        <v/>
      </c>
    </row>
    <row r="180" customFormat="false" ht="15" hidden="false" customHeight="true" outlineLevel="0" collapsed="false">
      <c r="A180" s="16" t="str">
        <f aca="false">IF('Dependency Register'!A31="","",'Dependency Register'!E31)</f>
        <v/>
      </c>
      <c r="B180" s="16" t="str">
        <f aca="false">IF($A180="","","Receiving")</f>
        <v/>
      </c>
      <c r="C180" s="16" t="str">
        <f aca="false">IF($A180="","",'Dependency Register'!B31)</f>
        <v/>
      </c>
      <c r="D180" s="16" t="str">
        <f aca="false">IF($A180="","",'Dependency Register'!A31)</f>
        <v/>
      </c>
      <c r="E180" s="16" t="str">
        <f aca="false">IF($A180="","",'Dependency Register'!O31)</f>
        <v/>
      </c>
      <c r="F180" s="16" t="str">
        <f aca="false">IF($A180="","",'Dependency Register'!P31)</f>
        <v/>
      </c>
      <c r="G180" s="20" t="str">
        <f aca="false">IF($A180="","",IF('Dependency Register'!L31="","",'Dependency Register'!L31))</f>
        <v/>
      </c>
      <c r="H180" s="16" t="str">
        <f aca="true">IF($A180="","",IF($G180="","No Date",IF($G180&lt;TODAY(),"Past Due",IF($G180-TODAY()&lt;=30,"Due ≤30 Days","Later"))))</f>
        <v/>
      </c>
    </row>
    <row r="181" customFormat="false" ht="15" hidden="false" customHeight="true" outlineLevel="0" collapsed="false">
      <c r="A181" s="16" t="str">
        <f aca="false">IF('Dependency Register'!A32="","",'Dependency Register'!E32)</f>
        <v/>
      </c>
      <c r="B181" s="16" t="str">
        <f aca="false">IF($A181="","","Receiving")</f>
        <v/>
      </c>
      <c r="C181" s="16" t="str">
        <f aca="false">IF($A181="","",'Dependency Register'!B32)</f>
        <v/>
      </c>
      <c r="D181" s="16" t="str">
        <f aca="false">IF($A181="","",'Dependency Register'!A32)</f>
        <v/>
      </c>
      <c r="E181" s="16" t="str">
        <f aca="false">IF($A181="","",'Dependency Register'!O32)</f>
        <v/>
      </c>
      <c r="F181" s="16" t="str">
        <f aca="false">IF($A181="","",'Dependency Register'!P32)</f>
        <v/>
      </c>
      <c r="G181" s="20" t="str">
        <f aca="false">IF($A181="","",IF('Dependency Register'!L32="","",'Dependency Register'!L32))</f>
        <v/>
      </c>
      <c r="H181" s="16" t="str">
        <f aca="true">IF($A181="","",IF($G181="","No Date",IF($G181&lt;TODAY(),"Past Due",IF($G181-TODAY()&lt;=30,"Due ≤30 Days","Later"))))</f>
        <v/>
      </c>
    </row>
    <row r="182" customFormat="false" ht="15" hidden="false" customHeight="true" outlineLevel="0" collapsed="false">
      <c r="A182" s="16" t="str">
        <f aca="false">IF('Dependency Register'!A33="","",'Dependency Register'!E33)</f>
        <v/>
      </c>
      <c r="B182" s="16" t="str">
        <f aca="false">IF($A182="","","Receiving")</f>
        <v/>
      </c>
      <c r="C182" s="16" t="str">
        <f aca="false">IF($A182="","",'Dependency Register'!B33)</f>
        <v/>
      </c>
      <c r="D182" s="16" t="str">
        <f aca="false">IF($A182="","",'Dependency Register'!A33)</f>
        <v/>
      </c>
      <c r="E182" s="16" t="str">
        <f aca="false">IF($A182="","",'Dependency Register'!O33)</f>
        <v/>
      </c>
      <c r="F182" s="16" t="str">
        <f aca="false">IF($A182="","",'Dependency Register'!P33)</f>
        <v/>
      </c>
      <c r="G182" s="20" t="str">
        <f aca="false">IF($A182="","",IF('Dependency Register'!L33="","",'Dependency Register'!L33))</f>
        <v/>
      </c>
      <c r="H182" s="16" t="str">
        <f aca="true">IF($A182="","",IF($G182="","No Date",IF($G182&lt;TODAY(),"Past Due",IF($G182-TODAY()&lt;=30,"Due ≤30 Days","Later"))))</f>
        <v/>
      </c>
    </row>
    <row r="183" customFormat="false" ht="15" hidden="false" customHeight="true" outlineLevel="0" collapsed="false">
      <c r="A183" s="16" t="str">
        <f aca="false">IF('Dependency Register'!A34="","",'Dependency Register'!E34)</f>
        <v/>
      </c>
      <c r="B183" s="16" t="str">
        <f aca="false">IF($A183="","","Receiving")</f>
        <v/>
      </c>
      <c r="C183" s="16" t="str">
        <f aca="false">IF($A183="","",'Dependency Register'!B34)</f>
        <v/>
      </c>
      <c r="D183" s="16" t="str">
        <f aca="false">IF($A183="","",'Dependency Register'!A34)</f>
        <v/>
      </c>
      <c r="E183" s="16" t="str">
        <f aca="false">IF($A183="","",'Dependency Register'!O34)</f>
        <v/>
      </c>
      <c r="F183" s="16" t="str">
        <f aca="false">IF($A183="","",'Dependency Register'!P34)</f>
        <v/>
      </c>
      <c r="G183" s="20" t="str">
        <f aca="false">IF($A183="","",IF('Dependency Register'!L34="","",'Dependency Register'!L34))</f>
        <v/>
      </c>
      <c r="H183" s="16" t="str">
        <f aca="true">IF($A183="","",IF($G183="","No Date",IF($G183&lt;TODAY(),"Past Due",IF($G183-TODAY()&lt;=30,"Due ≤30 Days","Later"))))</f>
        <v/>
      </c>
    </row>
    <row r="184" customFormat="false" ht="15" hidden="false" customHeight="true" outlineLevel="0" collapsed="false">
      <c r="A184" s="16" t="str">
        <f aca="false">IF('Dependency Register'!A35="","",'Dependency Register'!E35)</f>
        <v/>
      </c>
      <c r="B184" s="16" t="str">
        <f aca="false">IF($A184="","","Receiving")</f>
        <v/>
      </c>
      <c r="C184" s="16" t="str">
        <f aca="false">IF($A184="","",'Dependency Register'!B35)</f>
        <v/>
      </c>
      <c r="D184" s="16" t="str">
        <f aca="false">IF($A184="","",'Dependency Register'!A35)</f>
        <v/>
      </c>
      <c r="E184" s="16" t="str">
        <f aca="false">IF($A184="","",'Dependency Register'!O35)</f>
        <v/>
      </c>
      <c r="F184" s="16" t="str">
        <f aca="false">IF($A184="","",'Dependency Register'!P35)</f>
        <v/>
      </c>
      <c r="G184" s="20" t="str">
        <f aca="false">IF($A184="","",IF('Dependency Register'!L35="","",'Dependency Register'!L35))</f>
        <v/>
      </c>
      <c r="H184" s="16" t="str">
        <f aca="true">IF($A184="","",IF($G184="","No Date",IF($G184&lt;TODAY(),"Past Due",IF($G184-TODAY()&lt;=30,"Due ≤30 Days","Later"))))</f>
        <v/>
      </c>
    </row>
    <row r="185" customFormat="false" ht="15" hidden="false" customHeight="true" outlineLevel="0" collapsed="false">
      <c r="A185" s="16" t="str">
        <f aca="false">IF('Dependency Register'!A36="","",'Dependency Register'!E36)</f>
        <v/>
      </c>
      <c r="B185" s="16" t="str">
        <f aca="false">IF($A185="","","Receiving")</f>
        <v/>
      </c>
      <c r="C185" s="16" t="str">
        <f aca="false">IF($A185="","",'Dependency Register'!B36)</f>
        <v/>
      </c>
      <c r="D185" s="16" t="str">
        <f aca="false">IF($A185="","",'Dependency Register'!A36)</f>
        <v/>
      </c>
      <c r="E185" s="16" t="str">
        <f aca="false">IF($A185="","",'Dependency Register'!O36)</f>
        <v/>
      </c>
      <c r="F185" s="16" t="str">
        <f aca="false">IF($A185="","",'Dependency Register'!P36)</f>
        <v/>
      </c>
      <c r="G185" s="20" t="str">
        <f aca="false">IF($A185="","",IF('Dependency Register'!L36="","",'Dependency Register'!L36))</f>
        <v/>
      </c>
      <c r="H185" s="16" t="str">
        <f aca="true">IF($A185="","",IF($G185="","No Date",IF($G185&lt;TODAY(),"Past Due",IF($G185-TODAY()&lt;=30,"Due ≤30 Days","Later"))))</f>
        <v/>
      </c>
    </row>
    <row r="186" customFormat="false" ht="15" hidden="false" customHeight="true" outlineLevel="0" collapsed="false">
      <c r="A186" s="16" t="str">
        <f aca="false">IF('Dependency Register'!A37="","",'Dependency Register'!E37)</f>
        <v/>
      </c>
      <c r="B186" s="16" t="str">
        <f aca="false">IF($A186="","","Receiving")</f>
        <v/>
      </c>
      <c r="C186" s="16" t="str">
        <f aca="false">IF($A186="","",'Dependency Register'!B37)</f>
        <v/>
      </c>
      <c r="D186" s="16" t="str">
        <f aca="false">IF($A186="","",'Dependency Register'!A37)</f>
        <v/>
      </c>
      <c r="E186" s="16" t="str">
        <f aca="false">IF($A186="","",'Dependency Register'!O37)</f>
        <v/>
      </c>
      <c r="F186" s="16" t="str">
        <f aca="false">IF($A186="","",'Dependency Register'!P37)</f>
        <v/>
      </c>
      <c r="G186" s="20" t="str">
        <f aca="false">IF($A186="","",IF('Dependency Register'!L37="","",'Dependency Register'!L37))</f>
        <v/>
      </c>
      <c r="H186" s="16" t="str">
        <f aca="true">IF($A186="","",IF($G186="","No Date",IF($G186&lt;TODAY(),"Past Due",IF($G186-TODAY()&lt;=30,"Due ≤30 Days","Later"))))</f>
        <v/>
      </c>
    </row>
    <row r="187" customFormat="false" ht="15" hidden="false" customHeight="true" outlineLevel="0" collapsed="false">
      <c r="A187" s="16" t="str">
        <f aca="false">IF('Dependency Register'!A38="","",'Dependency Register'!E38)</f>
        <v/>
      </c>
      <c r="B187" s="16" t="str">
        <f aca="false">IF($A187="","","Receiving")</f>
        <v/>
      </c>
      <c r="C187" s="16" t="str">
        <f aca="false">IF($A187="","",'Dependency Register'!B38)</f>
        <v/>
      </c>
      <c r="D187" s="16" t="str">
        <f aca="false">IF($A187="","",'Dependency Register'!A38)</f>
        <v/>
      </c>
      <c r="E187" s="16" t="str">
        <f aca="false">IF($A187="","",'Dependency Register'!O38)</f>
        <v/>
      </c>
      <c r="F187" s="16" t="str">
        <f aca="false">IF($A187="","",'Dependency Register'!P38)</f>
        <v/>
      </c>
      <c r="G187" s="20" t="str">
        <f aca="false">IF($A187="","",IF('Dependency Register'!L38="","",'Dependency Register'!L38))</f>
        <v/>
      </c>
      <c r="H187" s="16" t="str">
        <f aca="true">IF($A187="","",IF($G187="","No Date",IF($G187&lt;TODAY(),"Past Due",IF($G187-TODAY()&lt;=30,"Due ≤30 Days","Later"))))</f>
        <v/>
      </c>
    </row>
    <row r="188" customFormat="false" ht="15" hidden="false" customHeight="true" outlineLevel="0" collapsed="false">
      <c r="A188" s="16" t="str">
        <f aca="false">IF('Dependency Register'!A39="","",'Dependency Register'!E39)</f>
        <v/>
      </c>
      <c r="B188" s="16" t="str">
        <f aca="false">IF($A188="","","Receiving")</f>
        <v/>
      </c>
      <c r="C188" s="16" t="str">
        <f aca="false">IF($A188="","",'Dependency Register'!B39)</f>
        <v/>
      </c>
      <c r="D188" s="16" t="str">
        <f aca="false">IF($A188="","",'Dependency Register'!A39)</f>
        <v/>
      </c>
      <c r="E188" s="16" t="str">
        <f aca="false">IF($A188="","",'Dependency Register'!O39)</f>
        <v/>
      </c>
      <c r="F188" s="16" t="str">
        <f aca="false">IF($A188="","",'Dependency Register'!P39)</f>
        <v/>
      </c>
      <c r="G188" s="20" t="str">
        <f aca="false">IF($A188="","",IF('Dependency Register'!L39="","",'Dependency Register'!L39))</f>
        <v/>
      </c>
      <c r="H188" s="16" t="str">
        <f aca="true">IF($A188="","",IF($G188="","No Date",IF($G188&lt;TODAY(),"Past Due",IF($G188-TODAY()&lt;=30,"Due ≤30 Days","Later"))))</f>
        <v/>
      </c>
    </row>
    <row r="189" customFormat="false" ht="15" hidden="false" customHeight="true" outlineLevel="0" collapsed="false">
      <c r="A189" s="16" t="str">
        <f aca="false">IF('Dependency Register'!A40="","",'Dependency Register'!E40)</f>
        <v/>
      </c>
      <c r="B189" s="16" t="str">
        <f aca="false">IF($A189="","","Receiving")</f>
        <v/>
      </c>
      <c r="C189" s="16" t="str">
        <f aca="false">IF($A189="","",'Dependency Register'!B40)</f>
        <v/>
      </c>
      <c r="D189" s="16" t="str">
        <f aca="false">IF($A189="","",'Dependency Register'!A40)</f>
        <v/>
      </c>
      <c r="E189" s="16" t="str">
        <f aca="false">IF($A189="","",'Dependency Register'!O40)</f>
        <v/>
      </c>
      <c r="F189" s="16" t="str">
        <f aca="false">IF($A189="","",'Dependency Register'!P40)</f>
        <v/>
      </c>
      <c r="G189" s="20" t="str">
        <f aca="false">IF($A189="","",IF('Dependency Register'!L40="","",'Dependency Register'!L40))</f>
        <v/>
      </c>
      <c r="H189" s="16" t="str">
        <f aca="true">IF($A189="","",IF($G189="","No Date",IF($G189&lt;TODAY(),"Past Due",IF($G189-TODAY()&lt;=30,"Due ≤30 Days","Later"))))</f>
        <v/>
      </c>
    </row>
    <row r="190" customFormat="false" ht="15" hidden="false" customHeight="true" outlineLevel="0" collapsed="false">
      <c r="A190" s="16" t="str">
        <f aca="false">IF('Dependency Register'!A41="","",'Dependency Register'!E41)</f>
        <v/>
      </c>
      <c r="B190" s="16" t="str">
        <f aca="false">IF($A190="","","Receiving")</f>
        <v/>
      </c>
      <c r="C190" s="16" t="str">
        <f aca="false">IF($A190="","",'Dependency Register'!B41)</f>
        <v/>
      </c>
      <c r="D190" s="16" t="str">
        <f aca="false">IF($A190="","",'Dependency Register'!A41)</f>
        <v/>
      </c>
      <c r="E190" s="16" t="str">
        <f aca="false">IF($A190="","",'Dependency Register'!O41)</f>
        <v/>
      </c>
      <c r="F190" s="16" t="str">
        <f aca="false">IF($A190="","",'Dependency Register'!P41)</f>
        <v/>
      </c>
      <c r="G190" s="20" t="str">
        <f aca="false">IF($A190="","",IF('Dependency Register'!L41="","",'Dependency Register'!L41))</f>
        <v/>
      </c>
      <c r="H190" s="16" t="str">
        <f aca="true">IF($A190="","",IF($G190="","No Date",IF($G190&lt;TODAY(),"Past Due",IF($G190-TODAY()&lt;=30,"Due ≤30 Days","Later"))))</f>
        <v/>
      </c>
    </row>
    <row r="191" customFormat="false" ht="15" hidden="false" customHeight="true" outlineLevel="0" collapsed="false">
      <c r="A191" s="16" t="str">
        <f aca="false">IF('Dependency Register'!A42="","",'Dependency Register'!E42)</f>
        <v/>
      </c>
      <c r="B191" s="16" t="str">
        <f aca="false">IF($A191="","","Receiving")</f>
        <v/>
      </c>
      <c r="C191" s="16" t="str">
        <f aca="false">IF($A191="","",'Dependency Register'!B42)</f>
        <v/>
      </c>
      <c r="D191" s="16" t="str">
        <f aca="false">IF($A191="","",'Dependency Register'!A42)</f>
        <v/>
      </c>
      <c r="E191" s="16" t="str">
        <f aca="false">IF($A191="","",'Dependency Register'!O42)</f>
        <v/>
      </c>
      <c r="F191" s="16" t="str">
        <f aca="false">IF($A191="","",'Dependency Register'!P42)</f>
        <v/>
      </c>
      <c r="G191" s="20" t="str">
        <f aca="false">IF($A191="","",IF('Dependency Register'!L42="","",'Dependency Register'!L42))</f>
        <v/>
      </c>
      <c r="H191" s="16" t="str">
        <f aca="true">IF($A191="","",IF($G191="","No Date",IF($G191&lt;TODAY(),"Past Due",IF($G191-TODAY()&lt;=30,"Due ≤30 Days","Later"))))</f>
        <v/>
      </c>
    </row>
    <row r="192" customFormat="false" ht="15" hidden="false" customHeight="true" outlineLevel="0" collapsed="false">
      <c r="A192" s="16" t="str">
        <f aca="false">IF('Dependency Register'!A43="","",'Dependency Register'!E43)</f>
        <v/>
      </c>
      <c r="B192" s="16" t="str">
        <f aca="false">IF($A192="","","Receiving")</f>
        <v/>
      </c>
      <c r="C192" s="16" t="str">
        <f aca="false">IF($A192="","",'Dependency Register'!B43)</f>
        <v/>
      </c>
      <c r="D192" s="16" t="str">
        <f aca="false">IF($A192="","",'Dependency Register'!A43)</f>
        <v/>
      </c>
      <c r="E192" s="16" t="str">
        <f aca="false">IF($A192="","",'Dependency Register'!O43)</f>
        <v/>
      </c>
      <c r="F192" s="16" t="str">
        <f aca="false">IF($A192="","",'Dependency Register'!P43)</f>
        <v/>
      </c>
      <c r="G192" s="20" t="str">
        <f aca="false">IF($A192="","",IF('Dependency Register'!L43="","",'Dependency Register'!L43))</f>
        <v/>
      </c>
      <c r="H192" s="16" t="str">
        <f aca="true">IF($A192="","",IF($G192="","No Date",IF($G192&lt;TODAY(),"Past Due",IF($G192-TODAY()&lt;=30,"Due ≤30 Days","Later"))))</f>
        <v/>
      </c>
    </row>
    <row r="193" customFormat="false" ht="15" hidden="false" customHeight="true" outlineLevel="0" collapsed="false">
      <c r="A193" s="16" t="str">
        <f aca="false">IF('Dependency Register'!A44="","",'Dependency Register'!E44)</f>
        <v/>
      </c>
      <c r="B193" s="16" t="str">
        <f aca="false">IF($A193="","","Receiving")</f>
        <v/>
      </c>
      <c r="C193" s="16" t="str">
        <f aca="false">IF($A193="","",'Dependency Register'!B44)</f>
        <v/>
      </c>
      <c r="D193" s="16" t="str">
        <f aca="false">IF($A193="","",'Dependency Register'!A44)</f>
        <v/>
      </c>
      <c r="E193" s="16" t="str">
        <f aca="false">IF($A193="","",'Dependency Register'!O44)</f>
        <v/>
      </c>
      <c r="F193" s="16" t="str">
        <f aca="false">IF($A193="","",'Dependency Register'!P44)</f>
        <v/>
      </c>
      <c r="G193" s="20" t="str">
        <f aca="false">IF($A193="","",IF('Dependency Register'!L44="","",'Dependency Register'!L44))</f>
        <v/>
      </c>
      <c r="H193" s="16" t="str">
        <f aca="true">IF($A193="","",IF($G193="","No Date",IF($G193&lt;TODAY(),"Past Due",IF($G193-TODAY()&lt;=30,"Due ≤30 Days","Later"))))</f>
        <v/>
      </c>
    </row>
    <row r="194" customFormat="false" ht="15" hidden="false" customHeight="true" outlineLevel="0" collapsed="false">
      <c r="A194" s="16" t="str">
        <f aca="false">IF('Dependency Register'!A45="","",'Dependency Register'!E45)</f>
        <v/>
      </c>
      <c r="B194" s="16" t="str">
        <f aca="false">IF($A194="","","Receiving")</f>
        <v/>
      </c>
      <c r="C194" s="16" t="str">
        <f aca="false">IF($A194="","",'Dependency Register'!B45)</f>
        <v/>
      </c>
      <c r="D194" s="16" t="str">
        <f aca="false">IF($A194="","",'Dependency Register'!A45)</f>
        <v/>
      </c>
      <c r="E194" s="16" t="str">
        <f aca="false">IF($A194="","",'Dependency Register'!O45)</f>
        <v/>
      </c>
      <c r="F194" s="16" t="str">
        <f aca="false">IF($A194="","",'Dependency Register'!P45)</f>
        <v/>
      </c>
      <c r="G194" s="20" t="str">
        <f aca="false">IF($A194="","",IF('Dependency Register'!L45="","",'Dependency Register'!L45))</f>
        <v/>
      </c>
      <c r="H194" s="16" t="str">
        <f aca="true">IF($A194="","",IF($G194="","No Date",IF($G194&lt;TODAY(),"Past Due",IF($G194-TODAY()&lt;=30,"Due ≤30 Days","Later"))))</f>
        <v/>
      </c>
    </row>
    <row r="195" customFormat="false" ht="15" hidden="false" customHeight="true" outlineLevel="0" collapsed="false">
      <c r="A195" s="16" t="str">
        <f aca="false">IF('Dependency Register'!A46="","",'Dependency Register'!E46)</f>
        <v/>
      </c>
      <c r="B195" s="16" t="str">
        <f aca="false">IF($A195="","","Receiving")</f>
        <v/>
      </c>
      <c r="C195" s="16" t="str">
        <f aca="false">IF($A195="","",'Dependency Register'!B46)</f>
        <v/>
      </c>
      <c r="D195" s="16" t="str">
        <f aca="false">IF($A195="","",'Dependency Register'!A46)</f>
        <v/>
      </c>
      <c r="E195" s="16" t="str">
        <f aca="false">IF($A195="","",'Dependency Register'!O46)</f>
        <v/>
      </c>
      <c r="F195" s="16" t="str">
        <f aca="false">IF($A195="","",'Dependency Register'!P46)</f>
        <v/>
      </c>
      <c r="G195" s="20" t="str">
        <f aca="false">IF($A195="","",IF('Dependency Register'!L46="","",'Dependency Register'!L46))</f>
        <v/>
      </c>
      <c r="H195" s="16" t="str">
        <f aca="true">IF($A195="","",IF($G195="","No Date",IF($G195&lt;TODAY(),"Past Due",IF($G195-TODAY()&lt;=30,"Due ≤30 Days","Later"))))</f>
        <v/>
      </c>
    </row>
    <row r="196" customFormat="false" ht="15" hidden="false" customHeight="true" outlineLevel="0" collapsed="false">
      <c r="A196" s="16" t="str">
        <f aca="false">IF('Dependency Register'!A47="","",'Dependency Register'!E47)</f>
        <v/>
      </c>
      <c r="B196" s="16" t="str">
        <f aca="false">IF($A196="","","Receiving")</f>
        <v/>
      </c>
      <c r="C196" s="16" t="str">
        <f aca="false">IF($A196="","",'Dependency Register'!B47)</f>
        <v/>
      </c>
      <c r="D196" s="16" t="str">
        <f aca="false">IF($A196="","",'Dependency Register'!A47)</f>
        <v/>
      </c>
      <c r="E196" s="16" t="str">
        <f aca="false">IF($A196="","",'Dependency Register'!O47)</f>
        <v/>
      </c>
      <c r="F196" s="16" t="str">
        <f aca="false">IF($A196="","",'Dependency Register'!P47)</f>
        <v/>
      </c>
      <c r="G196" s="20" t="str">
        <f aca="false">IF($A196="","",IF('Dependency Register'!L47="","",'Dependency Register'!L47))</f>
        <v/>
      </c>
      <c r="H196" s="16" t="str">
        <f aca="true">IF($A196="","",IF($G196="","No Date",IF($G196&lt;TODAY(),"Past Due",IF($G196-TODAY()&lt;=30,"Due ≤30 Days","Later"))))</f>
        <v/>
      </c>
    </row>
    <row r="197" customFormat="false" ht="15" hidden="false" customHeight="true" outlineLevel="0" collapsed="false">
      <c r="A197" s="16" t="str">
        <f aca="false">IF('Dependency Register'!A48="","",'Dependency Register'!E48)</f>
        <v/>
      </c>
      <c r="B197" s="16" t="str">
        <f aca="false">IF($A197="","","Receiving")</f>
        <v/>
      </c>
      <c r="C197" s="16" t="str">
        <f aca="false">IF($A197="","",'Dependency Register'!B48)</f>
        <v/>
      </c>
      <c r="D197" s="16" t="str">
        <f aca="false">IF($A197="","",'Dependency Register'!A48)</f>
        <v/>
      </c>
      <c r="E197" s="16" t="str">
        <f aca="false">IF($A197="","",'Dependency Register'!O48)</f>
        <v/>
      </c>
      <c r="F197" s="16" t="str">
        <f aca="false">IF($A197="","",'Dependency Register'!P48)</f>
        <v/>
      </c>
      <c r="G197" s="20" t="str">
        <f aca="false">IF($A197="","",IF('Dependency Register'!L48="","",'Dependency Register'!L48))</f>
        <v/>
      </c>
      <c r="H197" s="16" t="str">
        <f aca="true">IF($A197="","",IF($G197="","No Date",IF($G197&lt;TODAY(),"Past Due",IF($G197-TODAY()&lt;=30,"Due ≤30 Days","Later"))))</f>
        <v/>
      </c>
    </row>
    <row r="198" customFormat="false" ht="15" hidden="false" customHeight="true" outlineLevel="0" collapsed="false">
      <c r="A198" s="16" t="str">
        <f aca="false">IF('Dependency Register'!A49="","",'Dependency Register'!E49)</f>
        <v/>
      </c>
      <c r="B198" s="16" t="str">
        <f aca="false">IF($A198="","","Receiving")</f>
        <v/>
      </c>
      <c r="C198" s="16" t="str">
        <f aca="false">IF($A198="","",'Dependency Register'!B49)</f>
        <v/>
      </c>
      <c r="D198" s="16" t="str">
        <f aca="false">IF($A198="","",'Dependency Register'!A49)</f>
        <v/>
      </c>
      <c r="E198" s="16" t="str">
        <f aca="false">IF($A198="","",'Dependency Register'!O49)</f>
        <v/>
      </c>
      <c r="F198" s="16" t="str">
        <f aca="false">IF($A198="","",'Dependency Register'!P49)</f>
        <v/>
      </c>
      <c r="G198" s="20" t="str">
        <f aca="false">IF($A198="","",IF('Dependency Register'!L49="","",'Dependency Register'!L49))</f>
        <v/>
      </c>
      <c r="H198" s="16" t="str">
        <f aca="true">IF($A198="","",IF($G198="","No Date",IF($G198&lt;TODAY(),"Past Due",IF($G198-TODAY()&lt;=30,"Due ≤30 Days","Later"))))</f>
        <v/>
      </c>
    </row>
    <row r="199" customFormat="false" ht="15" hidden="false" customHeight="true" outlineLevel="0" collapsed="false">
      <c r="A199" s="16" t="str">
        <f aca="false">IF('Dependency Register'!A50="","",'Dependency Register'!E50)</f>
        <v/>
      </c>
      <c r="B199" s="16" t="str">
        <f aca="false">IF($A199="","","Receiving")</f>
        <v/>
      </c>
      <c r="C199" s="16" t="str">
        <f aca="false">IF($A199="","",'Dependency Register'!B50)</f>
        <v/>
      </c>
      <c r="D199" s="16" t="str">
        <f aca="false">IF($A199="","",'Dependency Register'!A50)</f>
        <v/>
      </c>
      <c r="E199" s="16" t="str">
        <f aca="false">IF($A199="","",'Dependency Register'!O50)</f>
        <v/>
      </c>
      <c r="F199" s="16" t="str">
        <f aca="false">IF($A199="","",'Dependency Register'!P50)</f>
        <v/>
      </c>
      <c r="G199" s="20" t="str">
        <f aca="false">IF($A199="","",IF('Dependency Register'!L50="","",'Dependency Register'!L50))</f>
        <v/>
      </c>
      <c r="H199" s="16" t="str">
        <f aca="true">IF($A199="","",IF($G199="","No Date",IF($G199&lt;TODAY(),"Past Due",IF($G199-TODAY()&lt;=30,"Due ≤30 Days","Later"))))</f>
        <v/>
      </c>
    </row>
    <row r="200" customFormat="false" ht="15" hidden="false" customHeight="true" outlineLevel="0" collapsed="false">
      <c r="A200" s="16" t="str">
        <f aca="false">IF('Dependency Register'!A51="","",'Dependency Register'!E51)</f>
        <v/>
      </c>
      <c r="B200" s="16" t="str">
        <f aca="false">IF($A200="","","Receiving")</f>
        <v/>
      </c>
      <c r="C200" s="16" t="str">
        <f aca="false">IF($A200="","",'Dependency Register'!B51)</f>
        <v/>
      </c>
      <c r="D200" s="16" t="str">
        <f aca="false">IF($A200="","",'Dependency Register'!A51)</f>
        <v/>
      </c>
      <c r="E200" s="16" t="str">
        <f aca="false">IF($A200="","",'Dependency Register'!O51)</f>
        <v/>
      </c>
      <c r="F200" s="16" t="str">
        <f aca="false">IF($A200="","",'Dependency Register'!P51)</f>
        <v/>
      </c>
      <c r="G200" s="20" t="str">
        <f aca="false">IF($A200="","",IF('Dependency Register'!L51="","",'Dependency Register'!L51))</f>
        <v/>
      </c>
      <c r="H200" s="16" t="str">
        <f aca="true">IF($A200="","",IF($G200="","No Date",IF($G200&lt;TODAY(),"Past Due",IF($G200-TODAY()&lt;=30,"Due ≤30 Days","Later"))))</f>
        <v/>
      </c>
    </row>
    <row r="201" customFormat="false" ht="15" hidden="false" customHeight="true" outlineLevel="0" collapsed="false">
      <c r="A201" s="16" t="str">
        <f aca="false">IF('Dependency Register'!A52="","",'Dependency Register'!E52)</f>
        <v/>
      </c>
      <c r="B201" s="16" t="str">
        <f aca="false">IF($A201="","","Receiving")</f>
        <v/>
      </c>
      <c r="C201" s="16" t="str">
        <f aca="false">IF($A201="","",'Dependency Register'!B52)</f>
        <v/>
      </c>
      <c r="D201" s="16" t="str">
        <f aca="false">IF($A201="","",'Dependency Register'!A52)</f>
        <v/>
      </c>
      <c r="E201" s="16" t="str">
        <f aca="false">IF($A201="","",'Dependency Register'!O52)</f>
        <v/>
      </c>
      <c r="F201" s="16" t="str">
        <f aca="false">IF($A201="","",'Dependency Register'!P52)</f>
        <v/>
      </c>
      <c r="G201" s="20" t="str">
        <f aca="false">IF($A201="","",IF('Dependency Register'!L52="","",'Dependency Register'!L52))</f>
        <v/>
      </c>
      <c r="H201" s="16" t="str">
        <f aca="true">IF($A201="","",IF($G201="","No Date",IF($G201&lt;TODAY(),"Past Due",IF($G201-TODAY()&lt;=30,"Due ≤30 Days","Later"))))</f>
        <v/>
      </c>
    </row>
    <row r="202" customFormat="false" ht="15" hidden="false" customHeight="true" outlineLevel="0" collapsed="false">
      <c r="A202" s="16" t="str">
        <f aca="false">IF('Dependency Register'!A53="","",'Dependency Register'!E53)</f>
        <v/>
      </c>
      <c r="B202" s="16" t="str">
        <f aca="false">IF($A202="","","Receiving")</f>
        <v/>
      </c>
      <c r="C202" s="16" t="str">
        <f aca="false">IF($A202="","",'Dependency Register'!B53)</f>
        <v/>
      </c>
      <c r="D202" s="16" t="str">
        <f aca="false">IF($A202="","",'Dependency Register'!A53)</f>
        <v/>
      </c>
      <c r="E202" s="16" t="str">
        <f aca="false">IF($A202="","",'Dependency Register'!O53)</f>
        <v/>
      </c>
      <c r="F202" s="16" t="str">
        <f aca="false">IF($A202="","",'Dependency Register'!P53)</f>
        <v/>
      </c>
      <c r="G202" s="20" t="str">
        <f aca="false">IF($A202="","",IF('Dependency Register'!L53="","",'Dependency Register'!L53))</f>
        <v/>
      </c>
      <c r="H202" s="16" t="str">
        <f aca="true">IF($A202="","",IF($G202="","No Date",IF($G202&lt;TODAY(),"Past Due",IF($G202-TODAY()&lt;=30,"Due ≤30 Days","Later"))))</f>
        <v/>
      </c>
    </row>
    <row r="203" customFormat="false" ht="15" hidden="false" customHeight="true" outlineLevel="0" collapsed="false">
      <c r="A203" s="16" t="str">
        <f aca="false">IF('Dependency Register'!A54="","",'Dependency Register'!E54)</f>
        <v/>
      </c>
      <c r="B203" s="16" t="str">
        <f aca="false">IF($A203="","","Receiving")</f>
        <v/>
      </c>
      <c r="C203" s="16" t="str">
        <f aca="false">IF($A203="","",'Dependency Register'!B54)</f>
        <v/>
      </c>
      <c r="D203" s="16" t="str">
        <f aca="false">IF($A203="","",'Dependency Register'!A54)</f>
        <v/>
      </c>
      <c r="E203" s="16" t="str">
        <f aca="false">IF($A203="","",'Dependency Register'!O54)</f>
        <v/>
      </c>
      <c r="F203" s="16" t="str">
        <f aca="false">IF($A203="","",'Dependency Register'!P54)</f>
        <v/>
      </c>
      <c r="G203" s="20" t="str">
        <f aca="false">IF($A203="","",IF('Dependency Register'!L54="","",'Dependency Register'!L54))</f>
        <v/>
      </c>
      <c r="H203" s="16" t="str">
        <f aca="true">IF($A203="","",IF($G203="","No Date",IF($G203&lt;TODAY(),"Past Due",IF($G203-TODAY()&lt;=30,"Due ≤30 Days","Later"))))</f>
        <v/>
      </c>
    </row>
    <row r="204" customFormat="false" ht="15" hidden="false" customHeight="true" outlineLevel="0" collapsed="false">
      <c r="A204" s="16" t="str">
        <f aca="false">IF('Dependency Register'!A55="","",'Dependency Register'!E55)</f>
        <v/>
      </c>
      <c r="B204" s="16" t="str">
        <f aca="false">IF($A204="","","Receiving")</f>
        <v/>
      </c>
      <c r="C204" s="16" t="str">
        <f aca="false">IF($A204="","",'Dependency Register'!B55)</f>
        <v/>
      </c>
      <c r="D204" s="16" t="str">
        <f aca="false">IF($A204="","",'Dependency Register'!A55)</f>
        <v/>
      </c>
      <c r="E204" s="16" t="str">
        <f aca="false">IF($A204="","",'Dependency Register'!O55)</f>
        <v/>
      </c>
      <c r="F204" s="16" t="str">
        <f aca="false">IF($A204="","",'Dependency Register'!P55)</f>
        <v/>
      </c>
      <c r="G204" s="20" t="str">
        <f aca="false">IF($A204="","",IF('Dependency Register'!L55="","",'Dependency Register'!L55))</f>
        <v/>
      </c>
      <c r="H204" s="16" t="str">
        <f aca="true">IF($A204="","",IF($G204="","No Date",IF($G204&lt;TODAY(),"Past Due",IF($G204-TODAY()&lt;=30,"Due ≤30 Days","Later"))))</f>
        <v/>
      </c>
    </row>
    <row r="205" customFormat="false" ht="15" hidden="false" customHeight="true" outlineLevel="0" collapsed="false">
      <c r="A205" s="16" t="str">
        <f aca="false">IF('Dependency Register'!A56="","",'Dependency Register'!E56)</f>
        <v/>
      </c>
      <c r="B205" s="16" t="str">
        <f aca="false">IF($A205="","","Receiving")</f>
        <v/>
      </c>
      <c r="C205" s="16" t="str">
        <f aca="false">IF($A205="","",'Dependency Register'!B56)</f>
        <v/>
      </c>
      <c r="D205" s="16" t="str">
        <f aca="false">IF($A205="","",'Dependency Register'!A56)</f>
        <v/>
      </c>
      <c r="E205" s="16" t="str">
        <f aca="false">IF($A205="","",'Dependency Register'!O56)</f>
        <v/>
      </c>
      <c r="F205" s="16" t="str">
        <f aca="false">IF($A205="","",'Dependency Register'!P56)</f>
        <v/>
      </c>
      <c r="G205" s="20" t="str">
        <f aca="false">IF($A205="","",IF('Dependency Register'!L56="","",'Dependency Register'!L56))</f>
        <v/>
      </c>
      <c r="H205" s="16" t="str">
        <f aca="true">IF($A205="","",IF($G205="","No Date",IF($G205&lt;TODAY(),"Past Due",IF($G205-TODAY()&lt;=30,"Due ≤30 Days","Later"))))</f>
        <v/>
      </c>
    </row>
    <row r="206" customFormat="false" ht="15" hidden="false" customHeight="true" outlineLevel="0" collapsed="false">
      <c r="A206" s="16" t="str">
        <f aca="false">IF('Dependency Register'!A57="","",'Dependency Register'!E57)</f>
        <v/>
      </c>
      <c r="B206" s="16" t="str">
        <f aca="false">IF($A206="","","Receiving")</f>
        <v/>
      </c>
      <c r="C206" s="16" t="str">
        <f aca="false">IF($A206="","",'Dependency Register'!B57)</f>
        <v/>
      </c>
      <c r="D206" s="16" t="str">
        <f aca="false">IF($A206="","",'Dependency Register'!A57)</f>
        <v/>
      </c>
      <c r="E206" s="16" t="str">
        <f aca="false">IF($A206="","",'Dependency Register'!O57)</f>
        <v/>
      </c>
      <c r="F206" s="16" t="str">
        <f aca="false">IF($A206="","",'Dependency Register'!P57)</f>
        <v/>
      </c>
      <c r="G206" s="20" t="str">
        <f aca="false">IF($A206="","",IF('Dependency Register'!L57="","",'Dependency Register'!L57))</f>
        <v/>
      </c>
      <c r="H206" s="16" t="str">
        <f aca="true">IF($A206="","",IF($G206="","No Date",IF($G206&lt;TODAY(),"Past Due",IF($G206-TODAY()&lt;=30,"Due ≤30 Days","Later"))))</f>
        <v/>
      </c>
    </row>
    <row r="207" customFormat="false" ht="15" hidden="false" customHeight="true" outlineLevel="0" collapsed="false">
      <c r="A207" s="16" t="str">
        <f aca="false">IF('Dependency Register'!A58="","",'Dependency Register'!E58)</f>
        <v/>
      </c>
      <c r="B207" s="16" t="str">
        <f aca="false">IF($A207="","","Receiving")</f>
        <v/>
      </c>
      <c r="C207" s="16" t="str">
        <f aca="false">IF($A207="","",'Dependency Register'!B58)</f>
        <v/>
      </c>
      <c r="D207" s="16" t="str">
        <f aca="false">IF($A207="","",'Dependency Register'!A58)</f>
        <v/>
      </c>
      <c r="E207" s="16" t="str">
        <f aca="false">IF($A207="","",'Dependency Register'!O58)</f>
        <v/>
      </c>
      <c r="F207" s="16" t="str">
        <f aca="false">IF($A207="","",'Dependency Register'!P58)</f>
        <v/>
      </c>
      <c r="G207" s="20" t="str">
        <f aca="false">IF($A207="","",IF('Dependency Register'!L58="","",'Dependency Register'!L58))</f>
        <v/>
      </c>
      <c r="H207" s="16" t="str">
        <f aca="true">IF($A207="","",IF($G207="","No Date",IF($G207&lt;TODAY(),"Past Due",IF($G207-TODAY()&lt;=30,"Due ≤30 Days","Later"))))</f>
        <v/>
      </c>
    </row>
    <row r="208" customFormat="false" ht="15" hidden="false" customHeight="true" outlineLevel="0" collapsed="false">
      <c r="A208" s="16" t="str">
        <f aca="false">IF('Dependency Register'!A59="","",'Dependency Register'!E59)</f>
        <v/>
      </c>
      <c r="B208" s="16" t="str">
        <f aca="false">IF($A208="","","Receiving")</f>
        <v/>
      </c>
      <c r="C208" s="16" t="str">
        <f aca="false">IF($A208="","",'Dependency Register'!B59)</f>
        <v/>
      </c>
      <c r="D208" s="16" t="str">
        <f aca="false">IF($A208="","",'Dependency Register'!A59)</f>
        <v/>
      </c>
      <c r="E208" s="16" t="str">
        <f aca="false">IF($A208="","",'Dependency Register'!O59)</f>
        <v/>
      </c>
      <c r="F208" s="16" t="str">
        <f aca="false">IF($A208="","",'Dependency Register'!P59)</f>
        <v/>
      </c>
      <c r="G208" s="20" t="str">
        <f aca="false">IF($A208="","",IF('Dependency Register'!L59="","",'Dependency Register'!L59))</f>
        <v/>
      </c>
      <c r="H208" s="16" t="str">
        <f aca="true">IF($A208="","",IF($G208="","No Date",IF($G208&lt;TODAY(),"Past Due",IF($G208-TODAY()&lt;=30,"Due ≤30 Days","Later"))))</f>
        <v/>
      </c>
    </row>
    <row r="209" customFormat="false" ht="15" hidden="false" customHeight="true" outlineLevel="0" collapsed="false">
      <c r="A209" s="16" t="str">
        <f aca="false">IF('Dependency Register'!A60="","",'Dependency Register'!E60)</f>
        <v/>
      </c>
      <c r="B209" s="16" t="str">
        <f aca="false">IF($A209="","","Receiving")</f>
        <v/>
      </c>
      <c r="C209" s="16" t="str">
        <f aca="false">IF($A209="","",'Dependency Register'!B60)</f>
        <v/>
      </c>
      <c r="D209" s="16" t="str">
        <f aca="false">IF($A209="","",'Dependency Register'!A60)</f>
        <v/>
      </c>
      <c r="E209" s="16" t="str">
        <f aca="false">IF($A209="","",'Dependency Register'!O60)</f>
        <v/>
      </c>
      <c r="F209" s="16" t="str">
        <f aca="false">IF($A209="","",'Dependency Register'!P60)</f>
        <v/>
      </c>
      <c r="G209" s="20" t="str">
        <f aca="false">IF($A209="","",IF('Dependency Register'!L60="","",'Dependency Register'!L60))</f>
        <v/>
      </c>
      <c r="H209" s="16" t="str">
        <f aca="true">IF($A209="","",IF($G209="","No Date",IF($G209&lt;TODAY(),"Past Due",IF($G209-TODAY()&lt;=30,"Due ≤30 Days","Later"))))</f>
        <v/>
      </c>
    </row>
    <row r="210" customFormat="false" ht="15" hidden="false" customHeight="true" outlineLevel="0" collapsed="false">
      <c r="A210" s="16" t="str">
        <f aca="false">IF('Dependency Register'!A61="","",'Dependency Register'!E61)</f>
        <v/>
      </c>
      <c r="B210" s="16" t="str">
        <f aca="false">IF($A210="","","Receiving")</f>
        <v/>
      </c>
      <c r="C210" s="16" t="str">
        <f aca="false">IF($A210="","",'Dependency Register'!B61)</f>
        <v/>
      </c>
      <c r="D210" s="16" t="str">
        <f aca="false">IF($A210="","",'Dependency Register'!A61)</f>
        <v/>
      </c>
      <c r="E210" s="16" t="str">
        <f aca="false">IF($A210="","",'Dependency Register'!O61)</f>
        <v/>
      </c>
      <c r="F210" s="16" t="str">
        <f aca="false">IF($A210="","",'Dependency Register'!P61)</f>
        <v/>
      </c>
      <c r="G210" s="20" t="str">
        <f aca="false">IF($A210="","",IF('Dependency Register'!L61="","",'Dependency Register'!L61))</f>
        <v/>
      </c>
      <c r="H210" s="16" t="str">
        <f aca="true">IF($A210="","",IF($G210="","No Date",IF($G210&lt;TODAY(),"Past Due",IF($G210-TODAY()&lt;=30,"Due ≤30 Days","Later"))))</f>
        <v/>
      </c>
    </row>
    <row r="211" customFormat="false" ht="15" hidden="false" customHeight="true" outlineLevel="0" collapsed="false">
      <c r="A211" s="16" t="str">
        <f aca="false">IF('Dependency Register'!A62="","",'Dependency Register'!E62)</f>
        <v/>
      </c>
      <c r="B211" s="16" t="str">
        <f aca="false">IF($A211="","","Receiving")</f>
        <v/>
      </c>
      <c r="C211" s="16" t="str">
        <f aca="false">IF($A211="","",'Dependency Register'!B62)</f>
        <v/>
      </c>
      <c r="D211" s="16" t="str">
        <f aca="false">IF($A211="","",'Dependency Register'!A62)</f>
        <v/>
      </c>
      <c r="E211" s="16" t="str">
        <f aca="false">IF($A211="","",'Dependency Register'!O62)</f>
        <v/>
      </c>
      <c r="F211" s="16" t="str">
        <f aca="false">IF($A211="","",'Dependency Register'!P62)</f>
        <v/>
      </c>
      <c r="G211" s="20" t="str">
        <f aca="false">IF($A211="","",IF('Dependency Register'!L62="","",'Dependency Register'!L62))</f>
        <v/>
      </c>
      <c r="H211" s="16" t="str">
        <f aca="true">IF($A211="","",IF($G211="","No Date",IF($G211&lt;TODAY(),"Past Due",IF($G211-TODAY()&lt;=30,"Due ≤30 Days","Later"))))</f>
        <v/>
      </c>
    </row>
    <row r="212" customFormat="false" ht="15" hidden="false" customHeight="true" outlineLevel="0" collapsed="false">
      <c r="A212" s="16" t="str">
        <f aca="false">IF('Dependency Register'!A63="","",'Dependency Register'!E63)</f>
        <v/>
      </c>
      <c r="B212" s="16" t="str">
        <f aca="false">IF($A212="","","Receiving")</f>
        <v/>
      </c>
      <c r="C212" s="16" t="str">
        <f aca="false">IF($A212="","",'Dependency Register'!B63)</f>
        <v/>
      </c>
      <c r="D212" s="16" t="str">
        <f aca="false">IF($A212="","",'Dependency Register'!A63)</f>
        <v/>
      </c>
      <c r="E212" s="16" t="str">
        <f aca="false">IF($A212="","",'Dependency Register'!O63)</f>
        <v/>
      </c>
      <c r="F212" s="16" t="str">
        <f aca="false">IF($A212="","",'Dependency Register'!P63)</f>
        <v/>
      </c>
      <c r="G212" s="20" t="str">
        <f aca="false">IF($A212="","",IF('Dependency Register'!L63="","",'Dependency Register'!L63))</f>
        <v/>
      </c>
      <c r="H212" s="16" t="str">
        <f aca="true">IF($A212="","",IF($G212="","No Date",IF($G212&lt;TODAY(),"Past Due",IF($G212-TODAY()&lt;=30,"Due ≤30 Days","Later"))))</f>
        <v/>
      </c>
    </row>
    <row r="213" customFormat="false" ht="15" hidden="false" customHeight="true" outlineLevel="0" collapsed="false">
      <c r="A213" s="16" t="str">
        <f aca="false">IF('Dependency Register'!A64="","",'Dependency Register'!E64)</f>
        <v/>
      </c>
      <c r="B213" s="16" t="str">
        <f aca="false">IF($A213="","","Receiving")</f>
        <v/>
      </c>
      <c r="C213" s="16" t="str">
        <f aca="false">IF($A213="","",'Dependency Register'!B64)</f>
        <v/>
      </c>
      <c r="D213" s="16" t="str">
        <f aca="false">IF($A213="","",'Dependency Register'!A64)</f>
        <v/>
      </c>
      <c r="E213" s="16" t="str">
        <f aca="false">IF($A213="","",'Dependency Register'!O64)</f>
        <v/>
      </c>
      <c r="F213" s="16" t="str">
        <f aca="false">IF($A213="","",'Dependency Register'!P64)</f>
        <v/>
      </c>
      <c r="G213" s="20" t="str">
        <f aca="false">IF($A213="","",IF('Dependency Register'!L64="","",'Dependency Register'!L64))</f>
        <v/>
      </c>
      <c r="H213" s="16" t="str">
        <f aca="true">IF($A213="","",IF($G213="","No Date",IF($G213&lt;TODAY(),"Past Due",IF($G213-TODAY()&lt;=30,"Due ≤30 Days","Later"))))</f>
        <v/>
      </c>
    </row>
    <row r="214" customFormat="false" ht="15" hidden="false" customHeight="true" outlineLevel="0" collapsed="false">
      <c r="A214" s="16" t="str">
        <f aca="false">IF('Dependency Register'!A65="","",'Dependency Register'!E65)</f>
        <v/>
      </c>
      <c r="B214" s="16" t="str">
        <f aca="false">IF($A214="","","Receiving")</f>
        <v/>
      </c>
      <c r="C214" s="16" t="str">
        <f aca="false">IF($A214="","",'Dependency Register'!B65)</f>
        <v/>
      </c>
      <c r="D214" s="16" t="str">
        <f aca="false">IF($A214="","",'Dependency Register'!A65)</f>
        <v/>
      </c>
      <c r="E214" s="16" t="str">
        <f aca="false">IF($A214="","",'Dependency Register'!O65)</f>
        <v/>
      </c>
      <c r="F214" s="16" t="str">
        <f aca="false">IF($A214="","",'Dependency Register'!P65)</f>
        <v/>
      </c>
      <c r="G214" s="20" t="str">
        <f aca="false">IF($A214="","",IF('Dependency Register'!L65="","",'Dependency Register'!L65))</f>
        <v/>
      </c>
      <c r="H214" s="16" t="str">
        <f aca="true">IF($A214="","",IF($G214="","No Date",IF($G214&lt;TODAY(),"Past Due",IF($G214-TODAY()&lt;=30,"Due ≤30 Days","Later"))))</f>
        <v/>
      </c>
    </row>
    <row r="215" customFormat="false" ht="15" hidden="false" customHeight="true" outlineLevel="0" collapsed="false">
      <c r="A215" s="16" t="str">
        <f aca="false">IF('Dependency Register'!A66="","",'Dependency Register'!E66)</f>
        <v/>
      </c>
      <c r="B215" s="16" t="str">
        <f aca="false">IF($A215="","","Receiving")</f>
        <v/>
      </c>
      <c r="C215" s="16" t="str">
        <f aca="false">IF($A215="","",'Dependency Register'!B66)</f>
        <v/>
      </c>
      <c r="D215" s="16" t="str">
        <f aca="false">IF($A215="","",'Dependency Register'!A66)</f>
        <v/>
      </c>
      <c r="E215" s="16" t="str">
        <f aca="false">IF($A215="","",'Dependency Register'!O66)</f>
        <v/>
      </c>
      <c r="F215" s="16" t="str">
        <f aca="false">IF($A215="","",'Dependency Register'!P66)</f>
        <v/>
      </c>
      <c r="G215" s="20" t="str">
        <f aca="false">IF($A215="","",IF('Dependency Register'!L66="","",'Dependency Register'!L66))</f>
        <v/>
      </c>
      <c r="H215" s="16" t="str">
        <f aca="true">IF($A215="","",IF($G215="","No Date",IF($G215&lt;TODAY(),"Past Due",IF($G215-TODAY()&lt;=30,"Due ≤30 Days","Later"))))</f>
        <v/>
      </c>
    </row>
    <row r="216" customFormat="false" ht="15" hidden="false" customHeight="true" outlineLevel="0" collapsed="false">
      <c r="A216" s="16" t="str">
        <f aca="false">IF('Dependency Register'!A67="","",'Dependency Register'!E67)</f>
        <v/>
      </c>
      <c r="B216" s="16" t="str">
        <f aca="false">IF($A216="","","Receiving")</f>
        <v/>
      </c>
      <c r="C216" s="16" t="str">
        <f aca="false">IF($A216="","",'Dependency Register'!B67)</f>
        <v/>
      </c>
      <c r="D216" s="16" t="str">
        <f aca="false">IF($A216="","",'Dependency Register'!A67)</f>
        <v/>
      </c>
      <c r="E216" s="16" t="str">
        <f aca="false">IF($A216="","",'Dependency Register'!O67)</f>
        <v/>
      </c>
      <c r="F216" s="16" t="str">
        <f aca="false">IF($A216="","",'Dependency Register'!P67)</f>
        <v/>
      </c>
      <c r="G216" s="20" t="str">
        <f aca="false">IF($A216="","",IF('Dependency Register'!L67="","",'Dependency Register'!L67))</f>
        <v/>
      </c>
      <c r="H216" s="16" t="str">
        <f aca="true">IF($A216="","",IF($G216="","No Date",IF($G216&lt;TODAY(),"Past Due",IF($G216-TODAY()&lt;=30,"Due ≤30 Days","Later"))))</f>
        <v/>
      </c>
    </row>
    <row r="217" customFormat="false" ht="15" hidden="false" customHeight="true" outlineLevel="0" collapsed="false">
      <c r="A217" s="16" t="str">
        <f aca="false">IF('Dependency Register'!A68="","",'Dependency Register'!E68)</f>
        <v/>
      </c>
      <c r="B217" s="16" t="str">
        <f aca="false">IF($A217="","","Receiving")</f>
        <v/>
      </c>
      <c r="C217" s="16" t="str">
        <f aca="false">IF($A217="","",'Dependency Register'!B68)</f>
        <v/>
      </c>
      <c r="D217" s="16" t="str">
        <f aca="false">IF($A217="","",'Dependency Register'!A68)</f>
        <v/>
      </c>
      <c r="E217" s="16" t="str">
        <f aca="false">IF($A217="","",'Dependency Register'!O68)</f>
        <v/>
      </c>
      <c r="F217" s="16" t="str">
        <f aca="false">IF($A217="","",'Dependency Register'!P68)</f>
        <v/>
      </c>
      <c r="G217" s="20" t="str">
        <f aca="false">IF($A217="","",IF('Dependency Register'!L68="","",'Dependency Register'!L68))</f>
        <v/>
      </c>
      <c r="H217" s="16" t="str">
        <f aca="true">IF($A217="","",IF($G217="","No Date",IF($G217&lt;TODAY(),"Past Due",IF($G217-TODAY()&lt;=30,"Due ≤30 Days","Later"))))</f>
        <v/>
      </c>
    </row>
    <row r="218" customFormat="false" ht="15" hidden="false" customHeight="true" outlineLevel="0" collapsed="false">
      <c r="A218" s="16" t="str">
        <f aca="false">IF('Dependency Register'!A69="","",'Dependency Register'!E69)</f>
        <v/>
      </c>
      <c r="B218" s="16" t="str">
        <f aca="false">IF($A218="","","Receiving")</f>
        <v/>
      </c>
      <c r="C218" s="16" t="str">
        <f aca="false">IF($A218="","",'Dependency Register'!B69)</f>
        <v/>
      </c>
      <c r="D218" s="16" t="str">
        <f aca="false">IF($A218="","",'Dependency Register'!A69)</f>
        <v/>
      </c>
      <c r="E218" s="16" t="str">
        <f aca="false">IF($A218="","",'Dependency Register'!O69)</f>
        <v/>
      </c>
      <c r="F218" s="16" t="str">
        <f aca="false">IF($A218="","",'Dependency Register'!P69)</f>
        <v/>
      </c>
      <c r="G218" s="20" t="str">
        <f aca="false">IF($A218="","",IF('Dependency Register'!L69="","",'Dependency Register'!L69))</f>
        <v/>
      </c>
      <c r="H218" s="16" t="str">
        <f aca="true">IF($A218="","",IF($G218="","No Date",IF($G218&lt;TODAY(),"Past Due",IF($G218-TODAY()&lt;=30,"Due ≤30 Days","Later"))))</f>
        <v/>
      </c>
    </row>
    <row r="219" customFormat="false" ht="15" hidden="false" customHeight="true" outlineLevel="0" collapsed="false">
      <c r="A219" s="16" t="str">
        <f aca="false">IF('Dependency Register'!A70="","",'Dependency Register'!E70)</f>
        <v/>
      </c>
      <c r="B219" s="16" t="str">
        <f aca="false">IF($A219="","","Receiving")</f>
        <v/>
      </c>
      <c r="C219" s="16" t="str">
        <f aca="false">IF($A219="","",'Dependency Register'!B70)</f>
        <v/>
      </c>
      <c r="D219" s="16" t="str">
        <f aca="false">IF($A219="","",'Dependency Register'!A70)</f>
        <v/>
      </c>
      <c r="E219" s="16" t="str">
        <f aca="false">IF($A219="","",'Dependency Register'!O70)</f>
        <v/>
      </c>
      <c r="F219" s="16" t="str">
        <f aca="false">IF($A219="","",'Dependency Register'!P70)</f>
        <v/>
      </c>
      <c r="G219" s="20" t="str">
        <f aca="false">IF($A219="","",IF('Dependency Register'!L70="","",'Dependency Register'!L70))</f>
        <v/>
      </c>
      <c r="H219" s="16" t="str">
        <f aca="true">IF($A219="","",IF($G219="","No Date",IF($G219&lt;TODAY(),"Past Due",IF($G219-TODAY()&lt;=30,"Due ≤30 Days","Later"))))</f>
        <v/>
      </c>
    </row>
    <row r="220" customFormat="false" ht="15" hidden="false" customHeight="true" outlineLevel="0" collapsed="false">
      <c r="A220" s="16" t="str">
        <f aca="false">IF('Dependency Register'!A71="","",'Dependency Register'!E71)</f>
        <v/>
      </c>
      <c r="B220" s="16" t="str">
        <f aca="false">IF($A220="","","Receiving")</f>
        <v/>
      </c>
      <c r="C220" s="16" t="str">
        <f aca="false">IF($A220="","",'Dependency Register'!B71)</f>
        <v/>
      </c>
      <c r="D220" s="16" t="str">
        <f aca="false">IF($A220="","",'Dependency Register'!A71)</f>
        <v/>
      </c>
      <c r="E220" s="16" t="str">
        <f aca="false">IF($A220="","",'Dependency Register'!O71)</f>
        <v/>
      </c>
      <c r="F220" s="16" t="str">
        <f aca="false">IF($A220="","",'Dependency Register'!P71)</f>
        <v/>
      </c>
      <c r="G220" s="20" t="str">
        <f aca="false">IF($A220="","",IF('Dependency Register'!L71="","",'Dependency Register'!L71))</f>
        <v/>
      </c>
      <c r="H220" s="16" t="str">
        <f aca="true">IF($A220="","",IF($G220="","No Date",IF($G220&lt;TODAY(),"Past Due",IF($G220-TODAY()&lt;=30,"Due ≤30 Days","Later"))))</f>
        <v/>
      </c>
    </row>
    <row r="221" customFormat="false" ht="15" hidden="false" customHeight="true" outlineLevel="0" collapsed="false">
      <c r="A221" s="16" t="str">
        <f aca="false">IF('Dependency Register'!A72="","",'Dependency Register'!E72)</f>
        <v/>
      </c>
      <c r="B221" s="16" t="str">
        <f aca="false">IF($A221="","","Receiving")</f>
        <v/>
      </c>
      <c r="C221" s="16" t="str">
        <f aca="false">IF($A221="","",'Dependency Register'!B72)</f>
        <v/>
      </c>
      <c r="D221" s="16" t="str">
        <f aca="false">IF($A221="","",'Dependency Register'!A72)</f>
        <v/>
      </c>
      <c r="E221" s="16" t="str">
        <f aca="false">IF($A221="","",'Dependency Register'!O72)</f>
        <v/>
      </c>
      <c r="F221" s="16" t="str">
        <f aca="false">IF($A221="","",'Dependency Register'!P72)</f>
        <v/>
      </c>
      <c r="G221" s="20" t="str">
        <f aca="false">IF($A221="","",IF('Dependency Register'!L72="","",'Dependency Register'!L72))</f>
        <v/>
      </c>
      <c r="H221" s="16" t="str">
        <f aca="true">IF($A221="","",IF($G221="","No Date",IF($G221&lt;TODAY(),"Past Due",IF($G221-TODAY()&lt;=30,"Due ≤30 Days","Later"))))</f>
        <v/>
      </c>
    </row>
    <row r="222" customFormat="false" ht="15" hidden="false" customHeight="true" outlineLevel="0" collapsed="false">
      <c r="A222" s="16" t="str">
        <f aca="false">IF('Dependency Register'!A73="","",'Dependency Register'!E73)</f>
        <v/>
      </c>
      <c r="B222" s="16" t="str">
        <f aca="false">IF($A222="","","Receiving")</f>
        <v/>
      </c>
      <c r="C222" s="16" t="str">
        <f aca="false">IF($A222="","",'Dependency Register'!B73)</f>
        <v/>
      </c>
      <c r="D222" s="16" t="str">
        <f aca="false">IF($A222="","",'Dependency Register'!A73)</f>
        <v/>
      </c>
      <c r="E222" s="16" t="str">
        <f aca="false">IF($A222="","",'Dependency Register'!O73)</f>
        <v/>
      </c>
      <c r="F222" s="16" t="str">
        <f aca="false">IF($A222="","",'Dependency Register'!P73)</f>
        <v/>
      </c>
      <c r="G222" s="20" t="str">
        <f aca="false">IF($A222="","",IF('Dependency Register'!L73="","",'Dependency Register'!L73))</f>
        <v/>
      </c>
      <c r="H222" s="16" t="str">
        <f aca="true">IF($A222="","",IF($G222="","No Date",IF($G222&lt;TODAY(),"Past Due",IF($G222-TODAY()&lt;=30,"Due ≤30 Days","Later"))))</f>
        <v/>
      </c>
    </row>
    <row r="223" customFormat="false" ht="15" hidden="false" customHeight="true" outlineLevel="0" collapsed="false">
      <c r="A223" s="16" t="str">
        <f aca="false">IF('Dependency Register'!A74="","",'Dependency Register'!E74)</f>
        <v/>
      </c>
      <c r="B223" s="16" t="str">
        <f aca="false">IF($A223="","","Receiving")</f>
        <v/>
      </c>
      <c r="C223" s="16" t="str">
        <f aca="false">IF($A223="","",'Dependency Register'!B74)</f>
        <v/>
      </c>
      <c r="D223" s="16" t="str">
        <f aca="false">IF($A223="","",'Dependency Register'!A74)</f>
        <v/>
      </c>
      <c r="E223" s="16" t="str">
        <f aca="false">IF($A223="","",'Dependency Register'!O74)</f>
        <v/>
      </c>
      <c r="F223" s="16" t="str">
        <f aca="false">IF($A223="","",'Dependency Register'!P74)</f>
        <v/>
      </c>
      <c r="G223" s="20" t="str">
        <f aca="false">IF($A223="","",IF('Dependency Register'!L74="","",'Dependency Register'!L74))</f>
        <v/>
      </c>
      <c r="H223" s="16" t="str">
        <f aca="true">IF($A223="","",IF($G223="","No Date",IF($G223&lt;TODAY(),"Past Due",IF($G223-TODAY()&lt;=30,"Due ≤30 Days","Later"))))</f>
        <v/>
      </c>
    </row>
    <row r="224" customFormat="false" ht="15" hidden="false" customHeight="true" outlineLevel="0" collapsed="false">
      <c r="A224" s="16" t="str">
        <f aca="false">IF('Dependency Register'!A75="","",'Dependency Register'!E75)</f>
        <v/>
      </c>
      <c r="B224" s="16" t="str">
        <f aca="false">IF($A224="","","Receiving")</f>
        <v/>
      </c>
      <c r="C224" s="16" t="str">
        <f aca="false">IF($A224="","",'Dependency Register'!B75)</f>
        <v/>
      </c>
      <c r="D224" s="16" t="str">
        <f aca="false">IF($A224="","",'Dependency Register'!A75)</f>
        <v/>
      </c>
      <c r="E224" s="16" t="str">
        <f aca="false">IF($A224="","",'Dependency Register'!O75)</f>
        <v/>
      </c>
      <c r="F224" s="16" t="str">
        <f aca="false">IF($A224="","",'Dependency Register'!P75)</f>
        <v/>
      </c>
      <c r="G224" s="20" t="str">
        <f aca="false">IF($A224="","",IF('Dependency Register'!L75="","",'Dependency Register'!L75))</f>
        <v/>
      </c>
      <c r="H224" s="16" t="str">
        <f aca="true">IF($A224="","",IF($G224="","No Date",IF($G224&lt;TODAY(),"Past Due",IF($G224-TODAY()&lt;=30,"Due ≤30 Days","Later"))))</f>
        <v/>
      </c>
    </row>
    <row r="225" customFormat="false" ht="15" hidden="false" customHeight="true" outlineLevel="0" collapsed="false">
      <c r="A225" s="16" t="str">
        <f aca="false">IF('Dependency Register'!A76="","",'Dependency Register'!E76)</f>
        <v/>
      </c>
      <c r="B225" s="16" t="str">
        <f aca="false">IF($A225="","","Receiving")</f>
        <v/>
      </c>
      <c r="C225" s="16" t="str">
        <f aca="false">IF($A225="","",'Dependency Register'!B76)</f>
        <v/>
      </c>
      <c r="D225" s="16" t="str">
        <f aca="false">IF($A225="","",'Dependency Register'!A76)</f>
        <v/>
      </c>
      <c r="E225" s="16" t="str">
        <f aca="false">IF($A225="","",'Dependency Register'!O76)</f>
        <v/>
      </c>
      <c r="F225" s="16" t="str">
        <f aca="false">IF($A225="","",'Dependency Register'!P76)</f>
        <v/>
      </c>
      <c r="G225" s="20" t="str">
        <f aca="false">IF($A225="","",IF('Dependency Register'!L76="","",'Dependency Register'!L76))</f>
        <v/>
      </c>
      <c r="H225" s="16" t="str">
        <f aca="true">IF($A225="","",IF($G225="","No Date",IF($G225&lt;TODAY(),"Past Due",IF($G225-TODAY()&lt;=30,"Due ≤30 Days","Later"))))</f>
        <v/>
      </c>
    </row>
    <row r="226" customFormat="false" ht="15" hidden="false" customHeight="true" outlineLevel="0" collapsed="false">
      <c r="A226" s="16" t="str">
        <f aca="false">IF('Dependency Register'!A77="","",'Dependency Register'!E77)</f>
        <v/>
      </c>
      <c r="B226" s="16" t="str">
        <f aca="false">IF($A226="","","Receiving")</f>
        <v/>
      </c>
      <c r="C226" s="16" t="str">
        <f aca="false">IF($A226="","",'Dependency Register'!B77)</f>
        <v/>
      </c>
      <c r="D226" s="16" t="str">
        <f aca="false">IF($A226="","",'Dependency Register'!A77)</f>
        <v/>
      </c>
      <c r="E226" s="16" t="str">
        <f aca="false">IF($A226="","",'Dependency Register'!O77)</f>
        <v/>
      </c>
      <c r="F226" s="16" t="str">
        <f aca="false">IF($A226="","",'Dependency Register'!P77)</f>
        <v/>
      </c>
      <c r="G226" s="20" t="str">
        <f aca="false">IF($A226="","",IF('Dependency Register'!L77="","",'Dependency Register'!L77))</f>
        <v/>
      </c>
      <c r="H226" s="16" t="str">
        <f aca="true">IF($A226="","",IF($G226="","No Date",IF($G226&lt;TODAY(),"Past Due",IF($G226-TODAY()&lt;=30,"Due ≤30 Days","Later"))))</f>
        <v/>
      </c>
    </row>
    <row r="227" customFormat="false" ht="15" hidden="false" customHeight="true" outlineLevel="0" collapsed="false">
      <c r="A227" s="16" t="str">
        <f aca="false">IF('Dependency Register'!A78="","",'Dependency Register'!E78)</f>
        <v/>
      </c>
      <c r="B227" s="16" t="str">
        <f aca="false">IF($A227="","","Receiving")</f>
        <v/>
      </c>
      <c r="C227" s="16" t="str">
        <f aca="false">IF($A227="","",'Dependency Register'!B78)</f>
        <v/>
      </c>
      <c r="D227" s="16" t="str">
        <f aca="false">IF($A227="","",'Dependency Register'!A78)</f>
        <v/>
      </c>
      <c r="E227" s="16" t="str">
        <f aca="false">IF($A227="","",'Dependency Register'!O78)</f>
        <v/>
      </c>
      <c r="F227" s="16" t="str">
        <f aca="false">IF($A227="","",'Dependency Register'!P78)</f>
        <v/>
      </c>
      <c r="G227" s="20" t="str">
        <f aca="false">IF($A227="","",IF('Dependency Register'!L78="","",'Dependency Register'!L78))</f>
        <v/>
      </c>
      <c r="H227" s="16" t="str">
        <f aca="true">IF($A227="","",IF($G227="","No Date",IF($G227&lt;TODAY(),"Past Due",IF($G227-TODAY()&lt;=30,"Due ≤30 Days","Later"))))</f>
        <v/>
      </c>
    </row>
    <row r="228" customFormat="false" ht="15" hidden="false" customHeight="true" outlineLevel="0" collapsed="false">
      <c r="A228" s="16" t="str">
        <f aca="false">IF('Dependency Register'!A79="","",'Dependency Register'!E79)</f>
        <v/>
      </c>
      <c r="B228" s="16" t="str">
        <f aca="false">IF($A228="","","Receiving")</f>
        <v/>
      </c>
      <c r="C228" s="16" t="str">
        <f aca="false">IF($A228="","",'Dependency Register'!B79)</f>
        <v/>
      </c>
      <c r="D228" s="16" t="str">
        <f aca="false">IF($A228="","",'Dependency Register'!A79)</f>
        <v/>
      </c>
      <c r="E228" s="16" t="str">
        <f aca="false">IF($A228="","",'Dependency Register'!O79)</f>
        <v/>
      </c>
      <c r="F228" s="16" t="str">
        <f aca="false">IF($A228="","",'Dependency Register'!P79)</f>
        <v/>
      </c>
      <c r="G228" s="20" t="str">
        <f aca="false">IF($A228="","",IF('Dependency Register'!L79="","",'Dependency Register'!L79))</f>
        <v/>
      </c>
      <c r="H228" s="16" t="str">
        <f aca="true">IF($A228="","",IF($G228="","No Date",IF($G228&lt;TODAY(),"Past Due",IF($G228-TODAY()&lt;=30,"Due ≤30 Days","Later"))))</f>
        <v/>
      </c>
    </row>
    <row r="229" customFormat="false" ht="15" hidden="false" customHeight="true" outlineLevel="0" collapsed="false">
      <c r="A229" s="16" t="str">
        <f aca="false">IF('Dependency Register'!A80="","",'Dependency Register'!E80)</f>
        <v/>
      </c>
      <c r="B229" s="16" t="str">
        <f aca="false">IF($A229="","","Receiving")</f>
        <v/>
      </c>
      <c r="C229" s="16" t="str">
        <f aca="false">IF($A229="","",'Dependency Register'!B80)</f>
        <v/>
      </c>
      <c r="D229" s="16" t="str">
        <f aca="false">IF($A229="","",'Dependency Register'!A80)</f>
        <v/>
      </c>
      <c r="E229" s="16" t="str">
        <f aca="false">IF($A229="","",'Dependency Register'!O80)</f>
        <v/>
      </c>
      <c r="F229" s="16" t="str">
        <f aca="false">IF($A229="","",'Dependency Register'!P80)</f>
        <v/>
      </c>
      <c r="G229" s="20" t="str">
        <f aca="false">IF($A229="","",IF('Dependency Register'!L80="","",'Dependency Register'!L80))</f>
        <v/>
      </c>
      <c r="H229" s="16" t="str">
        <f aca="true">IF($A229="","",IF($G229="","No Date",IF($G229&lt;TODAY(),"Past Due",IF($G229-TODAY()&lt;=30,"Due ≤30 Days","Later"))))</f>
        <v/>
      </c>
    </row>
    <row r="230" customFormat="false" ht="15" hidden="false" customHeight="true" outlineLevel="0" collapsed="false">
      <c r="A230" s="16" t="str">
        <f aca="false">IF('Dependency Register'!A81="","",'Dependency Register'!E81)</f>
        <v/>
      </c>
      <c r="B230" s="16" t="str">
        <f aca="false">IF($A230="","","Receiving")</f>
        <v/>
      </c>
      <c r="C230" s="16" t="str">
        <f aca="false">IF($A230="","",'Dependency Register'!B81)</f>
        <v/>
      </c>
      <c r="D230" s="16" t="str">
        <f aca="false">IF($A230="","",'Dependency Register'!A81)</f>
        <v/>
      </c>
      <c r="E230" s="16" t="str">
        <f aca="false">IF($A230="","",'Dependency Register'!O81)</f>
        <v/>
      </c>
      <c r="F230" s="16" t="str">
        <f aca="false">IF($A230="","",'Dependency Register'!P81)</f>
        <v/>
      </c>
      <c r="G230" s="20" t="str">
        <f aca="false">IF($A230="","",IF('Dependency Register'!L81="","",'Dependency Register'!L81))</f>
        <v/>
      </c>
      <c r="H230" s="16" t="str">
        <f aca="true">IF($A230="","",IF($G230="","No Date",IF($G230&lt;TODAY(),"Past Due",IF($G230-TODAY()&lt;=30,"Due ≤30 Days","Later"))))</f>
        <v/>
      </c>
    </row>
    <row r="231" customFormat="false" ht="15" hidden="false" customHeight="true" outlineLevel="0" collapsed="false">
      <c r="A231" s="16" t="str">
        <f aca="false">IF('Dependency Register'!A82="","",'Dependency Register'!E82)</f>
        <v/>
      </c>
      <c r="B231" s="16" t="str">
        <f aca="false">IF($A231="","","Receiving")</f>
        <v/>
      </c>
      <c r="C231" s="16" t="str">
        <f aca="false">IF($A231="","",'Dependency Register'!B82)</f>
        <v/>
      </c>
      <c r="D231" s="16" t="str">
        <f aca="false">IF($A231="","",'Dependency Register'!A82)</f>
        <v/>
      </c>
      <c r="E231" s="16" t="str">
        <f aca="false">IF($A231="","",'Dependency Register'!O82)</f>
        <v/>
      </c>
      <c r="F231" s="16" t="str">
        <f aca="false">IF($A231="","",'Dependency Register'!P82)</f>
        <v/>
      </c>
      <c r="G231" s="20" t="str">
        <f aca="false">IF($A231="","",IF('Dependency Register'!L82="","",'Dependency Register'!L82))</f>
        <v/>
      </c>
      <c r="H231" s="16" t="str">
        <f aca="true">IF($A231="","",IF($G231="","No Date",IF($G231&lt;TODAY(),"Past Due",IF($G231-TODAY()&lt;=30,"Due ≤30 Days","Later"))))</f>
        <v/>
      </c>
    </row>
    <row r="232" customFormat="false" ht="15" hidden="false" customHeight="true" outlineLevel="0" collapsed="false">
      <c r="A232" s="16" t="str">
        <f aca="false">IF('Dependency Register'!A83="","",'Dependency Register'!E83)</f>
        <v/>
      </c>
      <c r="B232" s="16" t="str">
        <f aca="false">IF($A232="","","Receiving")</f>
        <v/>
      </c>
      <c r="C232" s="16" t="str">
        <f aca="false">IF($A232="","",'Dependency Register'!B83)</f>
        <v/>
      </c>
      <c r="D232" s="16" t="str">
        <f aca="false">IF($A232="","",'Dependency Register'!A83)</f>
        <v/>
      </c>
      <c r="E232" s="16" t="str">
        <f aca="false">IF($A232="","",'Dependency Register'!O83)</f>
        <v/>
      </c>
      <c r="F232" s="16" t="str">
        <f aca="false">IF($A232="","",'Dependency Register'!P83)</f>
        <v/>
      </c>
      <c r="G232" s="20" t="str">
        <f aca="false">IF($A232="","",IF('Dependency Register'!L83="","",'Dependency Register'!L83))</f>
        <v/>
      </c>
      <c r="H232" s="16" t="str">
        <f aca="true">IF($A232="","",IF($G232="","No Date",IF($G232&lt;TODAY(),"Past Due",IF($G232-TODAY()&lt;=30,"Due ≤30 Days","Later"))))</f>
        <v/>
      </c>
    </row>
    <row r="233" customFormat="false" ht="15" hidden="false" customHeight="true" outlineLevel="0" collapsed="false">
      <c r="A233" s="16" t="str">
        <f aca="false">IF('Dependency Register'!A84="","",'Dependency Register'!E84)</f>
        <v/>
      </c>
      <c r="B233" s="16" t="str">
        <f aca="false">IF($A233="","","Receiving")</f>
        <v/>
      </c>
      <c r="C233" s="16" t="str">
        <f aca="false">IF($A233="","",'Dependency Register'!B84)</f>
        <v/>
      </c>
      <c r="D233" s="16" t="str">
        <f aca="false">IF($A233="","",'Dependency Register'!A84)</f>
        <v/>
      </c>
      <c r="E233" s="16" t="str">
        <f aca="false">IF($A233="","",'Dependency Register'!O84)</f>
        <v/>
      </c>
      <c r="F233" s="16" t="str">
        <f aca="false">IF($A233="","",'Dependency Register'!P84)</f>
        <v/>
      </c>
      <c r="G233" s="20" t="str">
        <f aca="false">IF($A233="","",IF('Dependency Register'!L84="","",'Dependency Register'!L84))</f>
        <v/>
      </c>
      <c r="H233" s="16" t="str">
        <f aca="true">IF($A233="","",IF($G233="","No Date",IF($G233&lt;TODAY(),"Past Due",IF($G233-TODAY()&lt;=30,"Due ≤30 Days","Later"))))</f>
        <v/>
      </c>
    </row>
    <row r="234" customFormat="false" ht="15" hidden="false" customHeight="true" outlineLevel="0" collapsed="false">
      <c r="A234" s="16" t="str">
        <f aca="false">IF('Dependency Register'!A85="","",'Dependency Register'!E85)</f>
        <v/>
      </c>
      <c r="B234" s="16" t="str">
        <f aca="false">IF($A234="","","Receiving")</f>
        <v/>
      </c>
      <c r="C234" s="16" t="str">
        <f aca="false">IF($A234="","",'Dependency Register'!B85)</f>
        <v/>
      </c>
      <c r="D234" s="16" t="str">
        <f aca="false">IF($A234="","",'Dependency Register'!A85)</f>
        <v/>
      </c>
      <c r="E234" s="16" t="str">
        <f aca="false">IF($A234="","",'Dependency Register'!O85)</f>
        <v/>
      </c>
      <c r="F234" s="16" t="str">
        <f aca="false">IF($A234="","",'Dependency Register'!P85)</f>
        <v/>
      </c>
      <c r="G234" s="20" t="str">
        <f aca="false">IF($A234="","",IF('Dependency Register'!L85="","",'Dependency Register'!L85))</f>
        <v/>
      </c>
      <c r="H234" s="16" t="str">
        <f aca="true">IF($A234="","",IF($G234="","No Date",IF($G234&lt;TODAY(),"Past Due",IF($G234-TODAY()&lt;=30,"Due ≤30 Days","Later"))))</f>
        <v/>
      </c>
    </row>
    <row r="235" customFormat="false" ht="15" hidden="false" customHeight="true" outlineLevel="0" collapsed="false">
      <c r="A235" s="16" t="str">
        <f aca="false">IF('Dependency Register'!A86="","",'Dependency Register'!E86)</f>
        <v/>
      </c>
      <c r="B235" s="16" t="str">
        <f aca="false">IF($A235="","","Receiving")</f>
        <v/>
      </c>
      <c r="C235" s="16" t="str">
        <f aca="false">IF($A235="","",'Dependency Register'!B86)</f>
        <v/>
      </c>
      <c r="D235" s="16" t="str">
        <f aca="false">IF($A235="","",'Dependency Register'!A86)</f>
        <v/>
      </c>
      <c r="E235" s="16" t="str">
        <f aca="false">IF($A235="","",'Dependency Register'!O86)</f>
        <v/>
      </c>
      <c r="F235" s="16" t="str">
        <f aca="false">IF($A235="","",'Dependency Register'!P86)</f>
        <v/>
      </c>
      <c r="G235" s="20" t="str">
        <f aca="false">IF($A235="","",IF('Dependency Register'!L86="","",'Dependency Register'!L86))</f>
        <v/>
      </c>
      <c r="H235" s="16" t="str">
        <f aca="true">IF($A235="","",IF($G235="","No Date",IF($G235&lt;TODAY(),"Past Due",IF($G235-TODAY()&lt;=30,"Due ≤30 Days","Later"))))</f>
        <v/>
      </c>
    </row>
    <row r="236" customFormat="false" ht="15" hidden="false" customHeight="true" outlineLevel="0" collapsed="false">
      <c r="A236" s="16" t="str">
        <f aca="false">IF('Dependency Register'!A87="","",'Dependency Register'!E87)</f>
        <v/>
      </c>
      <c r="B236" s="16" t="str">
        <f aca="false">IF($A236="","","Receiving")</f>
        <v/>
      </c>
      <c r="C236" s="16" t="str">
        <f aca="false">IF($A236="","",'Dependency Register'!B87)</f>
        <v/>
      </c>
      <c r="D236" s="16" t="str">
        <f aca="false">IF($A236="","",'Dependency Register'!A87)</f>
        <v/>
      </c>
      <c r="E236" s="16" t="str">
        <f aca="false">IF($A236="","",'Dependency Register'!O87)</f>
        <v/>
      </c>
      <c r="F236" s="16" t="str">
        <f aca="false">IF($A236="","",'Dependency Register'!P87)</f>
        <v/>
      </c>
      <c r="G236" s="20" t="str">
        <f aca="false">IF($A236="","",IF('Dependency Register'!L87="","",'Dependency Register'!L87))</f>
        <v/>
      </c>
      <c r="H236" s="16" t="str">
        <f aca="true">IF($A236="","",IF($G236="","No Date",IF($G236&lt;TODAY(),"Past Due",IF($G236-TODAY()&lt;=30,"Due ≤30 Days","Later"))))</f>
        <v/>
      </c>
    </row>
    <row r="237" customFormat="false" ht="15" hidden="false" customHeight="true" outlineLevel="0" collapsed="false">
      <c r="A237" s="16" t="str">
        <f aca="false">IF('Dependency Register'!A88="","",'Dependency Register'!E88)</f>
        <v/>
      </c>
      <c r="B237" s="16" t="str">
        <f aca="false">IF($A237="","","Receiving")</f>
        <v/>
      </c>
      <c r="C237" s="16" t="str">
        <f aca="false">IF($A237="","",'Dependency Register'!B88)</f>
        <v/>
      </c>
      <c r="D237" s="16" t="str">
        <f aca="false">IF($A237="","",'Dependency Register'!A88)</f>
        <v/>
      </c>
      <c r="E237" s="16" t="str">
        <f aca="false">IF($A237="","",'Dependency Register'!O88)</f>
        <v/>
      </c>
      <c r="F237" s="16" t="str">
        <f aca="false">IF($A237="","",'Dependency Register'!P88)</f>
        <v/>
      </c>
      <c r="G237" s="20" t="str">
        <f aca="false">IF($A237="","",IF('Dependency Register'!L88="","",'Dependency Register'!L88))</f>
        <v/>
      </c>
      <c r="H237" s="16" t="str">
        <f aca="true">IF($A237="","",IF($G237="","No Date",IF($G237&lt;TODAY(),"Past Due",IF($G237-TODAY()&lt;=30,"Due ≤30 Days","Later"))))</f>
        <v/>
      </c>
    </row>
    <row r="238" customFormat="false" ht="15" hidden="false" customHeight="true" outlineLevel="0" collapsed="false">
      <c r="A238" s="16" t="str">
        <f aca="false">IF('Dependency Register'!A89="","",'Dependency Register'!E89)</f>
        <v/>
      </c>
      <c r="B238" s="16" t="str">
        <f aca="false">IF($A238="","","Receiving")</f>
        <v/>
      </c>
      <c r="C238" s="16" t="str">
        <f aca="false">IF($A238="","",'Dependency Register'!B89)</f>
        <v/>
      </c>
      <c r="D238" s="16" t="str">
        <f aca="false">IF($A238="","",'Dependency Register'!A89)</f>
        <v/>
      </c>
      <c r="E238" s="16" t="str">
        <f aca="false">IF($A238="","",'Dependency Register'!O89)</f>
        <v/>
      </c>
      <c r="F238" s="16" t="str">
        <f aca="false">IF($A238="","",'Dependency Register'!P89)</f>
        <v/>
      </c>
      <c r="G238" s="20" t="str">
        <f aca="false">IF($A238="","",IF('Dependency Register'!L89="","",'Dependency Register'!L89))</f>
        <v/>
      </c>
      <c r="H238" s="16" t="str">
        <f aca="true">IF($A238="","",IF($G238="","No Date",IF($G238&lt;TODAY(),"Past Due",IF($G238-TODAY()&lt;=30,"Due ≤30 Days","Later"))))</f>
        <v/>
      </c>
    </row>
    <row r="239" customFormat="false" ht="15" hidden="false" customHeight="true" outlineLevel="0" collapsed="false">
      <c r="A239" s="16" t="str">
        <f aca="false">IF('Dependency Register'!A90="","",'Dependency Register'!E90)</f>
        <v/>
      </c>
      <c r="B239" s="16" t="str">
        <f aca="false">IF($A239="","","Receiving")</f>
        <v/>
      </c>
      <c r="C239" s="16" t="str">
        <f aca="false">IF($A239="","",'Dependency Register'!B90)</f>
        <v/>
      </c>
      <c r="D239" s="16" t="str">
        <f aca="false">IF($A239="","",'Dependency Register'!A90)</f>
        <v/>
      </c>
      <c r="E239" s="16" t="str">
        <f aca="false">IF($A239="","",'Dependency Register'!O90)</f>
        <v/>
      </c>
      <c r="F239" s="16" t="str">
        <f aca="false">IF($A239="","",'Dependency Register'!P90)</f>
        <v/>
      </c>
      <c r="G239" s="20" t="str">
        <f aca="false">IF($A239="","",IF('Dependency Register'!L90="","",'Dependency Register'!L90))</f>
        <v/>
      </c>
      <c r="H239" s="16" t="str">
        <f aca="true">IF($A239="","",IF($G239="","No Date",IF($G239&lt;TODAY(),"Past Due",IF($G239-TODAY()&lt;=30,"Due ≤30 Days","Later"))))</f>
        <v/>
      </c>
    </row>
    <row r="240" customFormat="false" ht="15" hidden="false" customHeight="true" outlineLevel="0" collapsed="false">
      <c r="A240" s="16" t="str">
        <f aca="false">IF('Dependency Register'!A91="","",'Dependency Register'!E91)</f>
        <v/>
      </c>
      <c r="B240" s="16" t="str">
        <f aca="false">IF($A240="","","Receiving")</f>
        <v/>
      </c>
      <c r="C240" s="16" t="str">
        <f aca="false">IF($A240="","",'Dependency Register'!B91)</f>
        <v/>
      </c>
      <c r="D240" s="16" t="str">
        <f aca="false">IF($A240="","",'Dependency Register'!A91)</f>
        <v/>
      </c>
      <c r="E240" s="16" t="str">
        <f aca="false">IF($A240="","",'Dependency Register'!O91)</f>
        <v/>
      </c>
      <c r="F240" s="16" t="str">
        <f aca="false">IF($A240="","",'Dependency Register'!P91)</f>
        <v/>
      </c>
      <c r="G240" s="20" t="str">
        <f aca="false">IF($A240="","",IF('Dependency Register'!L91="","",'Dependency Register'!L91))</f>
        <v/>
      </c>
      <c r="H240" s="16" t="str">
        <f aca="true">IF($A240="","",IF($G240="","No Date",IF($G240&lt;TODAY(),"Past Due",IF($G240-TODAY()&lt;=30,"Due ≤30 Days","Later"))))</f>
        <v/>
      </c>
    </row>
    <row r="241" customFormat="false" ht="15" hidden="false" customHeight="true" outlineLevel="0" collapsed="false">
      <c r="A241" s="16" t="str">
        <f aca="false">IF('Dependency Register'!A92="","",'Dependency Register'!E92)</f>
        <v/>
      </c>
      <c r="B241" s="16" t="str">
        <f aca="false">IF($A241="","","Receiving")</f>
        <v/>
      </c>
      <c r="C241" s="16" t="str">
        <f aca="false">IF($A241="","",'Dependency Register'!B92)</f>
        <v/>
      </c>
      <c r="D241" s="16" t="str">
        <f aca="false">IF($A241="","",'Dependency Register'!A92)</f>
        <v/>
      </c>
      <c r="E241" s="16" t="str">
        <f aca="false">IF($A241="","",'Dependency Register'!O92)</f>
        <v/>
      </c>
      <c r="F241" s="16" t="str">
        <f aca="false">IF($A241="","",'Dependency Register'!P92)</f>
        <v/>
      </c>
      <c r="G241" s="20" t="str">
        <f aca="false">IF($A241="","",IF('Dependency Register'!L92="","",'Dependency Register'!L92))</f>
        <v/>
      </c>
      <c r="H241" s="16" t="str">
        <f aca="true">IF($A241="","",IF($G241="","No Date",IF($G241&lt;TODAY(),"Past Due",IF($G241-TODAY()&lt;=30,"Due ≤30 Days","Later"))))</f>
        <v/>
      </c>
    </row>
    <row r="242" customFormat="false" ht="15" hidden="false" customHeight="true" outlineLevel="0" collapsed="false">
      <c r="A242" s="16" t="str">
        <f aca="false">IF('Dependency Register'!A93="","",'Dependency Register'!E93)</f>
        <v/>
      </c>
      <c r="B242" s="16" t="str">
        <f aca="false">IF($A242="","","Receiving")</f>
        <v/>
      </c>
      <c r="C242" s="16" t="str">
        <f aca="false">IF($A242="","",'Dependency Register'!B93)</f>
        <v/>
      </c>
      <c r="D242" s="16" t="str">
        <f aca="false">IF($A242="","",'Dependency Register'!A93)</f>
        <v/>
      </c>
      <c r="E242" s="16" t="str">
        <f aca="false">IF($A242="","",'Dependency Register'!O93)</f>
        <v/>
      </c>
      <c r="F242" s="16" t="str">
        <f aca="false">IF($A242="","",'Dependency Register'!P93)</f>
        <v/>
      </c>
      <c r="G242" s="20" t="str">
        <f aca="false">IF($A242="","",IF('Dependency Register'!L93="","",'Dependency Register'!L93))</f>
        <v/>
      </c>
      <c r="H242" s="16" t="str">
        <f aca="true">IF($A242="","",IF($G242="","No Date",IF($G242&lt;TODAY(),"Past Due",IF($G242-TODAY()&lt;=30,"Due ≤30 Days","Later"))))</f>
        <v/>
      </c>
    </row>
    <row r="243" customFormat="false" ht="15" hidden="false" customHeight="true" outlineLevel="0" collapsed="false">
      <c r="A243" s="16" t="str">
        <f aca="false">IF('Dependency Register'!A94="","",'Dependency Register'!E94)</f>
        <v/>
      </c>
      <c r="B243" s="16" t="str">
        <f aca="false">IF($A243="","","Receiving")</f>
        <v/>
      </c>
      <c r="C243" s="16" t="str">
        <f aca="false">IF($A243="","",'Dependency Register'!B94)</f>
        <v/>
      </c>
      <c r="D243" s="16" t="str">
        <f aca="false">IF($A243="","",'Dependency Register'!A94)</f>
        <v/>
      </c>
      <c r="E243" s="16" t="str">
        <f aca="false">IF($A243="","",'Dependency Register'!O94)</f>
        <v/>
      </c>
      <c r="F243" s="16" t="str">
        <f aca="false">IF($A243="","",'Dependency Register'!P94)</f>
        <v/>
      </c>
      <c r="G243" s="20" t="str">
        <f aca="false">IF($A243="","",IF('Dependency Register'!L94="","",'Dependency Register'!L94))</f>
        <v/>
      </c>
      <c r="H243" s="16" t="str">
        <f aca="true">IF($A243="","",IF($G243="","No Date",IF($G243&lt;TODAY(),"Past Due",IF($G243-TODAY()&lt;=30,"Due ≤30 Days","Later"))))</f>
        <v/>
      </c>
    </row>
    <row r="244" customFormat="false" ht="15" hidden="false" customHeight="true" outlineLevel="0" collapsed="false">
      <c r="A244" s="16" t="str">
        <f aca="false">IF('Dependency Register'!A95="","",'Dependency Register'!E95)</f>
        <v/>
      </c>
      <c r="B244" s="16" t="str">
        <f aca="false">IF($A244="","","Receiving")</f>
        <v/>
      </c>
      <c r="C244" s="16" t="str">
        <f aca="false">IF($A244="","",'Dependency Register'!B95)</f>
        <v/>
      </c>
      <c r="D244" s="16" t="str">
        <f aca="false">IF($A244="","",'Dependency Register'!A95)</f>
        <v/>
      </c>
      <c r="E244" s="16" t="str">
        <f aca="false">IF($A244="","",'Dependency Register'!O95)</f>
        <v/>
      </c>
      <c r="F244" s="16" t="str">
        <f aca="false">IF($A244="","",'Dependency Register'!P95)</f>
        <v/>
      </c>
      <c r="G244" s="20" t="str">
        <f aca="false">IF($A244="","",IF('Dependency Register'!L95="","",'Dependency Register'!L95))</f>
        <v/>
      </c>
      <c r="H244" s="16" t="str">
        <f aca="true">IF($A244="","",IF($G244="","No Date",IF($G244&lt;TODAY(),"Past Due",IF($G244-TODAY()&lt;=30,"Due ≤30 Days","Later"))))</f>
        <v/>
      </c>
    </row>
    <row r="245" customFormat="false" ht="15" hidden="false" customHeight="true" outlineLevel="0" collapsed="false">
      <c r="A245" s="16" t="str">
        <f aca="false">IF('Dependency Register'!A96="","",'Dependency Register'!E96)</f>
        <v/>
      </c>
      <c r="B245" s="16" t="str">
        <f aca="false">IF($A245="","","Receiving")</f>
        <v/>
      </c>
      <c r="C245" s="16" t="str">
        <f aca="false">IF($A245="","",'Dependency Register'!B96)</f>
        <v/>
      </c>
      <c r="D245" s="16" t="str">
        <f aca="false">IF($A245="","",'Dependency Register'!A96)</f>
        <v/>
      </c>
      <c r="E245" s="16" t="str">
        <f aca="false">IF($A245="","",'Dependency Register'!O96)</f>
        <v/>
      </c>
      <c r="F245" s="16" t="str">
        <f aca="false">IF($A245="","",'Dependency Register'!P96)</f>
        <v/>
      </c>
      <c r="G245" s="20" t="str">
        <f aca="false">IF($A245="","",IF('Dependency Register'!L96="","",'Dependency Register'!L96))</f>
        <v/>
      </c>
      <c r="H245" s="16" t="str">
        <f aca="true">IF($A245="","",IF($G245="","No Date",IF($G245&lt;TODAY(),"Past Due",IF($G245-TODAY()&lt;=30,"Due ≤30 Days","Later"))))</f>
        <v/>
      </c>
    </row>
    <row r="246" customFormat="false" ht="15" hidden="false" customHeight="true" outlineLevel="0" collapsed="false">
      <c r="A246" s="16" t="str">
        <f aca="false">IF('Dependency Register'!A97="","",'Dependency Register'!E97)</f>
        <v/>
      </c>
      <c r="B246" s="16" t="str">
        <f aca="false">IF($A246="","","Receiving")</f>
        <v/>
      </c>
      <c r="C246" s="16" t="str">
        <f aca="false">IF($A246="","",'Dependency Register'!B97)</f>
        <v/>
      </c>
      <c r="D246" s="16" t="str">
        <f aca="false">IF($A246="","",'Dependency Register'!A97)</f>
        <v/>
      </c>
      <c r="E246" s="16" t="str">
        <f aca="false">IF($A246="","",'Dependency Register'!O97)</f>
        <v/>
      </c>
      <c r="F246" s="16" t="str">
        <f aca="false">IF($A246="","",'Dependency Register'!P97)</f>
        <v/>
      </c>
      <c r="G246" s="20" t="str">
        <f aca="false">IF($A246="","",IF('Dependency Register'!L97="","",'Dependency Register'!L97))</f>
        <v/>
      </c>
      <c r="H246" s="16" t="str">
        <f aca="true">IF($A246="","",IF($G246="","No Date",IF($G246&lt;TODAY(),"Past Due",IF($G246-TODAY()&lt;=30,"Due ≤30 Days","Later"))))</f>
        <v/>
      </c>
    </row>
    <row r="247" customFormat="false" ht="15" hidden="false" customHeight="true" outlineLevel="0" collapsed="false">
      <c r="A247" s="16" t="str">
        <f aca="false">IF('Dependency Register'!A98="","",'Dependency Register'!E98)</f>
        <v/>
      </c>
      <c r="B247" s="16" t="str">
        <f aca="false">IF($A247="","","Receiving")</f>
        <v/>
      </c>
      <c r="C247" s="16" t="str">
        <f aca="false">IF($A247="","",'Dependency Register'!B98)</f>
        <v/>
      </c>
      <c r="D247" s="16" t="str">
        <f aca="false">IF($A247="","",'Dependency Register'!A98)</f>
        <v/>
      </c>
      <c r="E247" s="16" t="str">
        <f aca="false">IF($A247="","",'Dependency Register'!O98)</f>
        <v/>
      </c>
      <c r="F247" s="16" t="str">
        <f aca="false">IF($A247="","",'Dependency Register'!P98)</f>
        <v/>
      </c>
      <c r="G247" s="20" t="str">
        <f aca="false">IF($A247="","",IF('Dependency Register'!L98="","",'Dependency Register'!L98))</f>
        <v/>
      </c>
      <c r="H247" s="16" t="str">
        <f aca="true">IF($A247="","",IF($G247="","No Date",IF($G247&lt;TODAY(),"Past Due",IF($G247-TODAY()&lt;=30,"Due ≤30 Days","Later"))))</f>
        <v/>
      </c>
    </row>
    <row r="248" customFormat="false" ht="15" hidden="false" customHeight="true" outlineLevel="0" collapsed="false">
      <c r="A248" s="16" t="str">
        <f aca="false">IF('Dependency Register'!A99="","",'Dependency Register'!E99)</f>
        <v/>
      </c>
      <c r="B248" s="16" t="str">
        <f aca="false">IF($A248="","","Receiving")</f>
        <v/>
      </c>
      <c r="C248" s="16" t="str">
        <f aca="false">IF($A248="","",'Dependency Register'!B99)</f>
        <v/>
      </c>
      <c r="D248" s="16" t="str">
        <f aca="false">IF($A248="","",'Dependency Register'!A99)</f>
        <v/>
      </c>
      <c r="E248" s="16" t="str">
        <f aca="false">IF($A248="","",'Dependency Register'!O99)</f>
        <v/>
      </c>
      <c r="F248" s="16" t="str">
        <f aca="false">IF($A248="","",'Dependency Register'!P99)</f>
        <v/>
      </c>
      <c r="G248" s="20" t="str">
        <f aca="false">IF($A248="","",IF('Dependency Register'!L99="","",'Dependency Register'!L99))</f>
        <v/>
      </c>
      <c r="H248" s="16" t="str">
        <f aca="true">IF($A248="","",IF($G248="","No Date",IF($G248&lt;TODAY(),"Past Due",IF($G248-TODAY()&lt;=30,"Due ≤30 Days","Later"))))</f>
        <v/>
      </c>
    </row>
    <row r="249" customFormat="false" ht="15" hidden="false" customHeight="true" outlineLevel="0" collapsed="false">
      <c r="A249" s="16" t="str">
        <f aca="false">IF('Dependency Register'!A100="","",'Dependency Register'!E100)</f>
        <v/>
      </c>
      <c r="B249" s="16" t="str">
        <f aca="false">IF($A249="","","Receiving")</f>
        <v/>
      </c>
      <c r="C249" s="16" t="str">
        <f aca="false">IF($A249="","",'Dependency Register'!B100)</f>
        <v/>
      </c>
      <c r="D249" s="16" t="str">
        <f aca="false">IF($A249="","",'Dependency Register'!A100)</f>
        <v/>
      </c>
      <c r="E249" s="16" t="str">
        <f aca="false">IF($A249="","",'Dependency Register'!O100)</f>
        <v/>
      </c>
      <c r="F249" s="16" t="str">
        <f aca="false">IF($A249="","",'Dependency Register'!P100)</f>
        <v/>
      </c>
      <c r="G249" s="20" t="str">
        <f aca="false">IF($A249="","",IF('Dependency Register'!L100="","",'Dependency Register'!L100))</f>
        <v/>
      </c>
      <c r="H249" s="16" t="str">
        <f aca="true">IF($A249="","",IF($G249="","No Date",IF($G249&lt;TODAY(),"Past Due",IF($G249-TODAY()&lt;=30,"Due ≤30 Days","Later"))))</f>
        <v/>
      </c>
    </row>
    <row r="250" customFormat="false" ht="15" hidden="false" customHeight="true" outlineLevel="0" collapsed="false">
      <c r="A250" s="16" t="str">
        <f aca="false">IF('Dependency Register'!A101="","",'Dependency Register'!E101)</f>
        <v/>
      </c>
      <c r="B250" s="16" t="str">
        <f aca="false">IF($A250="","","Receiving")</f>
        <v/>
      </c>
      <c r="C250" s="16" t="str">
        <f aca="false">IF($A250="","",'Dependency Register'!B101)</f>
        <v/>
      </c>
      <c r="D250" s="16" t="str">
        <f aca="false">IF($A250="","",'Dependency Register'!A101)</f>
        <v/>
      </c>
      <c r="E250" s="16" t="str">
        <f aca="false">IF($A250="","",'Dependency Register'!O101)</f>
        <v/>
      </c>
      <c r="F250" s="16" t="str">
        <f aca="false">IF($A250="","",'Dependency Register'!P101)</f>
        <v/>
      </c>
      <c r="G250" s="20" t="str">
        <f aca="false">IF($A250="","",IF('Dependency Register'!L101="","",'Dependency Register'!L101))</f>
        <v/>
      </c>
      <c r="H250" s="16" t="str">
        <f aca="true">IF($A250="","",IF($G250="","No Date",IF($G250&lt;TODAY(),"Past Due",IF($G250-TODAY()&lt;=30,"Due ≤30 Days","Later"))))</f>
        <v/>
      </c>
    </row>
    <row r="251" customFormat="false" ht="15" hidden="false" customHeight="true" outlineLevel="0" collapsed="false">
      <c r="A251" s="16" t="str">
        <f aca="false">IF('Dependency Register'!A102="","",'Dependency Register'!E102)</f>
        <v/>
      </c>
      <c r="B251" s="16" t="str">
        <f aca="false">IF($A251="","","Receiving")</f>
        <v/>
      </c>
      <c r="C251" s="16" t="str">
        <f aca="false">IF($A251="","",'Dependency Register'!B102)</f>
        <v/>
      </c>
      <c r="D251" s="16" t="str">
        <f aca="false">IF($A251="","",'Dependency Register'!A102)</f>
        <v/>
      </c>
      <c r="E251" s="16" t="str">
        <f aca="false">IF($A251="","",'Dependency Register'!O102)</f>
        <v/>
      </c>
      <c r="F251" s="16" t="str">
        <f aca="false">IF($A251="","",'Dependency Register'!P102)</f>
        <v/>
      </c>
      <c r="G251" s="20" t="str">
        <f aca="false">IF($A251="","",IF('Dependency Register'!L102="","",'Dependency Register'!L102))</f>
        <v/>
      </c>
      <c r="H251" s="16" t="str">
        <f aca="true">IF($A251="","",IF($G251="","No Date",IF($G251&lt;TODAY(),"Past Due",IF($G251-TODAY()&lt;=30,"Due ≤30 Days","Later"))))</f>
        <v/>
      </c>
    </row>
    <row r="252" customFormat="false" ht="15" hidden="false" customHeight="true" outlineLevel="0" collapsed="false">
      <c r="A252" s="16" t="str">
        <f aca="false">IF('Dependency Register'!A103="","",'Dependency Register'!E103)</f>
        <v/>
      </c>
      <c r="B252" s="16" t="str">
        <f aca="false">IF($A252="","","Receiving")</f>
        <v/>
      </c>
      <c r="C252" s="16" t="str">
        <f aca="false">IF($A252="","",'Dependency Register'!B103)</f>
        <v/>
      </c>
      <c r="D252" s="16" t="str">
        <f aca="false">IF($A252="","",'Dependency Register'!A103)</f>
        <v/>
      </c>
      <c r="E252" s="16" t="str">
        <f aca="false">IF($A252="","",'Dependency Register'!O103)</f>
        <v/>
      </c>
      <c r="F252" s="16" t="str">
        <f aca="false">IF($A252="","",'Dependency Register'!P103)</f>
        <v/>
      </c>
      <c r="G252" s="20" t="str">
        <f aca="false">IF($A252="","",IF('Dependency Register'!L103="","",'Dependency Register'!L103))</f>
        <v/>
      </c>
      <c r="H252" s="16" t="str">
        <f aca="true">IF($A252="","",IF($G252="","No Date",IF($G252&lt;TODAY(),"Past Due",IF($G252-TODAY()&lt;=30,"Due ≤30 Days","Later"))))</f>
        <v/>
      </c>
    </row>
    <row r="253" customFormat="false" ht="15" hidden="false" customHeight="true" outlineLevel="0" collapsed="false">
      <c r="A253" s="16" t="str">
        <f aca="false">IF('Dependency Register'!A104="","",'Dependency Register'!E104)</f>
        <v/>
      </c>
      <c r="B253" s="16" t="str">
        <f aca="false">IF($A253="","","Receiving")</f>
        <v/>
      </c>
      <c r="C253" s="16" t="str">
        <f aca="false">IF($A253="","",'Dependency Register'!B104)</f>
        <v/>
      </c>
      <c r="D253" s="16" t="str">
        <f aca="false">IF($A253="","",'Dependency Register'!A104)</f>
        <v/>
      </c>
      <c r="E253" s="16" t="str">
        <f aca="false">IF($A253="","",'Dependency Register'!O104)</f>
        <v/>
      </c>
      <c r="F253" s="16" t="str">
        <f aca="false">IF($A253="","",'Dependency Register'!P104)</f>
        <v/>
      </c>
      <c r="G253" s="20" t="str">
        <f aca="false">IF($A253="","",IF('Dependency Register'!L104="","",'Dependency Register'!L104))</f>
        <v/>
      </c>
      <c r="H253" s="16" t="str">
        <f aca="true">IF($A253="","",IF($G253="","No Date",IF($G253&lt;TODAY(),"Past Due",IF($G253-TODAY()&lt;=30,"Due ≤30 Days","Later"))))</f>
        <v/>
      </c>
    </row>
    <row r="254" customFormat="false" ht="15" hidden="false" customHeight="true" outlineLevel="0" collapsed="false">
      <c r="A254" s="16" t="str">
        <f aca="false">IF('Dependency Register'!A105="","",'Dependency Register'!E105)</f>
        <v/>
      </c>
      <c r="B254" s="16" t="str">
        <f aca="false">IF($A254="","","Receiving")</f>
        <v/>
      </c>
      <c r="C254" s="16" t="str">
        <f aca="false">IF($A254="","",'Dependency Register'!B105)</f>
        <v/>
      </c>
      <c r="D254" s="16" t="str">
        <f aca="false">IF($A254="","",'Dependency Register'!A105)</f>
        <v/>
      </c>
      <c r="E254" s="16" t="str">
        <f aca="false">IF($A254="","",'Dependency Register'!O105)</f>
        <v/>
      </c>
      <c r="F254" s="16" t="str">
        <f aca="false">IF($A254="","",'Dependency Register'!P105)</f>
        <v/>
      </c>
      <c r="G254" s="20" t="str">
        <f aca="false">IF($A254="","",IF('Dependency Register'!L105="","",'Dependency Register'!L105))</f>
        <v/>
      </c>
      <c r="H254" s="16" t="str">
        <f aca="true">IF($A254="","",IF($G254="","No Date",IF($G254&lt;TODAY(),"Past Due",IF($G254-TODAY()&lt;=30,"Due ≤30 Days","Later"))))</f>
        <v/>
      </c>
    </row>
    <row r="255" customFormat="false" ht="15" hidden="false" customHeight="true" outlineLevel="0" collapsed="false">
      <c r="A255" s="16" t="str">
        <f aca="false">IF('Dependency Register'!A106="","",'Dependency Register'!E106)</f>
        <v/>
      </c>
      <c r="B255" s="16" t="str">
        <f aca="false">IF($A255="","","Receiving")</f>
        <v/>
      </c>
      <c r="C255" s="16" t="str">
        <f aca="false">IF($A255="","",'Dependency Register'!B106)</f>
        <v/>
      </c>
      <c r="D255" s="16" t="str">
        <f aca="false">IF($A255="","",'Dependency Register'!A106)</f>
        <v/>
      </c>
      <c r="E255" s="16" t="str">
        <f aca="false">IF($A255="","",'Dependency Register'!O106)</f>
        <v/>
      </c>
      <c r="F255" s="16" t="str">
        <f aca="false">IF($A255="","",'Dependency Register'!P106)</f>
        <v/>
      </c>
      <c r="G255" s="20" t="str">
        <f aca="false">IF($A255="","",IF('Dependency Register'!L106="","",'Dependency Register'!L106))</f>
        <v/>
      </c>
      <c r="H255" s="16" t="str">
        <f aca="true">IF($A255="","",IF($G255="","No Date",IF($G255&lt;TODAY(),"Past Due",IF($G255-TODAY()&lt;=30,"Due ≤30 Days","Later"))))</f>
        <v/>
      </c>
    </row>
    <row r="256" customFormat="false" ht="15" hidden="false" customHeight="true" outlineLevel="0" collapsed="false">
      <c r="A256" s="16" t="str">
        <f aca="false">IF('Dependency Register'!A107="","",'Dependency Register'!E107)</f>
        <v/>
      </c>
      <c r="B256" s="16" t="str">
        <f aca="false">IF($A256="","","Receiving")</f>
        <v/>
      </c>
      <c r="C256" s="16" t="str">
        <f aca="false">IF($A256="","",'Dependency Register'!B107)</f>
        <v/>
      </c>
      <c r="D256" s="16" t="str">
        <f aca="false">IF($A256="","",'Dependency Register'!A107)</f>
        <v/>
      </c>
      <c r="E256" s="16" t="str">
        <f aca="false">IF($A256="","",'Dependency Register'!O107)</f>
        <v/>
      </c>
      <c r="F256" s="16" t="str">
        <f aca="false">IF($A256="","",'Dependency Register'!P107)</f>
        <v/>
      </c>
      <c r="G256" s="20" t="str">
        <f aca="false">IF($A256="","",IF('Dependency Register'!L107="","",'Dependency Register'!L107))</f>
        <v/>
      </c>
      <c r="H256" s="16" t="str">
        <f aca="true">IF($A256="","",IF($G256="","No Date",IF($G256&lt;TODAY(),"Past Due",IF($G256-TODAY()&lt;=30,"Due ≤30 Days","Later"))))</f>
        <v/>
      </c>
    </row>
    <row r="257" customFormat="false" ht="15" hidden="false" customHeight="true" outlineLevel="0" collapsed="false">
      <c r="A257" s="16" t="str">
        <f aca="false">IF('Dependency Register'!A108="","",'Dependency Register'!E108)</f>
        <v/>
      </c>
      <c r="B257" s="16" t="str">
        <f aca="false">IF($A257="","","Receiving")</f>
        <v/>
      </c>
      <c r="C257" s="16" t="str">
        <f aca="false">IF($A257="","",'Dependency Register'!B108)</f>
        <v/>
      </c>
      <c r="D257" s="16" t="str">
        <f aca="false">IF($A257="","",'Dependency Register'!A108)</f>
        <v/>
      </c>
      <c r="E257" s="16" t="str">
        <f aca="false">IF($A257="","",'Dependency Register'!O108)</f>
        <v/>
      </c>
      <c r="F257" s="16" t="str">
        <f aca="false">IF($A257="","",'Dependency Register'!P108)</f>
        <v/>
      </c>
      <c r="G257" s="20" t="str">
        <f aca="false">IF($A257="","",IF('Dependency Register'!L108="","",'Dependency Register'!L108))</f>
        <v/>
      </c>
      <c r="H257" s="16" t="str">
        <f aca="true">IF($A257="","",IF($G257="","No Date",IF($G257&lt;TODAY(),"Past Due",IF($G257-TODAY()&lt;=30,"Due ≤30 Days","Later"))))</f>
        <v/>
      </c>
    </row>
    <row r="258" customFormat="false" ht="15" hidden="false" customHeight="true" outlineLevel="0" collapsed="false">
      <c r="A258" s="16" t="str">
        <f aca="false">IF('Dependency Register'!A109="","",'Dependency Register'!E109)</f>
        <v/>
      </c>
      <c r="B258" s="16" t="str">
        <f aca="false">IF($A258="","","Receiving")</f>
        <v/>
      </c>
      <c r="C258" s="16" t="str">
        <f aca="false">IF($A258="","",'Dependency Register'!B109)</f>
        <v/>
      </c>
      <c r="D258" s="16" t="str">
        <f aca="false">IF($A258="","",'Dependency Register'!A109)</f>
        <v/>
      </c>
      <c r="E258" s="16" t="str">
        <f aca="false">IF($A258="","",'Dependency Register'!O109)</f>
        <v/>
      </c>
      <c r="F258" s="16" t="str">
        <f aca="false">IF($A258="","",'Dependency Register'!P109)</f>
        <v/>
      </c>
      <c r="G258" s="20" t="str">
        <f aca="false">IF($A258="","",IF('Dependency Register'!L109="","",'Dependency Register'!L109))</f>
        <v/>
      </c>
      <c r="H258" s="16" t="str">
        <f aca="true">IF($A258="","",IF($G258="","No Date",IF($G258&lt;TODAY(),"Past Due",IF($G258-TODAY()&lt;=30,"Due ≤30 Days","Later"))))</f>
        <v/>
      </c>
    </row>
    <row r="259" customFormat="false" ht="15" hidden="false" customHeight="true" outlineLevel="0" collapsed="false">
      <c r="A259" s="16" t="str">
        <f aca="false">IF('Dependency Register'!A110="","",'Dependency Register'!E110)</f>
        <v/>
      </c>
      <c r="B259" s="16" t="str">
        <f aca="false">IF($A259="","","Receiving")</f>
        <v/>
      </c>
      <c r="C259" s="16" t="str">
        <f aca="false">IF($A259="","",'Dependency Register'!B110)</f>
        <v/>
      </c>
      <c r="D259" s="16" t="str">
        <f aca="false">IF($A259="","",'Dependency Register'!A110)</f>
        <v/>
      </c>
      <c r="E259" s="16" t="str">
        <f aca="false">IF($A259="","",'Dependency Register'!O110)</f>
        <v/>
      </c>
      <c r="F259" s="16" t="str">
        <f aca="false">IF($A259="","",'Dependency Register'!P110)</f>
        <v/>
      </c>
      <c r="G259" s="20" t="str">
        <f aca="false">IF($A259="","",IF('Dependency Register'!L110="","",'Dependency Register'!L110))</f>
        <v/>
      </c>
      <c r="H259" s="16" t="str">
        <f aca="true">IF($A259="","",IF($G259="","No Date",IF($G259&lt;TODAY(),"Past Due",IF($G259-TODAY()&lt;=30,"Due ≤30 Days","Later"))))</f>
        <v/>
      </c>
    </row>
    <row r="260" customFormat="false" ht="15" hidden="false" customHeight="true" outlineLevel="0" collapsed="false">
      <c r="A260" s="16" t="str">
        <f aca="false">IF('Dependency Register'!A111="","",'Dependency Register'!E111)</f>
        <v/>
      </c>
      <c r="B260" s="16" t="str">
        <f aca="false">IF($A260="","","Receiving")</f>
        <v/>
      </c>
      <c r="C260" s="16" t="str">
        <f aca="false">IF($A260="","",'Dependency Register'!B111)</f>
        <v/>
      </c>
      <c r="D260" s="16" t="str">
        <f aca="false">IF($A260="","",'Dependency Register'!A111)</f>
        <v/>
      </c>
      <c r="E260" s="16" t="str">
        <f aca="false">IF($A260="","",'Dependency Register'!O111)</f>
        <v/>
      </c>
      <c r="F260" s="16" t="str">
        <f aca="false">IF($A260="","",'Dependency Register'!P111)</f>
        <v/>
      </c>
      <c r="G260" s="20" t="str">
        <f aca="false">IF($A260="","",IF('Dependency Register'!L111="","",'Dependency Register'!L111))</f>
        <v/>
      </c>
      <c r="H260" s="16" t="str">
        <f aca="true">IF($A260="","",IF($G260="","No Date",IF($G260&lt;TODAY(),"Past Due",IF($G260-TODAY()&lt;=30,"Due ≤30 Days","Later"))))</f>
        <v/>
      </c>
    </row>
    <row r="261" customFormat="false" ht="15" hidden="false" customHeight="true" outlineLevel="0" collapsed="false">
      <c r="A261" s="16" t="str">
        <f aca="false">IF('Dependency Register'!A112="","",'Dependency Register'!E112)</f>
        <v/>
      </c>
      <c r="B261" s="16" t="str">
        <f aca="false">IF($A261="","","Receiving")</f>
        <v/>
      </c>
      <c r="C261" s="16" t="str">
        <f aca="false">IF($A261="","",'Dependency Register'!B112)</f>
        <v/>
      </c>
      <c r="D261" s="16" t="str">
        <f aca="false">IF($A261="","",'Dependency Register'!A112)</f>
        <v/>
      </c>
      <c r="E261" s="16" t="str">
        <f aca="false">IF($A261="","",'Dependency Register'!O112)</f>
        <v/>
      </c>
      <c r="F261" s="16" t="str">
        <f aca="false">IF($A261="","",'Dependency Register'!P112)</f>
        <v/>
      </c>
      <c r="G261" s="20" t="str">
        <f aca="false">IF($A261="","",IF('Dependency Register'!L112="","",'Dependency Register'!L112))</f>
        <v/>
      </c>
      <c r="H261" s="16" t="str">
        <f aca="true">IF($A261="","",IF($G261="","No Date",IF($G261&lt;TODAY(),"Past Due",IF($G261-TODAY()&lt;=30,"Due ≤30 Days","Later"))))</f>
        <v/>
      </c>
    </row>
    <row r="262" customFormat="false" ht="15" hidden="false" customHeight="true" outlineLevel="0" collapsed="false">
      <c r="A262" s="16" t="str">
        <f aca="false">IF('Dependency Register'!A113="","",'Dependency Register'!E113)</f>
        <v/>
      </c>
      <c r="B262" s="16" t="str">
        <f aca="false">IF($A262="","","Receiving")</f>
        <v/>
      </c>
      <c r="C262" s="16" t="str">
        <f aca="false">IF($A262="","",'Dependency Register'!B113)</f>
        <v/>
      </c>
      <c r="D262" s="16" t="str">
        <f aca="false">IF($A262="","",'Dependency Register'!A113)</f>
        <v/>
      </c>
      <c r="E262" s="16" t="str">
        <f aca="false">IF($A262="","",'Dependency Register'!O113)</f>
        <v/>
      </c>
      <c r="F262" s="16" t="str">
        <f aca="false">IF($A262="","",'Dependency Register'!P113)</f>
        <v/>
      </c>
      <c r="G262" s="20" t="str">
        <f aca="false">IF($A262="","",IF('Dependency Register'!L113="","",'Dependency Register'!L113))</f>
        <v/>
      </c>
      <c r="H262" s="16" t="str">
        <f aca="true">IF($A262="","",IF($G262="","No Date",IF($G262&lt;TODAY(),"Past Due",IF($G262-TODAY()&lt;=30,"Due ≤30 Days","Later"))))</f>
        <v/>
      </c>
    </row>
    <row r="263" customFormat="false" ht="15" hidden="false" customHeight="true" outlineLevel="0" collapsed="false">
      <c r="A263" s="16" t="str">
        <f aca="false">IF('Dependency Register'!A114="","",'Dependency Register'!E114)</f>
        <v/>
      </c>
      <c r="B263" s="16" t="str">
        <f aca="false">IF($A263="","","Receiving")</f>
        <v/>
      </c>
      <c r="C263" s="16" t="str">
        <f aca="false">IF($A263="","",'Dependency Register'!B114)</f>
        <v/>
      </c>
      <c r="D263" s="16" t="str">
        <f aca="false">IF($A263="","",'Dependency Register'!A114)</f>
        <v/>
      </c>
      <c r="E263" s="16" t="str">
        <f aca="false">IF($A263="","",'Dependency Register'!O114)</f>
        <v/>
      </c>
      <c r="F263" s="16" t="str">
        <f aca="false">IF($A263="","",'Dependency Register'!P114)</f>
        <v/>
      </c>
      <c r="G263" s="20" t="str">
        <f aca="false">IF($A263="","",IF('Dependency Register'!L114="","",'Dependency Register'!L114))</f>
        <v/>
      </c>
      <c r="H263" s="16" t="str">
        <f aca="true">IF($A263="","",IF($G263="","No Date",IF($G263&lt;TODAY(),"Past Due",IF($G263-TODAY()&lt;=30,"Due ≤30 Days","Later"))))</f>
        <v/>
      </c>
    </row>
    <row r="264" customFormat="false" ht="15" hidden="false" customHeight="true" outlineLevel="0" collapsed="false">
      <c r="A264" s="16" t="str">
        <f aca="false">IF('Dependency Register'!A115="","",'Dependency Register'!E115)</f>
        <v/>
      </c>
      <c r="B264" s="16" t="str">
        <f aca="false">IF($A264="","","Receiving")</f>
        <v/>
      </c>
      <c r="C264" s="16" t="str">
        <f aca="false">IF($A264="","",'Dependency Register'!B115)</f>
        <v/>
      </c>
      <c r="D264" s="16" t="str">
        <f aca="false">IF($A264="","",'Dependency Register'!A115)</f>
        <v/>
      </c>
      <c r="E264" s="16" t="str">
        <f aca="false">IF($A264="","",'Dependency Register'!O115)</f>
        <v/>
      </c>
      <c r="F264" s="16" t="str">
        <f aca="false">IF($A264="","",'Dependency Register'!P115)</f>
        <v/>
      </c>
      <c r="G264" s="20" t="str">
        <f aca="false">IF($A264="","",IF('Dependency Register'!L115="","",'Dependency Register'!L115))</f>
        <v/>
      </c>
      <c r="H264" s="16" t="str">
        <f aca="true">IF($A264="","",IF($G264="","No Date",IF($G264&lt;TODAY(),"Past Due",IF($G264-TODAY()&lt;=30,"Due ≤30 Days","Later"))))</f>
        <v/>
      </c>
    </row>
    <row r="265" customFormat="false" ht="15" hidden="false" customHeight="true" outlineLevel="0" collapsed="false">
      <c r="A265" s="16" t="str">
        <f aca="false">IF('Dependency Register'!A116="","",'Dependency Register'!E116)</f>
        <v/>
      </c>
      <c r="B265" s="16" t="str">
        <f aca="false">IF($A265="","","Receiving")</f>
        <v/>
      </c>
      <c r="C265" s="16" t="str">
        <f aca="false">IF($A265="","",'Dependency Register'!B116)</f>
        <v/>
      </c>
      <c r="D265" s="16" t="str">
        <f aca="false">IF($A265="","",'Dependency Register'!A116)</f>
        <v/>
      </c>
      <c r="E265" s="16" t="str">
        <f aca="false">IF($A265="","",'Dependency Register'!O116)</f>
        <v/>
      </c>
      <c r="F265" s="16" t="str">
        <f aca="false">IF($A265="","",'Dependency Register'!P116)</f>
        <v/>
      </c>
      <c r="G265" s="20" t="str">
        <f aca="false">IF($A265="","",IF('Dependency Register'!L116="","",'Dependency Register'!L116))</f>
        <v/>
      </c>
      <c r="H265" s="16" t="str">
        <f aca="true">IF($A265="","",IF($G265="","No Date",IF($G265&lt;TODAY(),"Past Due",IF($G265-TODAY()&lt;=30,"Due ≤30 Days","Later"))))</f>
        <v/>
      </c>
    </row>
    <row r="266" customFormat="false" ht="15" hidden="false" customHeight="true" outlineLevel="0" collapsed="false">
      <c r="A266" s="16" t="str">
        <f aca="false">IF('Dependency Register'!A117="","",'Dependency Register'!E117)</f>
        <v/>
      </c>
      <c r="B266" s="16" t="str">
        <f aca="false">IF($A266="","","Receiving")</f>
        <v/>
      </c>
      <c r="C266" s="16" t="str">
        <f aca="false">IF($A266="","",'Dependency Register'!B117)</f>
        <v/>
      </c>
      <c r="D266" s="16" t="str">
        <f aca="false">IF($A266="","",'Dependency Register'!A117)</f>
        <v/>
      </c>
      <c r="E266" s="16" t="str">
        <f aca="false">IF($A266="","",'Dependency Register'!O117)</f>
        <v/>
      </c>
      <c r="F266" s="16" t="str">
        <f aca="false">IF($A266="","",'Dependency Register'!P117)</f>
        <v/>
      </c>
      <c r="G266" s="20" t="str">
        <f aca="false">IF($A266="","",IF('Dependency Register'!L117="","",'Dependency Register'!L117))</f>
        <v/>
      </c>
      <c r="H266" s="16" t="str">
        <f aca="true">IF($A266="","",IF($G266="","No Date",IF($G266&lt;TODAY(),"Past Due",IF($G266-TODAY()&lt;=30,"Due ≤30 Days","Later"))))</f>
        <v/>
      </c>
    </row>
    <row r="267" customFormat="false" ht="15" hidden="false" customHeight="true" outlineLevel="0" collapsed="false">
      <c r="A267" s="16" t="str">
        <f aca="false">IF('Dependency Register'!A118="","",'Dependency Register'!E118)</f>
        <v/>
      </c>
      <c r="B267" s="16" t="str">
        <f aca="false">IF($A267="","","Receiving")</f>
        <v/>
      </c>
      <c r="C267" s="16" t="str">
        <f aca="false">IF($A267="","",'Dependency Register'!B118)</f>
        <v/>
      </c>
      <c r="D267" s="16" t="str">
        <f aca="false">IF($A267="","",'Dependency Register'!A118)</f>
        <v/>
      </c>
      <c r="E267" s="16" t="str">
        <f aca="false">IF($A267="","",'Dependency Register'!O118)</f>
        <v/>
      </c>
      <c r="F267" s="16" t="str">
        <f aca="false">IF($A267="","",'Dependency Register'!P118)</f>
        <v/>
      </c>
      <c r="G267" s="20" t="str">
        <f aca="false">IF($A267="","",IF('Dependency Register'!L118="","",'Dependency Register'!L118))</f>
        <v/>
      </c>
      <c r="H267" s="16" t="str">
        <f aca="true">IF($A267="","",IF($G267="","No Date",IF($G267&lt;TODAY(),"Past Due",IF($G267-TODAY()&lt;=30,"Due ≤30 Days","Later"))))</f>
        <v/>
      </c>
    </row>
    <row r="268" customFormat="false" ht="15" hidden="false" customHeight="true" outlineLevel="0" collapsed="false">
      <c r="A268" s="16" t="str">
        <f aca="false">IF('Dependency Register'!A119="","",'Dependency Register'!E119)</f>
        <v/>
      </c>
      <c r="B268" s="16" t="str">
        <f aca="false">IF($A268="","","Receiving")</f>
        <v/>
      </c>
      <c r="C268" s="16" t="str">
        <f aca="false">IF($A268="","",'Dependency Register'!B119)</f>
        <v/>
      </c>
      <c r="D268" s="16" t="str">
        <f aca="false">IF($A268="","",'Dependency Register'!A119)</f>
        <v/>
      </c>
      <c r="E268" s="16" t="str">
        <f aca="false">IF($A268="","",'Dependency Register'!O119)</f>
        <v/>
      </c>
      <c r="F268" s="16" t="str">
        <f aca="false">IF($A268="","",'Dependency Register'!P119)</f>
        <v/>
      </c>
      <c r="G268" s="20" t="str">
        <f aca="false">IF($A268="","",IF('Dependency Register'!L119="","",'Dependency Register'!L119))</f>
        <v/>
      </c>
      <c r="H268" s="16" t="str">
        <f aca="true">IF($A268="","",IF($G268="","No Date",IF($G268&lt;TODAY(),"Past Due",IF($G268-TODAY()&lt;=30,"Due ≤30 Days","Later"))))</f>
        <v/>
      </c>
    </row>
    <row r="269" customFormat="false" ht="15" hidden="false" customHeight="true" outlineLevel="0" collapsed="false">
      <c r="A269" s="16" t="str">
        <f aca="false">IF('Dependency Register'!A120="","",'Dependency Register'!E120)</f>
        <v/>
      </c>
      <c r="B269" s="16" t="str">
        <f aca="false">IF($A269="","","Receiving")</f>
        <v/>
      </c>
      <c r="C269" s="16" t="str">
        <f aca="false">IF($A269="","",'Dependency Register'!B120)</f>
        <v/>
      </c>
      <c r="D269" s="16" t="str">
        <f aca="false">IF($A269="","",'Dependency Register'!A120)</f>
        <v/>
      </c>
      <c r="E269" s="16" t="str">
        <f aca="false">IF($A269="","",'Dependency Register'!O120)</f>
        <v/>
      </c>
      <c r="F269" s="16" t="str">
        <f aca="false">IF($A269="","",'Dependency Register'!P120)</f>
        <v/>
      </c>
      <c r="G269" s="20" t="str">
        <f aca="false">IF($A269="","",IF('Dependency Register'!L120="","",'Dependency Register'!L120))</f>
        <v/>
      </c>
      <c r="H269" s="16" t="str">
        <f aca="true">IF($A269="","",IF($G269="","No Date",IF($G269&lt;TODAY(),"Past Due",IF($G269-TODAY()&lt;=30,"Due ≤30 Days","Later"))))</f>
        <v/>
      </c>
    </row>
    <row r="270" customFormat="false" ht="15" hidden="false" customHeight="true" outlineLevel="0" collapsed="false">
      <c r="A270" s="16" t="str">
        <f aca="false">IF('Dependency Register'!A121="","",'Dependency Register'!E121)</f>
        <v/>
      </c>
      <c r="B270" s="16" t="str">
        <f aca="false">IF($A270="","","Receiving")</f>
        <v/>
      </c>
      <c r="C270" s="16" t="str">
        <f aca="false">IF($A270="","",'Dependency Register'!B121)</f>
        <v/>
      </c>
      <c r="D270" s="16" t="str">
        <f aca="false">IF($A270="","",'Dependency Register'!A121)</f>
        <v/>
      </c>
      <c r="E270" s="16" t="str">
        <f aca="false">IF($A270="","",'Dependency Register'!O121)</f>
        <v/>
      </c>
      <c r="F270" s="16" t="str">
        <f aca="false">IF($A270="","",'Dependency Register'!P121)</f>
        <v/>
      </c>
      <c r="G270" s="20" t="str">
        <f aca="false">IF($A270="","",IF('Dependency Register'!L121="","",'Dependency Register'!L121))</f>
        <v/>
      </c>
      <c r="H270" s="16" t="str">
        <f aca="true">IF($A270="","",IF($G270="","No Date",IF($G270&lt;TODAY(),"Past Due",IF($G270-TODAY()&lt;=30,"Due ≤30 Days","Later"))))</f>
        <v/>
      </c>
    </row>
    <row r="271" customFormat="false" ht="15" hidden="false" customHeight="true" outlineLevel="0" collapsed="false">
      <c r="A271" s="16" t="str">
        <f aca="false">IF('Dependency Register'!A122="","",'Dependency Register'!E122)</f>
        <v/>
      </c>
      <c r="B271" s="16" t="str">
        <f aca="false">IF($A271="","","Receiving")</f>
        <v/>
      </c>
      <c r="C271" s="16" t="str">
        <f aca="false">IF($A271="","",'Dependency Register'!B122)</f>
        <v/>
      </c>
      <c r="D271" s="16" t="str">
        <f aca="false">IF($A271="","",'Dependency Register'!A122)</f>
        <v/>
      </c>
      <c r="E271" s="16" t="str">
        <f aca="false">IF($A271="","",'Dependency Register'!O122)</f>
        <v/>
      </c>
      <c r="F271" s="16" t="str">
        <f aca="false">IF($A271="","",'Dependency Register'!P122)</f>
        <v/>
      </c>
      <c r="G271" s="20" t="str">
        <f aca="false">IF($A271="","",IF('Dependency Register'!L122="","",'Dependency Register'!L122))</f>
        <v/>
      </c>
      <c r="H271" s="16" t="str">
        <f aca="true">IF($A271="","",IF($G271="","No Date",IF($G271&lt;TODAY(),"Past Due",IF($G271-TODAY()&lt;=30,"Due ≤30 Days","Later"))))</f>
        <v/>
      </c>
    </row>
    <row r="272" customFormat="false" ht="15" hidden="false" customHeight="true" outlineLevel="0" collapsed="false">
      <c r="A272" s="16" t="str">
        <f aca="false">IF('Dependency Register'!A123="","",'Dependency Register'!E123)</f>
        <v/>
      </c>
      <c r="B272" s="16" t="str">
        <f aca="false">IF($A272="","","Receiving")</f>
        <v/>
      </c>
      <c r="C272" s="16" t="str">
        <f aca="false">IF($A272="","",'Dependency Register'!B123)</f>
        <v/>
      </c>
      <c r="D272" s="16" t="str">
        <f aca="false">IF($A272="","",'Dependency Register'!A123)</f>
        <v/>
      </c>
      <c r="E272" s="16" t="str">
        <f aca="false">IF($A272="","",'Dependency Register'!O123)</f>
        <v/>
      </c>
      <c r="F272" s="16" t="str">
        <f aca="false">IF($A272="","",'Dependency Register'!P123)</f>
        <v/>
      </c>
      <c r="G272" s="20" t="str">
        <f aca="false">IF($A272="","",IF('Dependency Register'!L123="","",'Dependency Register'!L123))</f>
        <v/>
      </c>
      <c r="H272" s="16" t="str">
        <f aca="true">IF($A272="","",IF($G272="","No Date",IF($G272&lt;TODAY(),"Past Due",IF($G272-TODAY()&lt;=30,"Due ≤30 Days","Later"))))</f>
        <v/>
      </c>
    </row>
    <row r="273" customFormat="false" ht="15" hidden="false" customHeight="true" outlineLevel="0" collapsed="false">
      <c r="A273" s="16" t="str">
        <f aca="false">IF('Dependency Register'!A124="","",'Dependency Register'!E124)</f>
        <v/>
      </c>
      <c r="B273" s="16" t="str">
        <f aca="false">IF($A273="","","Receiving")</f>
        <v/>
      </c>
      <c r="C273" s="16" t="str">
        <f aca="false">IF($A273="","",'Dependency Register'!B124)</f>
        <v/>
      </c>
      <c r="D273" s="16" t="str">
        <f aca="false">IF($A273="","",'Dependency Register'!A124)</f>
        <v/>
      </c>
      <c r="E273" s="16" t="str">
        <f aca="false">IF($A273="","",'Dependency Register'!O124)</f>
        <v/>
      </c>
      <c r="F273" s="16" t="str">
        <f aca="false">IF($A273="","",'Dependency Register'!P124)</f>
        <v/>
      </c>
      <c r="G273" s="20" t="str">
        <f aca="false">IF($A273="","",IF('Dependency Register'!L124="","",'Dependency Register'!L124))</f>
        <v/>
      </c>
      <c r="H273" s="16" t="str">
        <f aca="true">IF($A273="","",IF($G273="","No Date",IF($G273&lt;TODAY(),"Past Due",IF($G273-TODAY()&lt;=30,"Due ≤30 Days","Later"))))</f>
        <v/>
      </c>
    </row>
    <row r="274" customFormat="false" ht="15" hidden="false" customHeight="true" outlineLevel="0" collapsed="false">
      <c r="A274" s="16" t="str">
        <f aca="false">IF('Dependency Register'!A125="","",'Dependency Register'!E125)</f>
        <v/>
      </c>
      <c r="B274" s="16" t="str">
        <f aca="false">IF($A274="","","Receiving")</f>
        <v/>
      </c>
      <c r="C274" s="16" t="str">
        <f aca="false">IF($A274="","",'Dependency Register'!B125)</f>
        <v/>
      </c>
      <c r="D274" s="16" t="str">
        <f aca="false">IF($A274="","",'Dependency Register'!A125)</f>
        <v/>
      </c>
      <c r="E274" s="16" t="str">
        <f aca="false">IF($A274="","",'Dependency Register'!O125)</f>
        <v/>
      </c>
      <c r="F274" s="16" t="str">
        <f aca="false">IF($A274="","",'Dependency Register'!P125)</f>
        <v/>
      </c>
      <c r="G274" s="20" t="str">
        <f aca="false">IF($A274="","",IF('Dependency Register'!L125="","",'Dependency Register'!L125))</f>
        <v/>
      </c>
      <c r="H274" s="16" t="str">
        <f aca="true">IF($A274="","",IF($G274="","No Date",IF($G274&lt;TODAY(),"Past Due",IF($G274-TODAY()&lt;=30,"Due ≤30 Days","Later"))))</f>
        <v/>
      </c>
    </row>
    <row r="275" customFormat="false" ht="15" hidden="false" customHeight="true" outlineLevel="0" collapsed="false">
      <c r="A275" s="16" t="str">
        <f aca="false">IF('Dependency Register'!A126="","",'Dependency Register'!E126)</f>
        <v/>
      </c>
      <c r="B275" s="16" t="str">
        <f aca="false">IF($A275="","","Receiving")</f>
        <v/>
      </c>
      <c r="C275" s="16" t="str">
        <f aca="false">IF($A275="","",'Dependency Register'!B126)</f>
        <v/>
      </c>
      <c r="D275" s="16" t="str">
        <f aca="false">IF($A275="","",'Dependency Register'!A126)</f>
        <v/>
      </c>
      <c r="E275" s="16" t="str">
        <f aca="false">IF($A275="","",'Dependency Register'!O126)</f>
        <v/>
      </c>
      <c r="F275" s="16" t="str">
        <f aca="false">IF($A275="","",'Dependency Register'!P126)</f>
        <v/>
      </c>
      <c r="G275" s="20" t="str">
        <f aca="false">IF($A275="","",IF('Dependency Register'!L126="","",'Dependency Register'!L126))</f>
        <v/>
      </c>
      <c r="H275" s="16" t="str">
        <f aca="true">IF($A275="","",IF($G275="","No Date",IF($G275&lt;TODAY(),"Past Due",IF($G275-TODAY()&lt;=30,"Due ≤30 Days","Later"))))</f>
        <v/>
      </c>
    </row>
    <row r="276" customFormat="false" ht="15" hidden="false" customHeight="true" outlineLevel="0" collapsed="false">
      <c r="A276" s="16" t="str">
        <f aca="false">IF('Dependency Register'!A127="","",'Dependency Register'!E127)</f>
        <v/>
      </c>
      <c r="B276" s="16" t="str">
        <f aca="false">IF($A276="","","Receiving")</f>
        <v/>
      </c>
      <c r="C276" s="16" t="str">
        <f aca="false">IF($A276="","",'Dependency Register'!B127)</f>
        <v/>
      </c>
      <c r="D276" s="16" t="str">
        <f aca="false">IF($A276="","",'Dependency Register'!A127)</f>
        <v/>
      </c>
      <c r="E276" s="16" t="str">
        <f aca="false">IF($A276="","",'Dependency Register'!O127)</f>
        <v/>
      </c>
      <c r="F276" s="16" t="str">
        <f aca="false">IF($A276="","",'Dependency Register'!P127)</f>
        <v/>
      </c>
      <c r="G276" s="20" t="str">
        <f aca="false">IF($A276="","",IF('Dependency Register'!L127="","",'Dependency Register'!L127))</f>
        <v/>
      </c>
      <c r="H276" s="16" t="str">
        <f aca="true">IF($A276="","",IF($G276="","No Date",IF($G276&lt;TODAY(),"Past Due",IF($G276-TODAY()&lt;=30,"Due ≤30 Days","Later"))))</f>
        <v/>
      </c>
    </row>
    <row r="277" customFormat="false" ht="15" hidden="false" customHeight="true" outlineLevel="0" collapsed="false">
      <c r="A277" s="16" t="str">
        <f aca="false">IF('Dependency Register'!A128="","",'Dependency Register'!E128)</f>
        <v/>
      </c>
      <c r="B277" s="16" t="str">
        <f aca="false">IF($A277="","","Receiving")</f>
        <v/>
      </c>
      <c r="C277" s="16" t="str">
        <f aca="false">IF($A277="","",'Dependency Register'!B128)</f>
        <v/>
      </c>
      <c r="D277" s="16" t="str">
        <f aca="false">IF($A277="","",'Dependency Register'!A128)</f>
        <v/>
      </c>
      <c r="E277" s="16" t="str">
        <f aca="false">IF($A277="","",'Dependency Register'!O128)</f>
        <v/>
      </c>
      <c r="F277" s="16" t="str">
        <f aca="false">IF($A277="","",'Dependency Register'!P128)</f>
        <v/>
      </c>
      <c r="G277" s="20" t="str">
        <f aca="false">IF($A277="","",IF('Dependency Register'!L128="","",'Dependency Register'!L128))</f>
        <v/>
      </c>
      <c r="H277" s="16" t="str">
        <f aca="true">IF($A277="","",IF($G277="","No Date",IF($G277&lt;TODAY(),"Past Due",IF($G277-TODAY()&lt;=30,"Due ≤30 Days","Later"))))</f>
        <v/>
      </c>
    </row>
    <row r="278" customFormat="false" ht="15" hidden="false" customHeight="true" outlineLevel="0" collapsed="false">
      <c r="A278" s="16" t="str">
        <f aca="false">IF('Dependency Register'!A129="","",'Dependency Register'!E129)</f>
        <v/>
      </c>
      <c r="B278" s="16" t="str">
        <f aca="false">IF($A278="","","Receiving")</f>
        <v/>
      </c>
      <c r="C278" s="16" t="str">
        <f aca="false">IF($A278="","",'Dependency Register'!B129)</f>
        <v/>
      </c>
      <c r="D278" s="16" t="str">
        <f aca="false">IF($A278="","",'Dependency Register'!A129)</f>
        <v/>
      </c>
      <c r="E278" s="16" t="str">
        <f aca="false">IF($A278="","",'Dependency Register'!O129)</f>
        <v/>
      </c>
      <c r="F278" s="16" t="str">
        <f aca="false">IF($A278="","",'Dependency Register'!P129)</f>
        <v/>
      </c>
      <c r="G278" s="20" t="str">
        <f aca="false">IF($A278="","",IF('Dependency Register'!L129="","",'Dependency Register'!L129))</f>
        <v/>
      </c>
      <c r="H278" s="16" t="str">
        <f aca="true">IF($A278="","",IF($G278="","No Date",IF($G278&lt;TODAY(),"Past Due",IF($G278-TODAY()&lt;=30,"Due ≤30 Days","Later"))))</f>
        <v/>
      </c>
    </row>
    <row r="279" customFormat="false" ht="15" hidden="false" customHeight="true" outlineLevel="0" collapsed="false">
      <c r="A279" s="16" t="str">
        <f aca="false">IF('Dependency Register'!A130="","",'Dependency Register'!E130)</f>
        <v/>
      </c>
      <c r="B279" s="16" t="str">
        <f aca="false">IF($A279="","","Receiving")</f>
        <v/>
      </c>
      <c r="C279" s="16" t="str">
        <f aca="false">IF($A279="","",'Dependency Register'!B130)</f>
        <v/>
      </c>
      <c r="D279" s="16" t="str">
        <f aca="false">IF($A279="","",'Dependency Register'!A130)</f>
        <v/>
      </c>
      <c r="E279" s="16" t="str">
        <f aca="false">IF($A279="","",'Dependency Register'!O130)</f>
        <v/>
      </c>
      <c r="F279" s="16" t="str">
        <f aca="false">IF($A279="","",'Dependency Register'!P130)</f>
        <v/>
      </c>
      <c r="G279" s="20" t="str">
        <f aca="false">IF($A279="","",IF('Dependency Register'!L130="","",'Dependency Register'!L130))</f>
        <v/>
      </c>
      <c r="H279" s="16" t="str">
        <f aca="true">IF($A279="","",IF($G279="","No Date",IF($G279&lt;TODAY(),"Past Due",IF($G279-TODAY()&lt;=30,"Due ≤30 Days","Later"))))</f>
        <v/>
      </c>
    </row>
    <row r="280" customFormat="false" ht="15" hidden="false" customHeight="true" outlineLevel="0" collapsed="false">
      <c r="A280" s="16" t="str">
        <f aca="false">IF('Dependency Register'!A131="","",'Dependency Register'!E131)</f>
        <v/>
      </c>
      <c r="B280" s="16" t="str">
        <f aca="false">IF($A280="","","Receiving")</f>
        <v/>
      </c>
      <c r="C280" s="16" t="str">
        <f aca="false">IF($A280="","",'Dependency Register'!B131)</f>
        <v/>
      </c>
      <c r="D280" s="16" t="str">
        <f aca="false">IF($A280="","",'Dependency Register'!A131)</f>
        <v/>
      </c>
      <c r="E280" s="16" t="str">
        <f aca="false">IF($A280="","",'Dependency Register'!O131)</f>
        <v/>
      </c>
      <c r="F280" s="16" t="str">
        <f aca="false">IF($A280="","",'Dependency Register'!P131)</f>
        <v/>
      </c>
      <c r="G280" s="20" t="str">
        <f aca="false">IF($A280="","",IF('Dependency Register'!L131="","",'Dependency Register'!L131))</f>
        <v/>
      </c>
      <c r="H280" s="16" t="str">
        <f aca="true">IF($A280="","",IF($G280="","No Date",IF($G280&lt;TODAY(),"Past Due",IF($G280-TODAY()&lt;=30,"Due ≤30 Days","Later"))))</f>
        <v/>
      </c>
    </row>
    <row r="281" customFormat="false" ht="15" hidden="false" customHeight="true" outlineLevel="0" collapsed="false">
      <c r="A281" s="16" t="str">
        <f aca="false">IF('Dependency Register'!A132="","",'Dependency Register'!E132)</f>
        <v/>
      </c>
      <c r="B281" s="16" t="str">
        <f aca="false">IF($A281="","","Receiving")</f>
        <v/>
      </c>
      <c r="C281" s="16" t="str">
        <f aca="false">IF($A281="","",'Dependency Register'!B132)</f>
        <v/>
      </c>
      <c r="D281" s="16" t="str">
        <f aca="false">IF($A281="","",'Dependency Register'!A132)</f>
        <v/>
      </c>
      <c r="E281" s="16" t="str">
        <f aca="false">IF($A281="","",'Dependency Register'!O132)</f>
        <v/>
      </c>
      <c r="F281" s="16" t="str">
        <f aca="false">IF($A281="","",'Dependency Register'!P132)</f>
        <v/>
      </c>
      <c r="G281" s="20" t="str">
        <f aca="false">IF($A281="","",IF('Dependency Register'!L132="","",'Dependency Register'!L132))</f>
        <v/>
      </c>
      <c r="H281" s="16" t="str">
        <f aca="true">IF($A281="","",IF($G281="","No Date",IF($G281&lt;TODAY(),"Past Due",IF($G281-TODAY()&lt;=30,"Due ≤30 Days","Later"))))</f>
        <v/>
      </c>
    </row>
    <row r="282" customFormat="false" ht="15" hidden="false" customHeight="true" outlineLevel="0" collapsed="false">
      <c r="A282" s="16" t="str">
        <f aca="false">IF('Dependency Register'!A133="","",'Dependency Register'!E133)</f>
        <v/>
      </c>
      <c r="B282" s="16" t="str">
        <f aca="false">IF($A282="","","Receiving")</f>
        <v/>
      </c>
      <c r="C282" s="16" t="str">
        <f aca="false">IF($A282="","",'Dependency Register'!B133)</f>
        <v/>
      </c>
      <c r="D282" s="16" t="str">
        <f aca="false">IF($A282="","",'Dependency Register'!A133)</f>
        <v/>
      </c>
      <c r="E282" s="16" t="str">
        <f aca="false">IF($A282="","",'Dependency Register'!O133)</f>
        <v/>
      </c>
      <c r="F282" s="16" t="str">
        <f aca="false">IF($A282="","",'Dependency Register'!P133)</f>
        <v/>
      </c>
      <c r="G282" s="20" t="str">
        <f aca="false">IF($A282="","",IF('Dependency Register'!L133="","",'Dependency Register'!L133))</f>
        <v/>
      </c>
      <c r="H282" s="16" t="str">
        <f aca="true">IF($A282="","",IF($G282="","No Date",IF($G282&lt;TODAY(),"Past Due",IF($G282-TODAY()&lt;=30,"Due ≤30 Days","Later"))))</f>
        <v/>
      </c>
    </row>
    <row r="283" customFormat="false" ht="15" hidden="false" customHeight="true" outlineLevel="0" collapsed="false">
      <c r="A283" s="16" t="str">
        <f aca="false">IF('Dependency Register'!A134="","",'Dependency Register'!E134)</f>
        <v/>
      </c>
      <c r="B283" s="16" t="str">
        <f aca="false">IF($A283="","","Receiving")</f>
        <v/>
      </c>
      <c r="C283" s="16" t="str">
        <f aca="false">IF($A283="","",'Dependency Register'!B134)</f>
        <v/>
      </c>
      <c r="D283" s="16" t="str">
        <f aca="false">IF($A283="","",'Dependency Register'!A134)</f>
        <v/>
      </c>
      <c r="E283" s="16" t="str">
        <f aca="false">IF($A283="","",'Dependency Register'!O134)</f>
        <v/>
      </c>
      <c r="F283" s="16" t="str">
        <f aca="false">IF($A283="","",'Dependency Register'!P134)</f>
        <v/>
      </c>
      <c r="G283" s="20" t="str">
        <f aca="false">IF($A283="","",IF('Dependency Register'!L134="","",'Dependency Register'!L134))</f>
        <v/>
      </c>
      <c r="H283" s="16" t="str">
        <f aca="true">IF($A283="","",IF($G283="","No Date",IF($G283&lt;TODAY(),"Past Due",IF($G283-TODAY()&lt;=30,"Due ≤30 Days","Later"))))</f>
        <v/>
      </c>
    </row>
    <row r="284" customFormat="false" ht="15" hidden="false" customHeight="true" outlineLevel="0" collapsed="false">
      <c r="A284" s="16" t="str">
        <f aca="false">IF('Dependency Register'!A135="","",'Dependency Register'!E135)</f>
        <v/>
      </c>
      <c r="B284" s="16" t="str">
        <f aca="false">IF($A284="","","Receiving")</f>
        <v/>
      </c>
      <c r="C284" s="16" t="str">
        <f aca="false">IF($A284="","",'Dependency Register'!B135)</f>
        <v/>
      </c>
      <c r="D284" s="16" t="str">
        <f aca="false">IF($A284="","",'Dependency Register'!A135)</f>
        <v/>
      </c>
      <c r="E284" s="16" t="str">
        <f aca="false">IF($A284="","",'Dependency Register'!O135)</f>
        <v/>
      </c>
      <c r="F284" s="16" t="str">
        <f aca="false">IF($A284="","",'Dependency Register'!P135)</f>
        <v/>
      </c>
      <c r="G284" s="20" t="str">
        <f aca="false">IF($A284="","",IF('Dependency Register'!L135="","",'Dependency Register'!L135))</f>
        <v/>
      </c>
      <c r="H284" s="16" t="str">
        <f aca="true">IF($A284="","",IF($G284="","No Date",IF($G284&lt;TODAY(),"Past Due",IF($G284-TODAY()&lt;=30,"Due ≤30 Days","Later"))))</f>
        <v/>
      </c>
    </row>
    <row r="285" customFormat="false" ht="15" hidden="false" customHeight="true" outlineLevel="0" collapsed="false">
      <c r="A285" s="16" t="str">
        <f aca="false">IF('Dependency Register'!A136="","",'Dependency Register'!E136)</f>
        <v/>
      </c>
      <c r="B285" s="16" t="str">
        <f aca="false">IF($A285="","","Receiving")</f>
        <v/>
      </c>
      <c r="C285" s="16" t="str">
        <f aca="false">IF($A285="","",'Dependency Register'!B136)</f>
        <v/>
      </c>
      <c r="D285" s="16" t="str">
        <f aca="false">IF($A285="","",'Dependency Register'!A136)</f>
        <v/>
      </c>
      <c r="E285" s="16" t="str">
        <f aca="false">IF($A285="","",'Dependency Register'!O136)</f>
        <v/>
      </c>
      <c r="F285" s="16" t="str">
        <f aca="false">IF($A285="","",'Dependency Register'!P136)</f>
        <v/>
      </c>
      <c r="G285" s="20" t="str">
        <f aca="false">IF($A285="","",IF('Dependency Register'!L136="","",'Dependency Register'!L136))</f>
        <v/>
      </c>
      <c r="H285" s="16" t="str">
        <f aca="true">IF($A285="","",IF($G285="","No Date",IF($G285&lt;TODAY(),"Past Due",IF($G285-TODAY()&lt;=30,"Due ≤30 Days","Later"))))</f>
        <v/>
      </c>
    </row>
    <row r="286" customFormat="false" ht="15" hidden="false" customHeight="true" outlineLevel="0" collapsed="false">
      <c r="A286" s="16" t="str">
        <f aca="false">IF('Dependency Register'!A137="","",'Dependency Register'!E137)</f>
        <v/>
      </c>
      <c r="B286" s="16" t="str">
        <f aca="false">IF($A286="","","Receiving")</f>
        <v/>
      </c>
      <c r="C286" s="16" t="str">
        <f aca="false">IF($A286="","",'Dependency Register'!B137)</f>
        <v/>
      </c>
      <c r="D286" s="16" t="str">
        <f aca="false">IF($A286="","",'Dependency Register'!A137)</f>
        <v/>
      </c>
      <c r="E286" s="16" t="str">
        <f aca="false">IF($A286="","",'Dependency Register'!O137)</f>
        <v/>
      </c>
      <c r="F286" s="16" t="str">
        <f aca="false">IF($A286="","",'Dependency Register'!P137)</f>
        <v/>
      </c>
      <c r="G286" s="20" t="str">
        <f aca="false">IF($A286="","",IF('Dependency Register'!L137="","",'Dependency Register'!L137))</f>
        <v/>
      </c>
      <c r="H286" s="16" t="str">
        <f aca="true">IF($A286="","",IF($G286="","No Date",IF($G286&lt;TODAY(),"Past Due",IF($G286-TODAY()&lt;=30,"Due ≤30 Days","Later"))))</f>
        <v/>
      </c>
    </row>
    <row r="287" customFormat="false" ht="15" hidden="false" customHeight="true" outlineLevel="0" collapsed="false">
      <c r="A287" s="16" t="str">
        <f aca="false">IF('Dependency Register'!A138="","",'Dependency Register'!E138)</f>
        <v/>
      </c>
      <c r="B287" s="16" t="str">
        <f aca="false">IF($A287="","","Receiving")</f>
        <v/>
      </c>
      <c r="C287" s="16" t="str">
        <f aca="false">IF($A287="","",'Dependency Register'!B138)</f>
        <v/>
      </c>
      <c r="D287" s="16" t="str">
        <f aca="false">IF($A287="","",'Dependency Register'!A138)</f>
        <v/>
      </c>
      <c r="E287" s="16" t="str">
        <f aca="false">IF($A287="","",'Dependency Register'!O138)</f>
        <v/>
      </c>
      <c r="F287" s="16" t="str">
        <f aca="false">IF($A287="","",'Dependency Register'!P138)</f>
        <v/>
      </c>
      <c r="G287" s="20" t="str">
        <f aca="false">IF($A287="","",IF('Dependency Register'!L138="","",'Dependency Register'!L138))</f>
        <v/>
      </c>
      <c r="H287" s="16" t="str">
        <f aca="true">IF($A287="","",IF($G287="","No Date",IF($G287&lt;TODAY(),"Past Due",IF($G287-TODAY()&lt;=30,"Due ≤30 Days","Later"))))</f>
        <v/>
      </c>
    </row>
    <row r="288" customFormat="false" ht="15" hidden="false" customHeight="true" outlineLevel="0" collapsed="false">
      <c r="A288" s="16" t="str">
        <f aca="false">IF('Dependency Register'!A139="","",'Dependency Register'!E139)</f>
        <v/>
      </c>
      <c r="B288" s="16" t="str">
        <f aca="false">IF($A288="","","Receiving")</f>
        <v/>
      </c>
      <c r="C288" s="16" t="str">
        <f aca="false">IF($A288="","",'Dependency Register'!B139)</f>
        <v/>
      </c>
      <c r="D288" s="16" t="str">
        <f aca="false">IF($A288="","",'Dependency Register'!A139)</f>
        <v/>
      </c>
      <c r="E288" s="16" t="str">
        <f aca="false">IF($A288="","",'Dependency Register'!O139)</f>
        <v/>
      </c>
      <c r="F288" s="16" t="str">
        <f aca="false">IF($A288="","",'Dependency Register'!P139)</f>
        <v/>
      </c>
      <c r="G288" s="20" t="str">
        <f aca="false">IF($A288="","",IF('Dependency Register'!L139="","",'Dependency Register'!L139))</f>
        <v/>
      </c>
      <c r="H288" s="16" t="str">
        <f aca="true">IF($A288="","",IF($G288="","No Date",IF($G288&lt;TODAY(),"Past Due",IF($G288-TODAY()&lt;=30,"Due ≤30 Days","Later"))))</f>
        <v/>
      </c>
    </row>
    <row r="289" customFormat="false" ht="15" hidden="false" customHeight="true" outlineLevel="0" collapsed="false">
      <c r="A289" s="16" t="str">
        <f aca="false">IF('Dependency Register'!A140="","",'Dependency Register'!E140)</f>
        <v/>
      </c>
      <c r="B289" s="16" t="str">
        <f aca="false">IF($A289="","","Receiving")</f>
        <v/>
      </c>
      <c r="C289" s="16" t="str">
        <f aca="false">IF($A289="","",'Dependency Register'!B140)</f>
        <v/>
      </c>
      <c r="D289" s="16" t="str">
        <f aca="false">IF($A289="","",'Dependency Register'!A140)</f>
        <v/>
      </c>
      <c r="E289" s="16" t="str">
        <f aca="false">IF($A289="","",'Dependency Register'!O140)</f>
        <v/>
      </c>
      <c r="F289" s="16" t="str">
        <f aca="false">IF($A289="","",'Dependency Register'!P140)</f>
        <v/>
      </c>
      <c r="G289" s="20" t="str">
        <f aca="false">IF($A289="","",IF('Dependency Register'!L140="","",'Dependency Register'!L140))</f>
        <v/>
      </c>
      <c r="H289" s="16" t="str">
        <f aca="true">IF($A289="","",IF($G289="","No Date",IF($G289&lt;TODAY(),"Past Due",IF($G289-TODAY()&lt;=30,"Due ≤30 Days","Later"))))</f>
        <v/>
      </c>
    </row>
    <row r="290" customFormat="false" ht="15" hidden="false" customHeight="true" outlineLevel="0" collapsed="false">
      <c r="A290" s="16" t="str">
        <f aca="false">IF('Dependency Register'!A141="","",'Dependency Register'!E141)</f>
        <v/>
      </c>
      <c r="B290" s="16" t="str">
        <f aca="false">IF($A290="","","Receiving")</f>
        <v/>
      </c>
      <c r="C290" s="16" t="str">
        <f aca="false">IF($A290="","",'Dependency Register'!B141)</f>
        <v/>
      </c>
      <c r="D290" s="16" t="str">
        <f aca="false">IF($A290="","",'Dependency Register'!A141)</f>
        <v/>
      </c>
      <c r="E290" s="16" t="str">
        <f aca="false">IF($A290="","",'Dependency Register'!O141)</f>
        <v/>
      </c>
      <c r="F290" s="16" t="str">
        <f aca="false">IF($A290="","",'Dependency Register'!P141)</f>
        <v/>
      </c>
      <c r="G290" s="20" t="str">
        <f aca="false">IF($A290="","",IF('Dependency Register'!L141="","",'Dependency Register'!L141))</f>
        <v/>
      </c>
      <c r="H290" s="16" t="str">
        <f aca="true">IF($A290="","",IF($G290="","No Date",IF($G290&lt;TODAY(),"Past Due",IF($G290-TODAY()&lt;=30,"Due ≤30 Days","Later"))))</f>
        <v/>
      </c>
    </row>
    <row r="291" customFormat="false" ht="15" hidden="false" customHeight="true" outlineLevel="0" collapsed="false">
      <c r="A291" s="16" t="str">
        <f aca="false">IF('Dependency Register'!A142="","",'Dependency Register'!E142)</f>
        <v/>
      </c>
      <c r="B291" s="16" t="str">
        <f aca="false">IF($A291="","","Receiving")</f>
        <v/>
      </c>
      <c r="C291" s="16" t="str">
        <f aca="false">IF($A291="","",'Dependency Register'!B142)</f>
        <v/>
      </c>
      <c r="D291" s="16" t="str">
        <f aca="false">IF($A291="","",'Dependency Register'!A142)</f>
        <v/>
      </c>
      <c r="E291" s="16" t="str">
        <f aca="false">IF($A291="","",'Dependency Register'!O142)</f>
        <v/>
      </c>
      <c r="F291" s="16" t="str">
        <f aca="false">IF($A291="","",'Dependency Register'!P142)</f>
        <v/>
      </c>
      <c r="G291" s="20" t="str">
        <f aca="false">IF($A291="","",IF('Dependency Register'!L142="","",'Dependency Register'!L142))</f>
        <v/>
      </c>
      <c r="H291" s="16" t="str">
        <f aca="true">IF($A291="","",IF($G291="","No Date",IF($G291&lt;TODAY(),"Past Due",IF($G291-TODAY()&lt;=30,"Due ≤30 Days","Later"))))</f>
        <v/>
      </c>
    </row>
    <row r="292" customFormat="false" ht="15" hidden="false" customHeight="true" outlineLevel="0" collapsed="false">
      <c r="A292" s="16" t="str">
        <f aca="false">IF('Dependency Register'!A143="","",'Dependency Register'!E143)</f>
        <v/>
      </c>
      <c r="B292" s="16" t="str">
        <f aca="false">IF($A292="","","Receiving")</f>
        <v/>
      </c>
      <c r="C292" s="16" t="str">
        <f aca="false">IF($A292="","",'Dependency Register'!B143)</f>
        <v/>
      </c>
      <c r="D292" s="16" t="str">
        <f aca="false">IF($A292="","",'Dependency Register'!A143)</f>
        <v/>
      </c>
      <c r="E292" s="16" t="str">
        <f aca="false">IF($A292="","",'Dependency Register'!O143)</f>
        <v/>
      </c>
      <c r="F292" s="16" t="str">
        <f aca="false">IF($A292="","",'Dependency Register'!P143)</f>
        <v/>
      </c>
      <c r="G292" s="20" t="str">
        <f aca="false">IF($A292="","",IF('Dependency Register'!L143="","",'Dependency Register'!L143))</f>
        <v/>
      </c>
      <c r="H292" s="16" t="str">
        <f aca="true">IF($A292="","",IF($G292="","No Date",IF($G292&lt;TODAY(),"Past Due",IF($G292-TODAY()&lt;=30,"Due ≤30 Days","Later"))))</f>
        <v/>
      </c>
    </row>
    <row r="293" customFormat="false" ht="15" hidden="false" customHeight="true" outlineLevel="0" collapsed="false">
      <c r="A293" s="16" t="str">
        <f aca="false">IF('Dependency Register'!A144="","",'Dependency Register'!E144)</f>
        <v/>
      </c>
      <c r="B293" s="16" t="str">
        <f aca="false">IF($A293="","","Receiving")</f>
        <v/>
      </c>
      <c r="C293" s="16" t="str">
        <f aca="false">IF($A293="","",'Dependency Register'!B144)</f>
        <v/>
      </c>
      <c r="D293" s="16" t="str">
        <f aca="false">IF($A293="","",'Dependency Register'!A144)</f>
        <v/>
      </c>
      <c r="E293" s="16" t="str">
        <f aca="false">IF($A293="","",'Dependency Register'!O144)</f>
        <v/>
      </c>
      <c r="F293" s="16" t="str">
        <f aca="false">IF($A293="","",'Dependency Register'!P144)</f>
        <v/>
      </c>
      <c r="G293" s="20" t="str">
        <f aca="false">IF($A293="","",IF('Dependency Register'!L144="","",'Dependency Register'!L144))</f>
        <v/>
      </c>
      <c r="H293" s="16" t="str">
        <f aca="true">IF($A293="","",IF($G293="","No Date",IF($G293&lt;TODAY(),"Past Due",IF($G293-TODAY()&lt;=30,"Due ≤30 Days","Later"))))</f>
        <v/>
      </c>
    </row>
    <row r="294" customFormat="false" ht="15" hidden="false" customHeight="true" outlineLevel="0" collapsed="false">
      <c r="A294" s="16" t="str">
        <f aca="false">IF('Dependency Register'!A145="","",'Dependency Register'!E145)</f>
        <v/>
      </c>
      <c r="B294" s="16" t="str">
        <f aca="false">IF($A294="","","Receiving")</f>
        <v/>
      </c>
      <c r="C294" s="16" t="str">
        <f aca="false">IF($A294="","",'Dependency Register'!B145)</f>
        <v/>
      </c>
      <c r="D294" s="16" t="str">
        <f aca="false">IF($A294="","",'Dependency Register'!A145)</f>
        <v/>
      </c>
      <c r="E294" s="16" t="str">
        <f aca="false">IF($A294="","",'Dependency Register'!O145)</f>
        <v/>
      </c>
      <c r="F294" s="16" t="str">
        <f aca="false">IF($A294="","",'Dependency Register'!P145)</f>
        <v/>
      </c>
      <c r="G294" s="20" t="str">
        <f aca="false">IF($A294="","",IF('Dependency Register'!L145="","",'Dependency Register'!L145))</f>
        <v/>
      </c>
      <c r="H294" s="16" t="str">
        <f aca="true">IF($A294="","",IF($G294="","No Date",IF($G294&lt;TODAY(),"Past Due",IF($G294-TODAY()&lt;=30,"Due ≤30 Days","Later"))))</f>
        <v/>
      </c>
    </row>
    <row r="295" customFormat="false" ht="15" hidden="false" customHeight="true" outlineLevel="0" collapsed="false">
      <c r="A295" s="16" t="str">
        <f aca="false">IF('Dependency Register'!A146="","",'Dependency Register'!E146)</f>
        <v/>
      </c>
      <c r="B295" s="16" t="str">
        <f aca="false">IF($A295="","","Receiving")</f>
        <v/>
      </c>
      <c r="C295" s="16" t="str">
        <f aca="false">IF($A295="","",'Dependency Register'!B146)</f>
        <v/>
      </c>
      <c r="D295" s="16" t="str">
        <f aca="false">IF($A295="","",'Dependency Register'!A146)</f>
        <v/>
      </c>
      <c r="E295" s="16" t="str">
        <f aca="false">IF($A295="","",'Dependency Register'!O146)</f>
        <v/>
      </c>
      <c r="F295" s="16" t="str">
        <f aca="false">IF($A295="","",'Dependency Register'!P146)</f>
        <v/>
      </c>
      <c r="G295" s="20" t="str">
        <f aca="false">IF($A295="","",IF('Dependency Register'!L146="","",'Dependency Register'!L146))</f>
        <v/>
      </c>
      <c r="H295" s="16" t="str">
        <f aca="true">IF($A295="","",IF($G295="","No Date",IF($G295&lt;TODAY(),"Past Due",IF($G295-TODAY()&lt;=30,"Due ≤30 Days","Later"))))</f>
        <v/>
      </c>
    </row>
    <row r="296" customFormat="false" ht="15" hidden="false" customHeight="true" outlineLevel="0" collapsed="false">
      <c r="A296" s="16" t="str">
        <f aca="false">IF('Dependency Register'!A147="","",'Dependency Register'!E147)</f>
        <v/>
      </c>
      <c r="B296" s="16" t="str">
        <f aca="false">IF($A296="","","Receiving")</f>
        <v/>
      </c>
      <c r="C296" s="16" t="str">
        <f aca="false">IF($A296="","",'Dependency Register'!B147)</f>
        <v/>
      </c>
      <c r="D296" s="16" t="str">
        <f aca="false">IF($A296="","",'Dependency Register'!A147)</f>
        <v/>
      </c>
      <c r="E296" s="16" t="str">
        <f aca="false">IF($A296="","",'Dependency Register'!O147)</f>
        <v/>
      </c>
      <c r="F296" s="16" t="str">
        <f aca="false">IF($A296="","",'Dependency Register'!P147)</f>
        <v/>
      </c>
      <c r="G296" s="20" t="str">
        <f aca="false">IF($A296="","",IF('Dependency Register'!L147="","",'Dependency Register'!L147))</f>
        <v/>
      </c>
      <c r="H296" s="16" t="str">
        <f aca="true">IF($A296="","",IF($G296="","No Date",IF($G296&lt;TODAY(),"Past Due",IF($G296-TODAY()&lt;=30,"Due ≤30 Days","Later"))))</f>
        <v/>
      </c>
    </row>
    <row r="297" customFormat="false" ht="15" hidden="false" customHeight="true" outlineLevel="0" collapsed="false">
      <c r="A297" s="16" t="str">
        <f aca="false">IF('Dependency Register'!A148="","",'Dependency Register'!E148)</f>
        <v/>
      </c>
      <c r="B297" s="16" t="str">
        <f aca="false">IF($A297="","","Receiving")</f>
        <v/>
      </c>
      <c r="C297" s="16" t="str">
        <f aca="false">IF($A297="","",'Dependency Register'!B148)</f>
        <v/>
      </c>
      <c r="D297" s="16" t="str">
        <f aca="false">IF($A297="","",'Dependency Register'!A148)</f>
        <v/>
      </c>
      <c r="E297" s="16" t="str">
        <f aca="false">IF($A297="","",'Dependency Register'!O148)</f>
        <v/>
      </c>
      <c r="F297" s="16" t="str">
        <f aca="false">IF($A297="","",'Dependency Register'!P148)</f>
        <v/>
      </c>
      <c r="G297" s="20" t="str">
        <f aca="false">IF($A297="","",IF('Dependency Register'!L148="","",'Dependency Register'!L148))</f>
        <v/>
      </c>
      <c r="H297" s="16" t="str">
        <f aca="true">IF($A297="","",IF($G297="","No Date",IF($G297&lt;TODAY(),"Past Due",IF($G297-TODAY()&lt;=30,"Due ≤30 Days","Later"))))</f>
        <v/>
      </c>
    </row>
    <row r="298" customFormat="false" ht="15" hidden="false" customHeight="true" outlineLevel="0" collapsed="false">
      <c r="A298" s="16" t="str">
        <f aca="false">IF('Dependency Register'!A149="","",'Dependency Register'!E149)</f>
        <v/>
      </c>
      <c r="B298" s="16" t="str">
        <f aca="false">IF($A298="","","Receiving")</f>
        <v/>
      </c>
      <c r="C298" s="16" t="str">
        <f aca="false">IF($A298="","",'Dependency Register'!B149)</f>
        <v/>
      </c>
      <c r="D298" s="16" t="str">
        <f aca="false">IF($A298="","",'Dependency Register'!A149)</f>
        <v/>
      </c>
      <c r="E298" s="16" t="str">
        <f aca="false">IF($A298="","",'Dependency Register'!O149)</f>
        <v/>
      </c>
      <c r="F298" s="16" t="str">
        <f aca="false">IF($A298="","",'Dependency Register'!P149)</f>
        <v/>
      </c>
      <c r="G298" s="20" t="str">
        <f aca="false">IF($A298="","",IF('Dependency Register'!L149="","",'Dependency Register'!L149))</f>
        <v/>
      </c>
      <c r="H298" s="16" t="str">
        <f aca="true">IF($A298="","",IF($G298="","No Date",IF($G298&lt;TODAY(),"Past Due",IF($G298-TODAY()&lt;=30,"Due ≤30 Days","Later"))))</f>
        <v/>
      </c>
    </row>
    <row r="299" customFormat="false" ht="15" hidden="false" customHeight="true" outlineLevel="0" collapsed="false">
      <c r="A299" s="16" t="str">
        <f aca="false">IF('Dependency Register'!A150="","",'Dependency Register'!E150)</f>
        <v/>
      </c>
      <c r="B299" s="16" t="str">
        <f aca="false">IF($A299="","","Receiving")</f>
        <v/>
      </c>
      <c r="C299" s="16" t="str">
        <f aca="false">IF($A299="","",'Dependency Register'!B150)</f>
        <v/>
      </c>
      <c r="D299" s="16" t="str">
        <f aca="false">IF($A299="","",'Dependency Register'!A150)</f>
        <v/>
      </c>
      <c r="E299" s="16" t="str">
        <f aca="false">IF($A299="","",'Dependency Register'!O150)</f>
        <v/>
      </c>
      <c r="F299" s="16" t="str">
        <f aca="false">IF($A299="","",'Dependency Register'!P150)</f>
        <v/>
      </c>
      <c r="G299" s="20" t="str">
        <f aca="false">IF($A299="","",IF('Dependency Register'!L150="","",'Dependency Register'!L150))</f>
        <v/>
      </c>
      <c r="H299" s="16" t="str">
        <f aca="true">IF($A299="","",IF($G299="","No Date",IF($G299&lt;TODAY(),"Past Due",IF($G299-TODAY()&lt;=30,"Due ≤30 Days","Later"))))</f>
        <v/>
      </c>
    </row>
    <row r="300" customFormat="false" ht="15" hidden="false" customHeight="true" outlineLevel="0" collapsed="false">
      <c r="A300" s="16" t="str">
        <f aca="false">IF('Dependency Register'!A151="","",'Dependency Register'!E151)</f>
        <v/>
      </c>
      <c r="B300" s="16" t="str">
        <f aca="false">IF($A300="","","Receiving")</f>
        <v/>
      </c>
      <c r="C300" s="16" t="str">
        <f aca="false">IF($A300="","",'Dependency Register'!B151)</f>
        <v/>
      </c>
      <c r="D300" s="16" t="str">
        <f aca="false">IF($A300="","",'Dependency Register'!A151)</f>
        <v/>
      </c>
      <c r="E300" s="16" t="str">
        <f aca="false">IF($A300="","",'Dependency Register'!O151)</f>
        <v/>
      </c>
      <c r="F300" s="16" t="str">
        <f aca="false">IF($A300="","",'Dependency Register'!P151)</f>
        <v/>
      </c>
      <c r="G300" s="20" t="str">
        <f aca="false">IF($A300="","",IF('Dependency Register'!L151="","",'Dependency Register'!L151))</f>
        <v/>
      </c>
      <c r="H300" s="16" t="str">
        <f aca="true">IF($A300="","",IF($G300="","No Date",IF($G300&lt;TODAY(),"Past Due",IF($G300-TODAY()&lt;=30,"Due ≤30 Days","Later"))))</f>
        <v/>
      </c>
    </row>
    <row r="301" customFormat="false" ht="15" hidden="false" customHeight="true" outlineLevel="0" collapsed="false">
      <c r="A301" s="16" t="str">
        <f aca="false">IF('Dependency Register'!A152="","",'Dependency Register'!E152)</f>
        <v/>
      </c>
      <c r="B301" s="16" t="str">
        <f aca="false">IF($A301="","","Receiving")</f>
        <v/>
      </c>
      <c r="C301" s="16" t="str">
        <f aca="false">IF($A301="","",'Dependency Register'!B152)</f>
        <v/>
      </c>
      <c r="D301" s="16" t="str">
        <f aca="false">IF($A301="","",'Dependency Register'!A152)</f>
        <v/>
      </c>
      <c r="E301" s="16" t="str">
        <f aca="false">IF($A301="","",'Dependency Register'!O152)</f>
        <v/>
      </c>
      <c r="F301" s="16" t="str">
        <f aca="false">IF($A301="","",'Dependency Register'!P152)</f>
        <v/>
      </c>
      <c r="G301" s="20" t="str">
        <f aca="false">IF($A301="","",IF('Dependency Register'!L152="","",'Dependency Register'!L152))</f>
        <v/>
      </c>
      <c r="H301" s="16" t="str">
        <f aca="true">IF($A301="","",IF($G301="","No Date",IF($G301&lt;TODAY(),"Past Due",IF($G301-TODAY()&lt;=30,"Due ≤30 Days","Later"))))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4"/>
    <col collapsed="false" customWidth="true" hidden="false" outlineLevel="0" max="5" min="5" style="1" width="46"/>
  </cols>
  <sheetData>
    <row r="1" customFormat="false" ht="24" hidden="false" customHeight="true" outlineLevel="0" collapsed="false">
      <c r="A1" s="21" t="s">
        <v>91</v>
      </c>
      <c r="B1" s="21"/>
      <c r="C1" s="21"/>
      <c r="D1" s="21"/>
      <c r="E1" s="21"/>
    </row>
    <row r="3" customFormat="false" ht="21.75" hidden="false" customHeight="true" outlineLevel="0" collapsed="false">
      <c r="B3" s="15" t="s">
        <v>92</v>
      </c>
      <c r="C3" s="22" t="s">
        <v>27</v>
      </c>
      <c r="E3" s="23" t="s">
        <v>93</v>
      </c>
    </row>
    <row r="5" customFormat="false" ht="15" hidden="false" customHeight="true" outlineLevel="0" collapsed="false">
      <c r="B5" s="15" t="s">
        <v>94</v>
      </c>
    </row>
    <row r="6" customFormat="false" ht="19.5" hidden="false" customHeight="true" outlineLevel="0" collapsed="false">
      <c r="B6" s="16" t="s">
        <v>73</v>
      </c>
      <c r="C6" s="24" t="n">
        <f aca="false">COUNTIFS(PivotSource!$A:$A,$C$3,PivotSource!$E:$E,"&lt;&gt;Closed")</f>
        <v>2</v>
      </c>
    </row>
    <row r="7" customFormat="false" ht="19.5" hidden="false" customHeight="true" outlineLevel="0" collapsed="false">
      <c r="B7" s="16" t="s">
        <v>95</v>
      </c>
      <c r="C7" s="24" t="n">
        <f aca="false">COUNTIFS(PivotSource!$A:$A,$C$3,PivotSource!$E:$E,"&lt;&gt;Closed",PivotSource!$B:$B,"Giving")</f>
        <v>1</v>
      </c>
    </row>
    <row r="8" customFormat="false" ht="19.5" hidden="false" customHeight="true" outlineLevel="0" collapsed="false">
      <c r="B8" s="16" t="s">
        <v>96</v>
      </c>
      <c r="C8" s="24" t="n">
        <f aca="false">COUNTIFS(PivotSource!$A:$A,$C$3,PivotSource!$E:$E,"&lt;&gt;Closed",PivotSource!$B:$B,"Receiving")</f>
        <v>1</v>
      </c>
    </row>
    <row r="9" customFormat="false" ht="15" hidden="false" customHeight="true" outlineLevel="0" collapsed="false">
      <c r="B9" s="15" t="s">
        <v>76</v>
      </c>
    </row>
    <row r="10" customFormat="false" ht="19.5" hidden="false" customHeight="true" outlineLevel="0" collapsed="false">
      <c r="B10" s="16" t="s">
        <v>24</v>
      </c>
      <c r="C10" s="24" t="n">
        <f aca="false">COUNTIFS(PivotSource!$A:$A,$C$3,PivotSource!$E:$E,"&lt;&gt;Closed",PivotSource!$C:$C,"Needs")</f>
        <v>1</v>
      </c>
    </row>
    <row r="11" customFormat="false" ht="19.5" hidden="false" customHeight="true" outlineLevel="0" collapsed="false">
      <c r="B11" s="16" t="s">
        <v>42</v>
      </c>
      <c r="C11" s="24" t="n">
        <f aca="false">COUNTIFS(PivotSource!$A:$A,$C$3,PivotSource!$E:$E,"&lt;&gt;Closed",PivotSource!$C:$C,"Feeds")</f>
        <v>0</v>
      </c>
    </row>
    <row r="12" customFormat="false" ht="19.5" hidden="false" customHeight="true" outlineLevel="0" collapsed="false">
      <c r="B12" s="16" t="s">
        <v>58</v>
      </c>
      <c r="C12" s="24" t="n">
        <f aca="false">COUNTIFS(PivotSource!$A:$A,$C$3,PivotSource!$E:$E,"&lt;&gt;Closed",PivotSource!$C:$C,"Internal")</f>
        <v>1</v>
      </c>
    </row>
    <row r="13" customFormat="false" ht="15" hidden="false" customHeight="true" outlineLevel="0" collapsed="false">
      <c r="B13" s="15" t="s">
        <v>77</v>
      </c>
    </row>
    <row r="14" customFormat="false" ht="19.5" hidden="false" customHeight="true" outlineLevel="0" collapsed="false">
      <c r="B14" s="16" t="s">
        <v>35</v>
      </c>
      <c r="C14" s="24" t="n">
        <f aca="false">COUNTIFS(PivotSource!$A:$A,$C$3,PivotSource!$E:$E,"&lt;&gt;Closed",PivotSource!$F:$F,"On Track")</f>
        <v>1</v>
      </c>
    </row>
    <row r="15" customFormat="false" ht="19.5" hidden="false" customHeight="true" outlineLevel="0" collapsed="false">
      <c r="B15" s="16" t="s">
        <v>52</v>
      </c>
      <c r="C15" s="24" t="n">
        <f aca="false">COUNTIFS(PivotSource!$A:$A,$C$3,PivotSource!$E:$E,"&lt;&gt;Closed",PivotSource!$F:$F,"At Risk")</f>
        <v>0</v>
      </c>
    </row>
    <row r="16" customFormat="false" ht="19.5" hidden="false" customHeight="true" outlineLevel="0" collapsed="false">
      <c r="B16" s="16" t="s">
        <v>78</v>
      </c>
      <c r="C16" s="24" t="n">
        <f aca="false">COUNTIFS(PivotSource!$A:$A,$C$3,PivotSource!$E:$E,"&lt;&gt;Closed",PivotSource!$F:$F,"Off Track")</f>
        <v>0</v>
      </c>
    </row>
    <row r="17" customFormat="false" ht="19.5" hidden="false" customHeight="true" outlineLevel="0" collapsed="false">
      <c r="B17" s="16" t="s">
        <v>66</v>
      </c>
      <c r="C17" s="24" t="n">
        <f aca="false">COUNTIFS(PivotSource!$A:$A,$C$3,PivotSource!$E:$E,"&lt;&gt;Closed",PivotSource!$F:$F,"Uncommitted")</f>
        <v>1</v>
      </c>
    </row>
    <row r="18" customFormat="false" ht="15" hidden="false" customHeight="true" outlineLevel="0" collapsed="false">
      <c r="B18" s="15" t="s">
        <v>90</v>
      </c>
    </row>
    <row r="19" customFormat="false" ht="19.5" hidden="false" customHeight="true" outlineLevel="0" collapsed="false">
      <c r="B19" s="16" t="s">
        <v>97</v>
      </c>
      <c r="C19" s="24" t="n">
        <f aca="false">COUNTIFS(PivotSource!$A:$A,$C$3,PivotSource!$E:$E,"&lt;&gt;Closed",PivotSource!$H:$H,"Past Due")</f>
        <v>0</v>
      </c>
    </row>
    <row r="20" customFormat="false" ht="19.5" hidden="false" customHeight="true" outlineLevel="0" collapsed="false">
      <c r="B20" s="16" t="s">
        <v>98</v>
      </c>
      <c r="C20" s="24" t="n">
        <f aca="false">COUNTIFS(PivotSource!$A:$A,$C$3,PivotSource!$E:$E,"&lt;&gt;Closed",PivotSource!$H:$H,"Due ≤30 Days")</f>
        <v>0</v>
      </c>
    </row>
    <row r="21" customFormat="false" ht="19.5" hidden="false" customHeight="true" outlineLevel="0" collapsed="false">
      <c r="B21" s="16" t="s">
        <v>99</v>
      </c>
      <c r="C21" s="24" t="n">
        <f aca="false">COUNTIFS(PivotSource!$A:$A,$C$3,PivotSource!$E:$E,"&lt;&gt;Closed",PivotSource!$H:$H,"No Date")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2026-07-21T22:39:00Z</dcterms:created>
  <dc:creator/>
  <dc:description/>
  <dc:language>en-US</dc:language>
  <cp:lastModifiedBy/>
  <dcterms:modified xsi:type="dcterms:W3CDTF">2026-07-26T17:54:59Z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