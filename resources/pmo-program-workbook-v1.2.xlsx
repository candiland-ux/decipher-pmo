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cgantt/Downloads/Decipher PMO Working Files/"/>
    </mc:Choice>
  </mc:AlternateContent>
  <xr:revisionPtr revIDLastSave="0" documentId="13_ncr:1_{A3D5E386-81BD-EE4B-A7EC-E53936B2FE19}" xr6:coauthVersionLast="47" xr6:coauthVersionMax="47" xr10:uidLastSave="{00000000-0000-0000-0000-000000000000}"/>
  <bookViews>
    <workbookView xWindow="0" yWindow="680" windowWidth="16380" windowHeight="8200" tabRatio="500" xr2:uid="{00000000-000D-0000-FFFF-FFFF00000000}"/>
  </bookViews>
  <sheets>
    <sheet name="Cover" sheetId="1" r:id="rId1"/>
    <sheet name="Components" sheetId="2" r:id="rId2"/>
    <sheet name="Program RAID" sheetId="3" r:id="rId3"/>
    <sheet name="Cross-Component Deps" sheetId="4" r:id="rId4"/>
    <sheet name="Program Schedule" sheetId="5" r:id="rId5"/>
    <sheet name="Program Budget" sheetId="6" r:id="rId6"/>
    <sheet name="Resource Conflicts" sheetId="7" r:id="rId7"/>
    <sheet name="Decisions &amp; Changes" sheetId="8" r:id="rId8"/>
    <sheet name="Action Items" sheetId="9" r:id="rId9"/>
    <sheet name="Vendor Management" sheetId="10" r:id="rId10"/>
    <sheet name="Benefits Realization" sheetId="11" r:id="rId11"/>
    <sheet name="Status Reports" sheetId="12"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28" i="10" l="1"/>
  <c r="D27" i="10"/>
  <c r="D36" i="9"/>
  <c r="D35" i="9"/>
  <c r="D34" i="9"/>
  <c r="D33" i="9"/>
  <c r="J21" i="7"/>
  <c r="J20" i="7"/>
  <c r="J19" i="7"/>
  <c r="J18" i="7"/>
  <c r="J17" i="7"/>
  <c r="J16" i="7"/>
  <c r="J15" i="7"/>
  <c r="J14" i="7"/>
  <c r="J13" i="7"/>
  <c r="J12" i="7"/>
  <c r="J11" i="7"/>
  <c r="J10" i="7"/>
  <c r="J9" i="7"/>
  <c r="J8" i="7"/>
  <c r="J7" i="7"/>
  <c r="J6" i="7"/>
  <c r="C24" i="6"/>
  <c r="C23" i="6"/>
  <c r="C22" i="6"/>
  <c r="C21" i="6"/>
  <c r="H16" i="6"/>
  <c r="E16" i="6"/>
  <c r="D16" i="6"/>
  <c r="C16" i="6"/>
  <c r="G16" i="6" s="1"/>
  <c r="G15" i="6"/>
  <c r="F15" i="6"/>
  <c r="G14" i="6"/>
  <c r="F14" i="6"/>
  <c r="G13" i="6"/>
  <c r="F13" i="6"/>
  <c r="G12" i="6"/>
  <c r="F12" i="6"/>
  <c r="G11" i="6"/>
  <c r="F11" i="6"/>
  <c r="G10" i="6"/>
  <c r="F10" i="6"/>
  <c r="G9" i="6"/>
  <c r="F9" i="6"/>
  <c r="F16" i="6" s="1"/>
  <c r="G13" i="3"/>
  <c r="G12" i="3"/>
  <c r="G11" i="3"/>
  <c r="G10" i="3"/>
  <c r="G9" i="3"/>
  <c r="G8" i="3"/>
  <c r="G7" i="3"/>
  <c r="G6" i="3"/>
  <c r="D26" i="2"/>
  <c r="D25" i="2"/>
  <c r="D24" i="2"/>
  <c r="D23" i="2"/>
  <c r="J11" i="2"/>
  <c r="I11" i="2"/>
  <c r="H11" i="2"/>
  <c r="G11" i="2"/>
  <c r="J10" i="2"/>
  <c r="J9" i="2"/>
  <c r="J8" i="2"/>
  <c r="J7" i="2"/>
  <c r="J6" i="2"/>
</calcChain>
</file>

<file path=xl/sharedStrings.xml><?xml version="1.0" encoding="utf-8"?>
<sst xmlns="http://schemas.openxmlformats.org/spreadsheetml/2006/main" count="874" uniqueCount="620">
  <si>
    <t>Program Workbook — Project Atlas</t>
  </si>
  <si>
    <t>Worked example: Zero Trust Network Access &amp; Identity Modernization Program</t>
  </si>
  <si>
    <t>Document version: v1.2 — 2026-04-27</t>
  </si>
  <si>
    <t>Program Identification</t>
  </si>
  <si>
    <t>Program name</t>
  </si>
  <si>
    <t>Project Atlas</t>
  </si>
  <si>
    <t>Program ID</t>
  </si>
  <si>
    <t>PROG-2026-001</t>
  </si>
  <si>
    <t>Strategic theme</t>
  </si>
  <si>
    <t>Zero Trust Security &amp; Identity Modernization</t>
  </si>
  <si>
    <t>Executive sponsor</t>
  </si>
  <si>
    <t>Sandra Park, CISO</t>
  </si>
  <si>
    <t>Program manager</t>
  </si>
  <si>
    <t>Senior Security TPM (you)</t>
  </si>
  <si>
    <t>Start date</t>
  </si>
  <si>
    <t>2026-01-15</t>
  </si>
  <si>
    <t>Target end date</t>
  </si>
  <si>
    <t>2027-09-30</t>
  </si>
  <si>
    <t>Total program budget</t>
  </si>
  <si>
    <t>$8,400,000</t>
  </si>
  <si>
    <t>Component count</t>
  </si>
  <si>
    <t>5 initiatives</t>
  </si>
  <si>
    <t>Current overall status</t>
  </si>
  <si>
    <t>At-Risk</t>
  </si>
  <si>
    <t>Status rationale</t>
  </si>
  <si>
    <t>Two components At-Risk: ZTNA Rollout (dev tool latency for 10% of users — under remediation) and MFA Hardening (FIDO2 hardware lead time delay — hybrid platform-authenticator approach approved per DC-005). Other 3 components On-Track. Program timeline currently holding. See Status Reports tab for weekly detail.</t>
  </si>
  <si>
    <t>Last status update</t>
  </si>
  <si>
    <t>2026-04-21</t>
  </si>
  <si>
    <t>Driver</t>
  </si>
  <si>
    <t>SOC 2 Type II audit findings + 2025 insider threat incident</t>
  </si>
  <si>
    <t>Regulatory drivers</t>
  </si>
  <si>
    <t>SOX, GLBA, state privacy laws</t>
  </si>
  <si>
    <t>What On-Track / At-Risk / Off-Track mean for this program</t>
  </si>
  <si>
    <t>Status</t>
  </si>
  <si>
    <t>Definition for Project Atlas</t>
  </si>
  <si>
    <t>On-Track</t>
  </si>
  <si>
    <t>On track on scope, schedule, and budget. Risks are within tolerance. No executive escalations needed. If any single component is At-Risk and others are On-Track, program may still be On-Track at PM's discretion.</t>
  </si>
  <si>
    <t>One or more components have material issues (cost, schedule, scope, or risk) that the team is actively mitigating, BUT the program timeline and budget are still expected to hold. Steering awareness needed; intervention typically not. Trigger: 2+ components At-Risk, OR any single risk rated High/High and unmitigated.</t>
  </si>
  <si>
    <t>Off-Track</t>
  </si>
  <si>
    <t>Material risk to program completion timing, budget, or scope. Executive intervention required. Trigger: 2+ components Off-Track, OR any single component Off-Track on a critical-path dependency, OR unrecoverable budget overrun, OR sponsor support materially compromised.</t>
  </si>
  <si>
    <t>Note: RAG definitions vary by org. The thresholds above are this program's defaults. Adjust to match your org's PMO standards and document the change in the Decisions &amp; Changes log so historical status reports are interpretable.</t>
  </si>
  <si>
    <t>Workbook Map</t>
  </si>
  <si>
    <t>#</t>
  </si>
  <si>
    <t>Tab</t>
  </si>
  <si>
    <t>Purpose</t>
  </si>
  <si>
    <t>Update cadence</t>
  </si>
  <si>
    <t>1</t>
  </si>
  <si>
    <t>Cover</t>
  </si>
  <si>
    <t>Program identification + tab map</t>
  </si>
  <si>
    <t>Static; updated when material change</t>
  </si>
  <si>
    <t>2</t>
  </si>
  <si>
    <t>Components</t>
  </si>
  <si>
    <t>5 component initiatives with status, % complete, budget, risk</t>
  </si>
  <si>
    <t>Weekly — by program manager</t>
  </si>
  <si>
    <t>3</t>
  </si>
  <si>
    <t>Program RAID</t>
  </si>
  <si>
    <t>Program-level risks/issues/dependencies (NOT component-level)</t>
  </si>
  <si>
    <t>Weekly review</t>
  </si>
  <si>
    <t>4</t>
  </si>
  <si>
    <t>Cross-Component Deps</t>
  </si>
  <si>
    <t>Dependencies between component initiatives</t>
  </si>
  <si>
    <t>5</t>
  </si>
  <si>
    <t>Program Schedule</t>
  </si>
  <si>
    <t>Milestone roll-up across all components</t>
  </si>
  <si>
    <t>Weekly update</t>
  </si>
  <si>
    <t>6</t>
  </si>
  <si>
    <t>Program Budget</t>
  </si>
  <si>
    <t>Total budget with allocation across components</t>
  </si>
  <si>
    <t>Monthly close</t>
  </si>
  <si>
    <t>7</t>
  </si>
  <si>
    <t>Resource Conflicts</t>
  </si>
  <si>
    <t>Shared resources allocated across components</t>
  </si>
  <si>
    <t>Bi-weekly review</t>
  </si>
  <si>
    <t>8</t>
  </si>
  <si>
    <t>Decisions &amp; Changes</t>
  </si>
  <si>
    <t>Program-level decisions and approved changes</t>
  </si>
  <si>
    <t>Append as events occur</t>
  </si>
  <si>
    <t>9</t>
  </si>
  <si>
    <t>Action Items</t>
  </si>
  <si>
    <t>Meeting action items + cross-meeting commitments</t>
  </si>
  <si>
    <t>10</t>
  </si>
  <si>
    <t>Vendor Management</t>
  </si>
  <si>
    <t>Vendor SLAs, escalations, business reviews, renewals</t>
  </si>
  <si>
    <t>Monthly + ad-hoc</t>
  </si>
  <si>
    <t>11</t>
  </si>
  <si>
    <t>Benefits Realization</t>
  </si>
  <si>
    <t>Program benefits map with realization timing</t>
  </si>
  <si>
    <t>Quarterly review</t>
  </si>
  <si>
    <t>12</t>
  </si>
  <si>
    <t>Status Reports</t>
  </si>
  <si>
    <t>Program-level weekly status running history</t>
  </si>
  <si>
    <t>Weekly — append a row</t>
  </si>
  <si>
    <t>Program vs Project Workbook</t>
  </si>
  <si>
    <t>This workbook tracks ONE program with 5 component projects. Each component has its own project workbook for component-level detail.</t>
  </si>
  <si>
    <t>What's HERE: program-level status, cross-component dependencies, shared resources, program-level RAID, program benefits.</t>
  </si>
  <si>
    <t>What's in the COMPONENT workbooks: component RAID, component schedule, component-level decisions, component team allocation.</t>
  </si>
  <si>
    <t>Roll-up rule: component status feeds program status. If 2+ components are Off-Track, program status is Off-Track unless explicitly justified otherwise.</t>
  </si>
  <si>
    <t>RAG dropdowns and conditional formatting auto-apply to status fields throughout. Component status changes turn the cells red/amber/green automatically.</t>
  </si>
  <si>
    <t>Where to start (new program managers)</t>
  </si>
  <si>
    <t>1. Fill in the Cover tab — program identification at top, leave the rest as reference.</t>
  </si>
  <si>
    <t>2. Populate Components tab — list each component initiative with PM, phase, and initial budget. Get sponsor sign-off.</t>
  </si>
  <si>
    <t>3. Build out Program Schedule — major milestones across components.</t>
  </si>
  <si>
    <t>4. Identify cross-component dependencies in the Cross-Component Deps tab.</t>
  </si>
  <si>
    <t>5. Open the Program RAID tab — populate from kickoff risk register; review weekly thereafter.</t>
  </si>
  <si>
    <t>6. Lock the Program Budget — total approved + per-component allocations + contingency reserve.</t>
  </si>
  <si>
    <t>7. Map Resource Conflicts — who is on multiple components? Where are over-allocations?</t>
  </si>
  <si>
    <t>8. Build Benefits Realization map — what value, when, measured how, owned post-program.</t>
  </si>
  <si>
    <t>9. Establish weekly Status Reports cadence — append a row each week, never overwrite.</t>
  </si>
  <si>
    <t>10. Decisions &amp; Changes is append-only — log every program-level decision and approved change.</t>
  </si>
  <si>
    <t>Cross-platform compatibility</t>
  </si>
  <si>
    <t>Tested in Microsoft Excel and LibreOffice Calc. All formulas use cross-platform compatible functions (no XLOOKUP, IFS, LET).</t>
  </si>
  <si>
    <t>Conditional formatting (RAG colors) and dropdowns work in Excel, Google Sheets, and LibreOffice. Apple Numbers may render conditional formatting differently — re-apply if importing to Numbers.</t>
  </si>
  <si>
    <t>Google Sheets import: data validations and most conditional formatting transfer; some EXACT() formula-based formatting may need manual re-creation.</t>
  </si>
  <si>
    <t>If migrating to Notion / Asana / Smartsheet / Jira, the methodology applies — re-create the tab structures as databases or boards.</t>
  </si>
  <si>
    <t>Component Initiatives</t>
  </si>
  <si>
    <t>The 5 component projects under Project Atlas. Status here rolls up to the program.</t>
  </si>
  <si>
    <t>Component initiative</t>
  </si>
  <si>
    <t>Component PM</t>
  </si>
  <si>
    <t>Phase</t>
  </si>
  <si>
    <t>% complete</t>
  </si>
  <si>
    <t>Budget ($)</t>
  </si>
  <si>
    <t>Spend to date ($)</t>
  </si>
  <si>
    <t>Variance</t>
  </si>
  <si>
    <t>Top risk</t>
  </si>
  <si>
    <t>Notes</t>
  </si>
  <si>
    <t>Identity Provider Migration</t>
  </si>
  <si>
    <t>M. Ortiz</t>
  </si>
  <si>
    <t>Execute</t>
  </si>
  <si>
    <t>Legacy app SSO integration risk</t>
  </si>
  <si>
    <t>On track. 60% of apps migrated to enterprise IdP.</t>
  </si>
  <si>
    <t>ZTNA Rollout (VPN replacement)</t>
  </si>
  <si>
    <t>J. Liu</t>
  </si>
  <si>
    <t>Engineering org pilot revealed latency on dev tools</t>
  </si>
  <si>
    <t>Latency issue mitigated for 90% of cases; 10% need architecture review. Pilot at engineering completes wk of 4/28.</t>
  </si>
  <si>
    <t>Privileged Access Management</t>
  </si>
  <si>
    <t>K. Reddy</t>
  </si>
  <si>
    <t>Plan</t>
  </si>
  <si>
    <t>BeyondTrust vendor SOW negotiation</t>
  </si>
  <si>
    <t>SOW expected to sign 5/2. Implementation kickoff target 5/15.</t>
  </si>
  <si>
    <t>MFA Hardening (FIDO2)</t>
  </si>
  <si>
    <t>S. Chen</t>
  </si>
  <si>
    <t>FIDO2 hardware procurement delay (12-week lead time)</t>
  </si>
  <si>
    <t>Hardware delay pushes Phase 2 rollout 8 weeks. Considering hybrid approach with platform authenticators for Phase 1.</t>
  </si>
  <si>
    <t>Access Review Automation</t>
  </si>
  <si>
    <t>P. Nguyen</t>
  </si>
  <si>
    <t>Initiate</t>
  </si>
  <si>
    <t>Vendor selection pending — RFP closes 5/15</t>
  </si>
  <si>
    <t>RFP issued 4/15. 4 vendors confirmed bidding. Scoring complete by 6/1.</t>
  </si>
  <si>
    <t>COMPONENT TOTAL</t>
  </si>
  <si>
    <t>Status roll-up rule</t>
  </si>
  <si>
    <t>Program status reflects component health: if 2+ components are Off-Track, program is Off-Track. If multiple At-Risk without Off-Track, program is At-Risk. All On-Track or 1 At-Risk, program is On-Track. PM judgment overrides this rule when justified — document the reasoning in Status Reports.</t>
  </si>
  <si>
    <t>% complete methodology</t>
  </si>
  <si>
    <t>% complete is a TPM-asserted estimate of component progress, not strict milestone completion. It accounts for in-progress work within milestones (e.g., ZTNA at 45% reflects pilot underway and architecture work in progress, even though no major milestones are formally complete yet). Discuss methodology change with PMO if you want to switch to strict milestone-weighted or earned-value calculation.</t>
  </si>
  <si>
    <t>Quick metrics</t>
  </si>
  <si>
    <t>Components On-Track</t>
  </si>
  <si>
    <t>Components At-Risk</t>
  </si>
  <si>
    <t>Components Off-Track</t>
  </si>
  <si>
    <t>% spend used</t>
  </si>
  <si>
    <t>Program-Level RAID</t>
  </si>
  <si>
    <t>Risks/Assumptions/Issues/Dependencies that affect the PROGRAM. Component-specific items live in component workbooks.</t>
  </si>
  <si>
    <t>ID</t>
  </si>
  <si>
    <t>Type</t>
  </si>
  <si>
    <t>Description</t>
  </si>
  <si>
    <t>Likelihood</t>
  </si>
  <si>
    <t>Impact</t>
  </si>
  <si>
    <t>Score</t>
  </si>
  <si>
    <t>Owner</t>
  </si>
  <si>
    <t>Date raised</t>
  </si>
  <si>
    <t>Target close</t>
  </si>
  <si>
    <t>Mitigation / response plan</t>
  </si>
  <si>
    <t>P-R-001</t>
  </si>
  <si>
    <t>Risk</t>
  </si>
  <si>
    <t>FIDO2 hardware lead time (12 weeks) jeopardizes program completion timeline</t>
  </si>
  <si>
    <t>High</t>
  </si>
  <si>
    <t>Mitigating</t>
  </si>
  <si>
    <t>2026-03-15</t>
  </si>
  <si>
    <t>2026-05-30</t>
  </si>
  <si>
    <t>Procurement escalation to CFO completed 4/10. Negotiated 50% partial shipment in 6 weeks. Considering platform authenticators for Phase 1 to maintain timeline.</t>
  </si>
  <si>
    <t>P-R-002</t>
  </si>
  <si>
    <t>Identity Provider migration could break legacy app SSO integrations during ZTNA cutover</t>
  </si>
  <si>
    <t>Medium</t>
  </si>
  <si>
    <t>Monitoring</t>
  </si>
  <si>
    <t>2026-02-20</t>
  </si>
  <si>
    <t>2026-08-30</t>
  </si>
  <si>
    <t>Sequencing constraint added: ZTNA rollout follows IdP migration by min 4 weeks per app. Integration test environment built.</t>
  </si>
  <si>
    <t>P-R-003</t>
  </si>
  <si>
    <t>Engineering org pushback on ZTNA rollout — perceived as friction added to dev workflow</t>
  </si>
  <si>
    <t>OCM Lead</t>
  </si>
  <si>
    <t>2026-03-01</t>
  </si>
  <si>
    <t>2026-06-30</t>
  </si>
  <si>
    <t>OCM activated. CISO + CTO joint message to eng org wk of 4/15. Eng champion network established. Pilot feedback loop in place.</t>
  </si>
  <si>
    <t>P-I-001</t>
  </si>
  <si>
    <t>Issue</t>
  </si>
  <si>
    <t>PAM tool (BeyondTrust) SOW negotiation stalled on pricing for production database access</t>
  </si>
  <si>
    <t>—</t>
  </si>
  <si>
    <t>Procurement + K. Reddy</t>
  </si>
  <si>
    <t>2026-04-10</t>
  </si>
  <si>
    <t>2026-05-02</t>
  </si>
  <si>
    <t>Procurement escalation to vendor exec completed 4/22. Counter-proposal expected by 4/28. CFO approved $50K above original budget if needed.</t>
  </si>
  <si>
    <t>P-D-001</t>
  </si>
  <si>
    <t>Dependency</t>
  </si>
  <si>
    <t>Network team must complete VPN concentrator decommission to free budget for ZTNA expansion</t>
  </si>
  <si>
    <t>Open</t>
  </si>
  <si>
    <t>Network Team (J. Park)</t>
  </si>
  <si>
    <t>2026-02-15</t>
  </si>
  <si>
    <t>2026-09-30</t>
  </si>
  <si>
    <t>Network team committed to Q3 decommission. Tracking in their roadmap. Status check monthly.</t>
  </si>
  <si>
    <t>P-D-002</t>
  </si>
  <si>
    <t>HR system access feed required for Access Review Automation</t>
  </si>
  <si>
    <t>HR IT (A. Brooks)</t>
  </si>
  <si>
    <t>2026-04-01</t>
  </si>
  <si>
    <t>2026-07-15</t>
  </si>
  <si>
    <t>HR IT prioritization confirmed. API contract signed 4/8. Implementation in their Q2 sprint.</t>
  </si>
  <si>
    <t>P-A-001</t>
  </si>
  <si>
    <t>Assumption</t>
  </si>
  <si>
    <t>FIDO2 platform authenticators (Touch ID, Windows Hello) acceptable to Compliance for SOX scope</t>
  </si>
  <si>
    <t>GRC Lead</t>
  </si>
  <si>
    <t>2026-04-05</t>
  </si>
  <si>
    <t>2026-04-30</t>
  </si>
  <si>
    <t>Compliance review session scheduled 4/26. Initial position: acceptable for non-production access. Production access still requires hardware FIDO2.</t>
  </si>
  <si>
    <t>P-R-004</t>
  </si>
  <si>
    <t>CISO sponsor departure rumored — could destabilize program priority and budget</t>
  </si>
  <si>
    <t>PMO Director</t>
  </si>
  <si>
    <t>2026-04-18</t>
  </si>
  <si>
    <t>Ongoing</t>
  </si>
  <si>
    <t>PMO Director and Program Manager aligning with CIO and CTO as backup sponsors. Briefing them weekly on program. Charter unchanged for now.</t>
  </si>
  <si>
    <t>Cross-Component Dependencies</t>
  </si>
  <si>
    <t>Where Component A needs something from Component B. The most common source of program failure — track these closely.</t>
  </si>
  <si>
    <t>Source component (needs)</t>
  </si>
  <si>
    <t>Target component (provides)</t>
  </si>
  <si>
    <t>What's needed</t>
  </si>
  <si>
    <t>Need-by date</t>
  </si>
  <si>
    <t>DEP-001</t>
  </si>
  <si>
    <t>ZTNA Rollout (#2)</t>
  </si>
  <si>
    <t>Identity Provider Migration (#1)</t>
  </si>
  <si>
    <t>Apps must be migrated to enterprise IdP before ZTNA can apply policy</t>
  </si>
  <si>
    <t>2026-08-15</t>
  </si>
  <si>
    <t>Sequencing built into program schedule. 60% of apps migrated; remaining 40% by 8/1.</t>
  </si>
  <si>
    <t>DEP-002</t>
  </si>
  <si>
    <t>Access Review Automation (#5)</t>
  </si>
  <si>
    <t>Centralized identity needed before access review can run org-wide</t>
  </si>
  <si>
    <t>Low</t>
  </si>
  <si>
    <t>IdP completion 8/30 leaves buffer for access review go-live.</t>
  </si>
  <si>
    <t>DEP-003</t>
  </si>
  <si>
    <t>Privileged Access Management (#3)</t>
  </si>
  <si>
    <t>PAM must be deployed before privileged access reviews can include those accounts</t>
  </si>
  <si>
    <t>2026-10-30</t>
  </si>
  <si>
    <t>PAM SOW delay pushes deployment to 9/30. Access Review go-live target 11/15. Tight but achievable.</t>
  </si>
  <si>
    <t>DEP-004</t>
  </si>
  <si>
    <t>MFA Hardening (#4)</t>
  </si>
  <si>
    <t>Enterprise IdP must support FIDO2 (confirmed) before MFA hardening can roll out</t>
  </si>
  <si>
    <t>Complete</t>
  </si>
  <si>
    <t>M. Ortiz / S. Chen</t>
  </si>
  <si>
    <t>IdP FIDO2 support enabled 4/15. Dependency satisfied.</t>
  </si>
  <si>
    <t>DEP-005</t>
  </si>
  <si>
    <t>Network Team (external — not in program)</t>
  </si>
  <si>
    <t>VPN concentrator decommission frees network capex for ZTNA expansion</t>
  </si>
  <si>
    <t>Network Team / J. Liu</t>
  </si>
  <si>
    <t>Network team committed but their priorities can shift. Tracked in Program RAID (P-D-001).</t>
  </si>
  <si>
    <t>DEP-006</t>
  </si>
  <si>
    <t>PAM (#3)</t>
  </si>
  <si>
    <t>FIDO2 hardware tokens needed for privileged users before PAM go-live</t>
  </si>
  <si>
    <t>S. Chen / K. Reddy</t>
  </si>
  <si>
    <t>FIDO2 hardware delay (P-R-001) puts this at risk. Backup: software token interim, hardware retrofit Phase 2.</t>
  </si>
  <si>
    <t>Program Schedule — Milestones Across All Components</t>
  </si>
  <si>
    <t>Roll-up of major milestones from each component. Detailed schedules live in component workbooks.</t>
  </si>
  <si>
    <t>Milestone</t>
  </si>
  <si>
    <t>Component</t>
  </si>
  <si>
    <t>Planned start</t>
  </si>
  <si>
    <t>Planned end</t>
  </si>
  <si>
    <t>Actual end</t>
  </si>
  <si>
    <t>M-001</t>
  </si>
  <si>
    <t>Program kickoff</t>
  </si>
  <si>
    <t>Program</t>
  </si>
  <si>
    <t>2026-01-20</t>
  </si>
  <si>
    <t>M-002</t>
  </si>
  <si>
    <t>Charter approved by all sponsors</t>
  </si>
  <si>
    <t>2026-02-05</t>
  </si>
  <si>
    <t>2026-02-03</t>
  </si>
  <si>
    <t>M-003</t>
  </si>
  <si>
    <t>IdP RFP issued</t>
  </si>
  <si>
    <t>IdP Migration</t>
  </si>
  <si>
    <t>2026-01-25</t>
  </si>
  <si>
    <t>2026-02-12</t>
  </si>
  <si>
    <t>M-004</t>
  </si>
  <si>
    <t>IdP vendor selected</t>
  </si>
  <si>
    <t>2026-03-12</t>
  </si>
  <si>
    <t>M-005</t>
  </si>
  <si>
    <t>IdP — first 50 apps migrated (Phase 1)</t>
  </si>
  <si>
    <t>2026-03-20</t>
  </si>
  <si>
    <t>In Progress</t>
  </si>
  <si>
    <t>On track — 30 of 50 done</t>
  </si>
  <si>
    <t>M-006</t>
  </si>
  <si>
    <t>IdP — remaining apps migrated (Phase 2)</t>
  </si>
  <si>
    <t>2026-06-01</t>
  </si>
  <si>
    <t>Not Started</t>
  </si>
  <si>
    <t>M-007</t>
  </si>
  <si>
    <t>ZTNA pilot — engineering org</t>
  </si>
  <si>
    <t>ZTNA Rollout</t>
  </si>
  <si>
    <t>Latency issue under remediation; pilot extended 1 wk</t>
  </si>
  <si>
    <t>M-008</t>
  </si>
  <si>
    <t>ZTNA — wave 1 rollout (eng + product)</t>
  </si>
  <si>
    <t>2026-05-15</t>
  </si>
  <si>
    <t>2026-07-30</t>
  </si>
  <si>
    <t>Depends on pilot completion</t>
  </si>
  <si>
    <t>M-009</t>
  </si>
  <si>
    <t>ZTNA — wave 2 rollout (corporate)</t>
  </si>
  <si>
    <t>2026-08-01</t>
  </si>
  <si>
    <t>M-010</t>
  </si>
  <si>
    <t>ZTNA — wave 3 (contractors + remaining)</t>
  </si>
  <si>
    <t>2026-11-01</t>
  </si>
  <si>
    <t>2026-12-31</t>
  </si>
  <si>
    <t>M-011</t>
  </si>
  <si>
    <t>PAM SOW signed</t>
  </si>
  <si>
    <t>PAM</t>
  </si>
  <si>
    <t>2026-04-15</t>
  </si>
  <si>
    <t>Negotiation stalled (P-I-001)</t>
  </si>
  <si>
    <t>M-012</t>
  </si>
  <si>
    <t>PAM deployment Phase 1 (production servers)</t>
  </si>
  <si>
    <t>M-013</t>
  </si>
  <si>
    <t>PAM deployment Phase 2 (databases + cloud)</t>
  </si>
  <si>
    <t>2026-10-01</t>
  </si>
  <si>
    <t>2027-01-31</t>
  </si>
  <si>
    <t>M-014</t>
  </si>
  <si>
    <t>FIDO2 hardware procurement order placed</t>
  </si>
  <si>
    <t>MFA Hardening</t>
  </si>
  <si>
    <t>M-015</t>
  </si>
  <si>
    <t>FIDO2 hardware delivery (50% partial)</t>
  </si>
  <si>
    <t>Delayed</t>
  </si>
  <si>
    <t>Partial shipment 6 wks delayed</t>
  </si>
  <si>
    <t>M-016</t>
  </si>
  <si>
    <t>FIDO2 rollout Phase 1 (privileged users)</t>
  </si>
  <si>
    <t>Considering platform authenticators for non-prod</t>
  </si>
  <si>
    <t>M-017</t>
  </si>
  <si>
    <t>FIDO2 rollout Phase 2 (all employees)</t>
  </si>
  <si>
    <t>2026-11-30</t>
  </si>
  <si>
    <t>M-018</t>
  </si>
  <si>
    <t>Access Review RFP issued</t>
  </si>
  <si>
    <t>Access Review</t>
  </si>
  <si>
    <t>M-019</t>
  </si>
  <si>
    <t>Access Review vendor selected</t>
  </si>
  <si>
    <t>2026-06-15</t>
  </si>
  <si>
    <t>M-020</t>
  </si>
  <si>
    <t>Access Review go-live (first cycle)</t>
  </si>
  <si>
    <t>2026-09-01</t>
  </si>
  <si>
    <t>2026-11-15</t>
  </si>
  <si>
    <t>M-021</t>
  </si>
  <si>
    <t>Program closeout &amp; benefits realization plan handoff</t>
  </si>
  <si>
    <t>Close</t>
  </si>
  <si>
    <t>2027-08-01</t>
  </si>
  <si>
    <t>Program Budget — Allocation Across Components</t>
  </si>
  <si>
    <t>Total program budget broken down by component. Reserves held at program level for cross-component contingency.</t>
  </si>
  <si>
    <t>Total approved program budget</t>
  </si>
  <si>
    <t>Currency</t>
  </si>
  <si>
    <t>USD</t>
  </si>
  <si>
    <t>As-of date</t>
  </si>
  <si>
    <t>Allocation</t>
  </si>
  <si>
    <t>Planned ($)</t>
  </si>
  <si>
    <t>Committed ($)</t>
  </si>
  <si>
    <t>Actual to date ($)</t>
  </si>
  <si>
    <t>Variance ($)</t>
  </si>
  <si>
    <t>% used</t>
  </si>
  <si>
    <t>Forecast EAC ($)</t>
  </si>
  <si>
    <t>Slight underrun expected — vendor discount</t>
  </si>
  <si>
    <t>Pilot extension may add costs</t>
  </si>
  <si>
    <t>SOW negotiation — possibly +$50K</t>
  </si>
  <si>
    <t>Hardware lead time + interim platform auth</t>
  </si>
  <si>
    <t>Vendor selection pending</t>
  </si>
  <si>
    <t>Program management &amp; PMO</t>
  </si>
  <si>
    <t>On track</t>
  </si>
  <si>
    <t>Program contingency reserve</t>
  </si>
  <si>
    <t>$100K projected use for FIDO2 / PAM</t>
  </si>
  <si>
    <t>PROGRAM TOTAL</t>
  </si>
  <si>
    <t>Program forecast</t>
  </si>
  <si>
    <t>Forecast at completion (EAC)</t>
  </si>
  <si>
    <t>Variance at completion (VAC)</t>
  </si>
  <si>
    <t>Contingency consumed (forecast)</t>
  </si>
  <si>
    <t>Burn rate (avg monthly)</t>
  </si>
  <si>
    <t>Shared Resources Across Components</t>
  </si>
  <si>
    <t>People allocated to multiple components. Watch the Total column — anyone over 100% is over-allocated.</t>
  </si>
  <si>
    <t>Name</t>
  </si>
  <si>
    <t>Role</t>
  </si>
  <si>
    <t>IdP</t>
  </si>
  <si>
    <t>ZTNA</t>
  </si>
  <si>
    <t>MFA</t>
  </si>
  <si>
    <t>Total %</t>
  </si>
  <si>
    <t>A. Singh</t>
  </si>
  <si>
    <t>Sr Security Engineer</t>
  </si>
  <si>
    <t>L. Garcia</t>
  </si>
  <si>
    <t>Identity Architect</t>
  </si>
  <si>
    <t>R. Patel</t>
  </si>
  <si>
    <t>Network Engineer</t>
  </si>
  <si>
    <t>T. Wilson</t>
  </si>
  <si>
    <t>GRC Analyst</t>
  </si>
  <si>
    <t>D. Kim</t>
  </si>
  <si>
    <t>Security Engineer</t>
  </si>
  <si>
    <t>B. Foster</t>
  </si>
  <si>
    <t>Cloud Engineer</t>
  </si>
  <si>
    <t>E. Tanaka</t>
  </si>
  <si>
    <t>QA Engineer</t>
  </si>
  <si>
    <t>Program PM</t>
  </si>
  <si>
    <t>Program Manager (you)</t>
  </si>
  <si>
    <t>Allocation rules</t>
  </si>
  <si>
    <t>Total allocation should be ≤100% per person. Anything above is over-allocation and a portfolio risk. 0.9–1.0 (amber) means 'fully booked, no slack' — also a risk because illness or unexpected work has nowhere to go. Surface over-allocations at the program steering meeting.</t>
  </si>
  <si>
    <t>Program-Level Decisions &amp; Changes Log</t>
  </si>
  <si>
    <t>Program-level only. Component-specific decisions live in component workbooks. Append-only — never delete.</t>
  </si>
  <si>
    <t>Date</t>
  </si>
  <si>
    <t>Rationale</t>
  </si>
  <si>
    <t>Decision-maker</t>
  </si>
  <si>
    <t>Stakeholders consulted</t>
  </si>
  <si>
    <t>DC-001</t>
  </si>
  <si>
    <t>Decision</t>
  </si>
  <si>
    <t>Selected Okta as enterprise IdP over Azure AD</t>
  </si>
  <si>
    <t>Okta scored higher on app catalog breadth (60% vs 40% pre-built integrations) and was preferred by business unit IT leads. Total cost slightly higher ($150K over 3 yr) but offset by integration time savings.</t>
  </si>
  <si>
    <t>Sandra Park (CISO)</t>
  </si>
  <si>
    <t>CIO, CTO, Identity Architect, Procurement</t>
  </si>
  <si>
    <t>Active</t>
  </si>
  <si>
    <t>DC-002</t>
  </si>
  <si>
    <t>Change Request — Schedule</t>
  </si>
  <si>
    <t>Extended ZTNA pilot from 2 weeks to 4 weeks</t>
  </si>
  <si>
    <t>Engineering org pilot revealed dev-tool latency issues affecting 10% of users. Additional 2 weeks needed to validate fix before broader rollout.</t>
  </si>
  <si>
    <t>Sandra Park</t>
  </si>
  <si>
    <t>CTO, ZTNA PM, OCM Lead</t>
  </si>
  <si>
    <t>Approved</t>
  </si>
  <si>
    <t>DC-003</t>
  </si>
  <si>
    <t>Adopted BeyondTrust over CyberArk for PAM</t>
  </si>
  <si>
    <t>BeyondTrust pricing came in $400K under CyberArk over 3 years. Both met functional requirements. BeyondTrust references stronger on cloud / hybrid environments which fits our roadmap.</t>
  </si>
  <si>
    <t>CIO, PAM PM, Procurement, Audit</t>
  </si>
  <si>
    <t>DC-004</t>
  </si>
  <si>
    <t>Change Request — Budget</t>
  </si>
  <si>
    <t>Increased PAM SOW ceiling by $50K to unblock production database access scope</t>
  </si>
  <si>
    <t>Vendor pricing for production DB tier came in higher than RFP indicated. Required to maintain Phase 1 timeline. Pulled from program contingency reserve.</t>
  </si>
  <si>
    <t>CFO, PAM PM, Procurement</t>
  </si>
  <si>
    <t>DC-005</t>
  </si>
  <si>
    <t>Approve hybrid FIDO2 approach: hardware tokens for privileged users, platform authenticators (Touch ID, Windows Hello) for everyone else</t>
  </si>
  <si>
    <t>Hardware lead time was 12 weeks, threatening program timeline. Hybrid approach maintains hardware FIDO2 for SOX-scope users (privileged + production access) and uses platform authenticators for the broader population. Compliance reviewed and accepted 4/26.</t>
  </si>
  <si>
    <t>GRC Lead, MFA PM, Audit, IT Operations</t>
  </si>
  <si>
    <t>DC-006</t>
  </si>
  <si>
    <t>Change Request — Scope</t>
  </si>
  <si>
    <t>Removed legacy mainframe app from IdP migration scope</t>
  </si>
  <si>
    <t>Mainframe app is 18 months from decommission per IT roadmap. ROI of migrating doesn't justify the integration cost. Application owner confirmed sunset path.</t>
  </si>
  <si>
    <t>M. Ortiz (IdP PM)</t>
  </si>
  <si>
    <t>Sandra Park, App Owner, Audit</t>
  </si>
  <si>
    <t>DC-007</t>
  </si>
  <si>
    <t>Extended ZTNA pilot 1 additional week (now ending 2026-04-21)</t>
  </si>
  <si>
    <t>Pilot week 1 surfaced dev tool latency issues for 10% of users. Mitigation deployed but needs validation week before broader rollout decision. Doesn't impact Wave 1 start (still 5/15).</t>
  </si>
  <si>
    <t>CTO, ZTNA PM, Eng Champions</t>
  </si>
  <si>
    <t>Action Items Tracker</t>
  </si>
  <si>
    <t>Meeting action items and cross-meeting commitments. Reviewed weekly. Distinct from RAID (issues) and Decisions &amp; Changes.</t>
  </si>
  <si>
    <t>Source meeting / context</t>
  </si>
  <si>
    <t>Due date</t>
  </si>
  <si>
    <t>Priority</t>
  </si>
  <si>
    <t>AI-001</t>
  </si>
  <si>
    <t>2026-04-08</t>
  </si>
  <si>
    <t>Weekly cross-component standup</t>
  </si>
  <si>
    <t>M. Ortiz to validate IdP FIDO2 support enabled before MFA Phase 1 starts</t>
  </si>
  <si>
    <t>Done</t>
  </si>
  <si>
    <t>Confirmed 4/15 — DEP-004 closed.</t>
  </si>
  <si>
    <t>AI-002</t>
  </si>
  <si>
    <t>J. Liu to schedule architecture review for ZTNA latency edge cases</t>
  </si>
  <si>
    <t>2026-04-22</t>
  </si>
  <si>
    <t>Review held 4/20 — 90% mitigation deployed.</t>
  </si>
  <si>
    <t>AI-003</t>
  </si>
  <si>
    <t>CISO 1:1</t>
  </si>
  <si>
    <t>Program PM to draft escalation memo on PAM SOW pricing for CFO awareness</t>
  </si>
  <si>
    <t>2026-04-23</t>
  </si>
  <si>
    <t>Memo sent 4/22; CFO approved $50K ceiling per DC-004.</t>
  </si>
  <si>
    <t>AI-004</t>
  </si>
  <si>
    <t>Steering committee</t>
  </si>
  <si>
    <t>OCM Lead to refine engineering pilot feedback summary for next steering</t>
  </si>
  <si>
    <t>2026-04-29</t>
  </si>
  <si>
    <t>Survey results in; analysis underway.</t>
  </si>
  <si>
    <t>AI-005</t>
  </si>
  <si>
    <t>S. Chen to brief Compliance on FIDO2 hybrid approach scope before 4/26 review</t>
  </si>
  <si>
    <t>2026-04-25</t>
  </si>
  <si>
    <t>Pre-brief scheduled 4/24 with GRC Lead.</t>
  </si>
  <si>
    <t>AI-006</t>
  </si>
  <si>
    <t>Program PM weekly with PMO Director</t>
  </si>
  <si>
    <t>Program PM to align with CIO and CTO as backup sponsors given P-R-004</t>
  </si>
  <si>
    <t>2026-05-05</t>
  </si>
  <si>
    <t>Calendar requests sent. CIO 5/2, CTO 5/5.</t>
  </si>
  <si>
    <t>AI-007</t>
  </si>
  <si>
    <t>P. Nguyen to share Access Review RFP scoring rubric with evaluation team</t>
  </si>
  <si>
    <t>2026-04-28</t>
  </si>
  <si>
    <t>Open + In Progress</t>
  </si>
  <si>
    <t>Blocked</t>
  </si>
  <si>
    <t>Carried Over</t>
  </si>
  <si>
    <t>Vendor Management Tracker</t>
  </si>
  <si>
    <t>Vendors engaged for Project Atlas. Track SLA performance, escalations, business reviews, and renewals.</t>
  </si>
  <si>
    <t>Vendor</t>
  </si>
  <si>
    <t>Service / Tool</t>
  </si>
  <si>
    <t>Component(s)</t>
  </si>
  <si>
    <t>Contract end</t>
  </si>
  <si>
    <t>Annual spend ($)</t>
  </si>
  <si>
    <t>SLA performance</t>
  </si>
  <si>
    <t>Open escalations</t>
  </si>
  <si>
    <t>Last business review</t>
  </si>
  <si>
    <t>Next renewal action</t>
  </si>
  <si>
    <t>Owner / Account mgr</t>
  </si>
  <si>
    <t>Okta</t>
  </si>
  <si>
    <t>Enterprise IdP</t>
  </si>
  <si>
    <t>2028-12-31</t>
  </si>
  <si>
    <t>0</t>
  </si>
  <si>
    <t>2026-04-02</t>
  </si>
  <si>
    <t>Renewal review Q3 2028</t>
  </si>
  <si>
    <t>M. Ortiz / Okta acct: J. Park</t>
  </si>
  <si>
    <t>Zscaler</t>
  </si>
  <si>
    <t>ZTNA platform (ZIA + ZPA)</t>
  </si>
  <si>
    <t>2029-03-31</t>
  </si>
  <si>
    <t>1 (latency for dev tools)</t>
  </si>
  <si>
    <t>Renewal review Q4 2028</t>
  </si>
  <si>
    <t>J. Liu / Zscaler acct: T. Adams</t>
  </si>
  <si>
    <t>BeyondTrust</t>
  </si>
  <si>
    <t>PAM platform</t>
  </si>
  <si>
    <t>2029-06-30</t>
  </si>
  <si>
    <t>1 (SOW pricing — open per P-I-001)</t>
  </si>
  <si>
    <t>Pending kickoff</t>
  </si>
  <si>
    <t>First QBR scheduled 2026-08-15</t>
  </si>
  <si>
    <t>K. Reddy / BeyondTrust acct: L. Cruz</t>
  </si>
  <si>
    <t>Yubico</t>
  </si>
  <si>
    <t>FIDO2 hardware tokens</t>
  </si>
  <si>
    <t>2027-12-31</t>
  </si>
  <si>
    <t>1 (hardware lead time delay — P-R-001)</t>
  </si>
  <si>
    <t>Quarterly volume review 2026-07-01</t>
  </si>
  <si>
    <t>S. Chen / Yubico acct: D. Reyes</t>
  </si>
  <si>
    <t>SailPoint</t>
  </si>
  <si>
    <t>Access governance + reviews</t>
  </si>
  <si>
    <t>TBD (vendor selection pending)</t>
  </si>
  <si>
    <t>RFP scoring complete by 6/1</t>
  </si>
  <si>
    <t>P. Nguyen / TBD</t>
  </si>
  <si>
    <t>PwC</t>
  </si>
  <si>
    <t>External audit (SOC 2)</t>
  </si>
  <si>
    <t>Program (audit support)</t>
  </si>
  <si>
    <t>2026-02-10</t>
  </si>
  <si>
    <t>Annual engagement renewal Q4 2027</t>
  </si>
  <si>
    <t>GRC Director / PwC partner: M. Sato</t>
  </si>
  <si>
    <t>Total annual vendor spend</t>
  </si>
  <si>
    <t>Vendors with open escalations</t>
  </si>
  <si>
    <t>Vendor management discipline</t>
  </si>
  <si>
    <t>Track every vendor engaged on the program. Escalation count is leading indicator of contract health. Quarterly business reviews surface issues before renewal. Renewal action 6 months ahead of contract end.</t>
  </si>
  <si>
    <t>Program Benefits Realization Map</t>
  </si>
  <si>
    <t>Benefits the program is delivering, when each materializes, how it's measured, and who owns sustainment.</t>
  </si>
  <si>
    <t>Benefit</t>
  </si>
  <si>
    <t>Source component(s)</t>
  </si>
  <si>
    <t>Realization timing</t>
  </si>
  <si>
    <t>Measurement method</t>
  </si>
  <si>
    <t>Target</t>
  </si>
  <si>
    <t>Benefit owner (post-program)</t>
  </si>
  <si>
    <t>Reduce VPN-related security incidents by 70%</t>
  </si>
  <si>
    <t>12 months post-launch</t>
  </si>
  <si>
    <t>Incident count from SIEM tagged 'remote access'</t>
  </si>
  <si>
    <t>70% reduction (baseline 2025: 23 incidents)</t>
  </si>
  <si>
    <t>Director, Security Operations</t>
  </si>
  <si>
    <t>Measured at 6 mo and 12 mo. Track quarterly.</t>
  </si>
  <si>
    <t>Achieve SOC 2 Type II audit findings closure for identity controls</t>
  </si>
  <si>
    <t>IdP Migration (#1) + MFA Hardening (#4) + PAM (#3)</t>
  </si>
  <si>
    <t>On Phase 1 completion (estimated 9/30)</t>
  </si>
  <si>
    <t>External auditor attestation</t>
  </si>
  <si>
    <t>Zero critical/major findings on identity controls in next audit</t>
  </si>
  <si>
    <t>Director, GRC</t>
  </si>
  <si>
    <t>Audit window: Q4 2026. Pre-audit dry-run scheduled 8/30.</t>
  </si>
  <si>
    <t>Reduce mean-time-to-revoke access from 14 days to &lt;24 hours</t>
  </si>
  <si>
    <t>On launch + 1 quarter (estimated Q1 2027)</t>
  </si>
  <si>
    <t>Time delta between termination event in HR and access removal across systems</t>
  </si>
  <si>
    <t>&lt;24 hours for 95% of terminations</t>
  </si>
  <si>
    <t>HR system feed dependency must be live.</t>
  </si>
  <si>
    <t>Eliminate password-based access to production systems</t>
  </si>
  <si>
    <t>PAM (#3) + MFA Hardening (#4)</t>
  </si>
  <si>
    <t>On Phase 2 completion (estimated 1/31/2027)</t>
  </si>
  <si>
    <t>Audit log review — count of password auth events on prod systems</t>
  </si>
  <si>
    <t>Zero password-only access by 2/2027</t>
  </si>
  <si>
    <t>Director, Infrastructure</t>
  </si>
  <si>
    <t>Hard cutover requires PAM Phase 2 + FIDO2 Phase 2 both complete.</t>
  </si>
  <si>
    <t>Reduce identity-related help desk tickets by 40%</t>
  </si>
  <si>
    <t>IdP Migration (#1) + MFA Hardening (#4)</t>
  </si>
  <si>
    <t>6 months post-launch</t>
  </si>
  <si>
    <t>ServiceNow ticket volume tagged 'identity' or 'MFA'</t>
  </si>
  <si>
    <t>40% reduction (baseline 2025 monthly avg: 340)</t>
  </si>
  <si>
    <t>Director, IT Service Management</t>
  </si>
  <si>
    <t>Counter-effect possible during migration — expect spike before drop.</t>
  </si>
  <si>
    <t>Enable foundation for future Zero Trust architecture</t>
  </si>
  <si>
    <t>All 5 components</t>
  </si>
  <si>
    <t>On program completion (estimated 9/30/2027)</t>
  </si>
  <si>
    <t>Architecture maturity assessment by external advisor</t>
  </si>
  <si>
    <t>Achieve 'Defined' or higher on 8 of 10 ZT pillars</t>
  </si>
  <si>
    <t>VP, Security Architecture</t>
  </si>
  <si>
    <t>Strategic, not directly measurable. Maturity assessment Q4 2027.</t>
  </si>
  <si>
    <t>Reduce annual cost of legacy VPN infrastructure</t>
  </si>
  <si>
    <t>On VPN decommission (estimated 12/31/2026)</t>
  </si>
  <si>
    <t>Annual VPN licensing + maintenance contracts cancelled</t>
  </si>
  <si>
    <t>$420K annual savings</t>
  </si>
  <si>
    <t>VP, Network Engineering</t>
  </si>
  <si>
    <t>Dependent on Network team's decommission timeline (P-D-001).</t>
  </si>
  <si>
    <t>Program Status Reports — Running History</t>
  </si>
  <si>
    <t>Append a new row each week. The history is the artifact — never overwrite.</t>
  </si>
  <si>
    <t>Report date</t>
  </si>
  <si>
    <t>Period</t>
  </si>
  <si>
    <t>Reported by</t>
  </si>
  <si>
    <t>Overall status</t>
  </si>
  <si>
    <t>Key accomplishments</t>
  </si>
  <si>
    <t>Planned next period</t>
  </si>
  <si>
    <t>Top risks / issues</t>
  </si>
  <si>
    <t>Asks / blockers</t>
  </si>
  <si>
    <t>2026-04-07</t>
  </si>
  <si>
    <t>Wk 14</t>
  </si>
  <si>
    <t>IdP migration hit 50% of Phase 1 apps. ZTNA pilot launched eng org. PAM SOW kickoff with BeyondTrust this week (vendor selected 3/12 — DC-003).</t>
  </si>
  <si>
    <t>Continue IdP Phase 1; ZTNA pilot week 1 feedback session; PAM SOW negotiation kickoff with vendor.</t>
  </si>
  <si>
    <t>FIDO2 hardware lead time delay (P-R-001) — 12 wk lead time confirmed. Engineering pushback on ZTNA (P-R-003) emerging.</t>
  </si>
  <si>
    <t>Need CISO 1:1 with CTO this week to align on ZTNA enforcement timing for engineering org.</t>
  </si>
  <si>
    <t>2026-04-14</t>
  </si>
  <si>
    <t>Wk 15</t>
  </si>
  <si>
    <t>ZTNA pilot week 1 complete. Latency issue identified for dev tools (10% of users). PAM SOW negotiation underway. FIDO2 procurement escalation to CFO complete — partial shipment negotiated.</t>
  </si>
  <si>
    <t>ZTNA latency fix deployment; pilot extension through wk of 4/21 (DC-002). Continue PAM SOW. Begin Access Review RFP draft.</t>
  </si>
  <si>
    <t>ZTNA latency mitigation pending architecture review. PAM SOW pricing higher than RFP indicated.</t>
  </si>
  <si>
    <t>Need approval on PAM SOW $50K ceiling increase from program contingency (taken to steering 4/16).</t>
  </si>
  <si>
    <t>Wk 16</t>
  </si>
  <si>
    <t>ZTNA latency mitigation deployed for 90% of cases. PAM SOW $50K increase approved (DC-004). FIDO2 hybrid approach decided (DC-005) — Compliance review scheduled 4/26. Mainframe app removed from IdP scope (DC-006). Access Review RFP issued 4/15.</t>
  </si>
  <si>
    <t>Complete ZTNA pilot extended period; finalize architecture review for remaining 10% latency cases; PAM SOW signature target 5/2; Compliance review of FIDO2 hybrid approach.</t>
  </si>
  <si>
    <t>PAM SOW signature still pending (P-I-001). FIDO2 hybrid approach awaiting Compliance review. CISO sponsor departure rumor (P-R-004) being monitored.</t>
  </si>
  <si>
    <t>None this week. PAM SOW expected to close by 5/2 without further escalation.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</si>
</sst>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
    <numFmt numFmtId="166" formatCode="\$#,##0;&quot;($&quot;#,##0\);\-"/>
    <numFmt numFmtId="167" formatCode="yyyy\-mm\-dd"/>
  </numFmts>
  <fonts count="12" x14ac:knownFonts="1">
    <font>
      <sz val="11"/>
      <color theme="1"/>
      <name val="Calibri"/>
      <family val="2"/>
      <charset val="1"/>
    </font>
    <font>
      <b/>
      <sz val="24"/>
      <color rgb="FF1F3864"/>
      <name val="Arial"/>
      <family val="2"/>
    </font>
    <font>
      <i/>
      <sz val="12"/>
      <color rgb="FF595959"/>
      <name val="Arial"/>
      <family val="2"/>
    </font>
    <font>
      <i/>
      <sz val="10"/>
      <color rgb="FF595959"/>
      <name val="Arial"/>
      <family val="2"/>
    </font>
    <font>
      <b/>
      <sz val="12"/>
      <color rgb="FF1F3864"/>
      <name val="Arial"/>
      <family val="2"/>
    </font>
    <font>
      <b/>
      <sz val="11"/>
      <color rgb="FF1F3864"/>
      <name val="Arial"/>
      <family val="2"/>
    </font>
    <font>
      <sz val="11"/>
      <name val="Arial"/>
      <family val="2"/>
    </font>
    <font>
      <b/>
      <sz val="14"/>
      <color rgb="FF1F3864"/>
      <name val="Arial"/>
      <family val="2"/>
    </font>
    <font>
      <b/>
      <sz val="11"/>
      <color rgb="FFFFFFFF"/>
      <name val="Arial"/>
      <family val="2"/>
    </font>
    <font>
      <b/>
      <sz val="11"/>
      <name val="Arial"/>
      <family val="2"/>
    </font>
    <font>
      <i/>
      <sz val="11"/>
      <color rgb="FF595959"/>
      <name val="Arial"/>
      <family val="2"/>
    </font>
    <font>
      <b/>
      <sz val="20"/>
      <color rgb="FF1F3864"/>
      <name val="Arial"/>
      <family val="2"/>
    </font>
  </fonts>
  <fills count="8">
    <fill>
      <patternFill patternType="none"/>
    </fill>
    <fill>
      <patternFill patternType="gray125"/>
    </fill>
    <fill>
      <patternFill patternType="solid">
        <fgColor rgb="FFF2F2F2"/>
        <bgColor rgb="FFFFFFFF"/>
      </patternFill>
    </fill>
    <fill>
      <patternFill patternType="solid">
        <fgColor rgb="FF1F3864"/>
        <bgColor rgb="FF333333"/>
      </patternFill>
    </fill>
    <fill>
      <patternFill patternType="solid">
        <fgColor rgb="FFC6E0B4"/>
        <bgColor rgb="FFD9E2F3"/>
      </patternFill>
    </fill>
    <fill>
      <patternFill patternType="solid">
        <fgColor rgb="FFFFE699"/>
        <bgColor rgb="FFF8CBAD"/>
      </patternFill>
    </fill>
    <fill>
      <patternFill patternType="solid">
        <fgColor rgb="FFF8CBAD"/>
        <bgColor rgb="FFFFE699"/>
      </patternFill>
    </fill>
    <fill>
      <patternFill patternType="solid">
        <fgColor rgb="FFD9E2F3"/>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4">
    <xf numFmtId="0" fontId="0" fillId="0" borderId="0" xfId="0"/>
    <xf numFmtId="0" fontId="5" fillId="2" borderId="1" xfId="0" applyFont="1" applyFill="1" applyBorder="1" applyAlignment="1">
      <alignment horizontal="left" vertical="center" wrapText="1"/>
    </xf>
    <xf numFmtId="0" fontId="6" fillId="0" borderId="1" xfId="0" applyFont="1" applyBorder="1" applyAlignment="1">
      <alignment horizontal="left" vertical="top" wrapText="1"/>
    </xf>
    <xf numFmtId="0" fontId="6" fillId="0" borderId="1" xfId="0" applyFont="1" applyBorder="1" applyAlignment="1">
      <alignment horizontal="left" vertical="center" wrapText="1"/>
    </xf>
    <xf numFmtId="0" fontId="1" fillId="0" borderId="0" xfId="0" applyFont="1" applyAlignment="1">
      <alignment horizontal="left" vertical="center"/>
    </xf>
    <xf numFmtId="0" fontId="2" fillId="0" borderId="0" xfId="0" applyFont="1"/>
    <xf numFmtId="0" fontId="3" fillId="0" borderId="0" xfId="0" applyFont="1"/>
    <xf numFmtId="0" fontId="4" fillId="0" borderId="0" xfId="0" applyFont="1" applyAlignment="1">
      <alignment horizontal="left" vertical="center"/>
    </xf>
    <xf numFmtId="0" fontId="7" fillId="0" borderId="0" xfId="0" applyFont="1" applyAlignment="1">
      <alignment horizontal="left" vertical="center"/>
    </xf>
    <xf numFmtId="0" fontId="8" fillId="3" borderId="1" xfId="0" applyFont="1" applyFill="1" applyBorder="1" applyAlignment="1">
      <alignment horizontal="left" vertical="center" wrapText="1"/>
    </xf>
    <xf numFmtId="0" fontId="9" fillId="4" borderId="1" xfId="0" applyFont="1" applyFill="1" applyBorder="1" applyAlignment="1">
      <alignment horizontal="left" vertical="center"/>
    </xf>
    <xf numFmtId="0" fontId="9" fillId="5" borderId="1" xfId="0" applyFont="1" applyFill="1" applyBorder="1" applyAlignment="1">
      <alignment horizontal="left" vertical="center"/>
    </xf>
    <xf numFmtId="0" fontId="9" fillId="6" borderId="1" xfId="0" applyFont="1" applyFill="1" applyBorder="1" applyAlignment="1">
      <alignment horizontal="left" vertical="center"/>
    </xf>
    <xf numFmtId="0" fontId="6" fillId="2" borderId="1" xfId="0" applyFont="1" applyFill="1" applyBorder="1" applyAlignment="1">
      <alignment horizontal="left" vertical="top" wrapText="1"/>
    </xf>
    <xf numFmtId="0" fontId="11" fillId="0" borderId="0" xfId="0" applyFont="1" applyAlignment="1">
      <alignment horizontal="left" vertical="center"/>
    </xf>
    <xf numFmtId="0" fontId="10" fillId="0" borderId="0" xfId="0" applyFont="1"/>
    <xf numFmtId="164" fontId="6" fillId="0" borderId="1" xfId="0" applyNumberFormat="1" applyFont="1" applyBorder="1" applyAlignment="1">
      <alignment horizontal="left" vertical="top" wrapText="1"/>
    </xf>
    <xf numFmtId="165" fontId="6" fillId="0" borderId="1" xfId="0" applyNumberFormat="1" applyFont="1" applyBorder="1" applyAlignment="1">
      <alignment horizontal="left" vertical="top" wrapText="1"/>
    </xf>
    <xf numFmtId="166" fontId="6" fillId="0" borderId="1" xfId="0" applyNumberFormat="1" applyFont="1" applyBorder="1" applyAlignment="1">
      <alignment horizontal="left" vertical="top" wrapText="1"/>
    </xf>
    <xf numFmtId="0" fontId="8" fillId="3" borderId="1" xfId="0" applyFont="1" applyFill="1" applyBorder="1" applyAlignment="1">
      <alignment horizontal="left" vertical="center"/>
    </xf>
    <xf numFmtId="164" fontId="9" fillId="7" borderId="1" xfId="0" applyNumberFormat="1" applyFont="1" applyFill="1" applyBorder="1"/>
    <xf numFmtId="165" fontId="9" fillId="7" borderId="1" xfId="0" applyNumberFormat="1" applyFont="1" applyFill="1" applyBorder="1"/>
    <xf numFmtId="166" fontId="9" fillId="7" borderId="1" xfId="0" applyNumberFormat="1" applyFont="1" applyFill="1" applyBorder="1"/>
    <xf numFmtId="0" fontId="9" fillId="0" borderId="1" xfId="0" applyFont="1" applyBorder="1" applyAlignment="1">
      <alignment horizontal="left" vertical="center"/>
    </xf>
    <xf numFmtId="164" fontId="9" fillId="0" borderId="1" xfId="0" applyNumberFormat="1" applyFont="1" applyBorder="1" applyAlignment="1">
      <alignment horizontal="left" vertical="center"/>
    </xf>
    <xf numFmtId="0" fontId="6" fillId="0" borderId="1" xfId="0" applyFont="1" applyBorder="1" applyAlignment="1">
      <alignment horizontal="center" vertical="top"/>
    </xf>
    <xf numFmtId="167" fontId="6" fillId="0" borderId="1" xfId="0" applyNumberFormat="1" applyFont="1" applyBorder="1" applyAlignment="1">
      <alignment horizontal="left" vertical="top" wrapText="1"/>
    </xf>
    <xf numFmtId="0" fontId="6" fillId="2" borderId="1" xfId="0" applyFont="1" applyFill="1" applyBorder="1" applyAlignment="1">
      <alignment horizontal="center" vertical="top"/>
    </xf>
    <xf numFmtId="167" fontId="6" fillId="2" borderId="1" xfId="0" applyNumberFormat="1" applyFont="1" applyFill="1" applyBorder="1" applyAlignment="1">
      <alignment horizontal="left" vertical="top" wrapText="1"/>
    </xf>
    <xf numFmtId="167" fontId="0" fillId="0" borderId="0" xfId="0" applyNumberFormat="1"/>
    <xf numFmtId="165" fontId="6" fillId="0" borderId="1" xfId="0" applyNumberFormat="1" applyFont="1" applyBorder="1" applyAlignment="1">
      <alignment horizontal="left" vertical="center" wrapText="1"/>
    </xf>
    <xf numFmtId="167" fontId="6" fillId="0" borderId="1" xfId="0" applyNumberFormat="1" applyFont="1" applyBorder="1" applyAlignment="1">
      <alignment horizontal="left" vertical="center" wrapText="1"/>
    </xf>
    <xf numFmtId="0" fontId="8" fillId="3" borderId="1" xfId="0" applyFont="1" applyFill="1" applyBorder="1"/>
    <xf numFmtId="166" fontId="9" fillId="0" borderId="1" xfId="0" applyNumberFormat="1" applyFont="1" applyBorder="1"/>
    <xf numFmtId="9" fontId="6" fillId="0" borderId="1" xfId="0" applyNumberFormat="1" applyFont="1" applyBorder="1" applyAlignment="1">
      <alignment horizontal="left" vertical="top" wrapText="1"/>
    </xf>
    <xf numFmtId="9" fontId="9" fillId="0" borderId="1" xfId="0" applyNumberFormat="1" applyFont="1" applyBorder="1" applyAlignment="1">
      <alignment horizontal="left" vertical="top" wrapText="1"/>
    </xf>
    <xf numFmtId="165" fontId="6" fillId="2" borderId="1" xfId="0" applyNumberFormat="1" applyFont="1" applyFill="1" applyBorder="1" applyAlignment="1">
      <alignment horizontal="left" vertical="top" wrapText="1"/>
    </xf>
    <xf numFmtId="165" fontId="0" fillId="0" borderId="0" xfId="0" applyNumberFormat="1"/>
    <xf numFmtId="165" fontId="9" fillId="0" borderId="1" xfId="0" applyNumberFormat="1" applyFont="1" applyBorder="1" applyAlignment="1">
      <alignment horizontal="left" vertical="center"/>
    </xf>
    <xf numFmtId="0" fontId="6" fillId="0" borderId="0" xfId="0" applyFont="1" applyAlignment="1">
      <alignment vertical="top" wrapText="1"/>
    </xf>
    <xf numFmtId="0" fontId="6" fillId="0" borderId="1" xfId="0" applyFont="1" applyBorder="1" applyAlignment="1">
      <alignment horizontal="left" vertical="top" wrapText="1"/>
    </xf>
    <xf numFmtId="0" fontId="10" fillId="0" borderId="0" xfId="0" applyFont="1" applyAlignment="1">
      <alignment vertical="top" wrapText="1"/>
    </xf>
    <xf numFmtId="0" fontId="6" fillId="0" borderId="1" xfId="0" applyFont="1" applyBorder="1" applyAlignment="1">
      <alignment horizontal="left" vertical="center" wrapText="1"/>
    </xf>
    <xf numFmtId="0" fontId="5" fillId="2" borderId="1" xfId="0" applyFont="1" applyFill="1" applyBorder="1" applyAlignment="1">
      <alignment horizontal="left" vertical="center" wrapText="1"/>
    </xf>
  </cellXfs>
  <cellStyles count="1">
    <cellStyle name="Normal" xfId="0" builtinId="0"/>
  </cellStyles>
  <dxfs count="27">
    <dxf>
      <fill>
        <patternFill>
          <bgColor rgb="FFC6E0B4"/>
        </patternFill>
      </fill>
    </dxf>
    <dxf>
      <fill>
        <patternFill>
          <bgColor rgb="FFFFE699"/>
        </patternFill>
      </fill>
    </dxf>
    <dxf>
      <fill>
        <patternFill>
          <bgColor rgb="FFF8CBAD"/>
        </patternFill>
      </fill>
    </dxf>
    <dxf>
      <fill>
        <patternFill>
          <bgColor rgb="FFF8CBAD"/>
        </patternFill>
      </fill>
    </dxf>
    <dxf>
      <fill>
        <patternFill>
          <bgColor rgb="FFFFE699"/>
        </patternFill>
      </fill>
    </dxf>
    <dxf>
      <fill>
        <patternFill>
          <bgColor rgb="FFC6E0B4"/>
        </patternFill>
      </fill>
    </dxf>
    <dxf>
      <fill>
        <patternFill>
          <bgColor rgb="FFFFE699"/>
        </patternFill>
      </fill>
    </dxf>
    <dxf>
      <fill>
        <patternFill>
          <bgColor rgb="FFF8CBAD"/>
        </patternFill>
      </fill>
    </dxf>
    <dxf>
      <fill>
        <patternFill>
          <bgColor rgb="FFC6E0B4"/>
        </patternFill>
      </fill>
    </dxf>
    <dxf>
      <fill>
        <patternFill>
          <bgColor rgb="FFFFE699"/>
        </patternFill>
      </fill>
    </dxf>
    <dxf>
      <fill>
        <patternFill>
          <bgColor rgb="FFF8CBAD"/>
        </patternFill>
      </fill>
    </dxf>
    <dxf>
      <fill>
        <patternFill>
          <bgColor rgb="FFFFE699"/>
        </patternFill>
      </fill>
    </dxf>
    <dxf>
      <fill>
        <patternFill>
          <bgColor rgb="FFF8CBAD"/>
        </patternFill>
      </fill>
    </dxf>
    <dxf>
      <fill>
        <patternFill>
          <bgColor rgb="FFC6E0B4"/>
        </patternFill>
      </fill>
    </dxf>
    <dxf>
      <fill>
        <patternFill>
          <bgColor rgb="FFC6E0B4"/>
        </patternFill>
      </fill>
    </dxf>
    <dxf>
      <fill>
        <patternFill>
          <bgColor rgb="FFF8CBAD"/>
        </patternFill>
      </fill>
    </dxf>
    <dxf>
      <fill>
        <patternFill>
          <bgColor rgb="FFFFE699"/>
        </patternFill>
      </fill>
    </dxf>
    <dxf>
      <fill>
        <patternFill>
          <bgColor rgb="FFC6E0B4"/>
        </patternFill>
      </fill>
    </dxf>
    <dxf>
      <fill>
        <patternFill>
          <bgColor rgb="FFC6E0B4"/>
        </patternFill>
      </fill>
    </dxf>
    <dxf>
      <fill>
        <patternFill>
          <bgColor rgb="FFFFE699"/>
        </patternFill>
      </fill>
    </dxf>
    <dxf>
      <fill>
        <patternFill>
          <bgColor rgb="FFF8CBAD"/>
        </patternFill>
      </fill>
    </dxf>
    <dxf>
      <fill>
        <patternFill>
          <bgColor rgb="FFC6E0B4"/>
        </patternFill>
      </fill>
    </dxf>
    <dxf>
      <fill>
        <patternFill>
          <bgColor rgb="FFFFE699"/>
        </patternFill>
      </fill>
    </dxf>
    <dxf>
      <fill>
        <patternFill>
          <bgColor rgb="FFF8CBAD"/>
        </patternFill>
      </fill>
    </dxf>
    <dxf>
      <fill>
        <patternFill>
          <bgColor rgb="FFC6E0B4"/>
        </patternFill>
      </fill>
    </dxf>
    <dxf>
      <fill>
        <patternFill>
          <bgColor rgb="FFFFE699"/>
        </patternFill>
      </fill>
    </dxf>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F79"/>
  <sheetViews>
    <sheetView showGridLines="0" tabSelected="1" zoomScaleNormal="100" workbookViewId="0">
      <selection activeCell="B2" sqref="B2"/>
    </sheetView>
  </sheetViews>
  <sheetFormatPr baseColWidth="10" defaultColWidth="8.6640625" defaultRowHeight="15" x14ac:dyDescent="0.2"/>
  <cols>
    <col min="1" max="1" width="3" customWidth="1"/>
    <col min="2" max="2" width="30" customWidth="1"/>
    <col min="3" max="3" width="50" customWidth="1"/>
    <col min="4" max="6" width="22" customWidth="1"/>
  </cols>
  <sheetData>
    <row r="1" spans="2:6" ht="16.5" customHeight="1" x14ac:dyDescent="0.2"/>
    <row r="2" spans="2:6" ht="33" customHeight="1" x14ac:dyDescent="0.2">
      <c r="B2" s="4" t="s">
        <v>0</v>
      </c>
    </row>
    <row r="3" spans="2:6" ht="16.5" customHeight="1" x14ac:dyDescent="0.2">
      <c r="B3" s="5" t="s">
        <v>1</v>
      </c>
    </row>
    <row r="4" spans="2:6" ht="16.5" customHeight="1" x14ac:dyDescent="0.2">
      <c r="B4" s="6" t="s">
        <v>2</v>
      </c>
    </row>
    <row r="5" spans="2:6" ht="16.5" customHeight="1" x14ac:dyDescent="0.2">
      <c r="B5" s="7" t="s">
        <v>3</v>
      </c>
    </row>
    <row r="6" spans="2:6" ht="16.5" customHeight="1" x14ac:dyDescent="0.2"/>
    <row r="7" spans="2:6" ht="16.5" customHeight="1" x14ac:dyDescent="0.2">
      <c r="B7" s="1" t="s">
        <v>4</v>
      </c>
      <c r="C7" s="42" t="s">
        <v>5</v>
      </c>
      <c r="D7" s="42"/>
      <c r="E7" s="42"/>
      <c r="F7" s="42"/>
    </row>
    <row r="8" spans="2:6" ht="16.5" customHeight="1" x14ac:dyDescent="0.2">
      <c r="B8" s="1" t="s">
        <v>6</v>
      </c>
      <c r="C8" s="42" t="s">
        <v>7</v>
      </c>
      <c r="D8" s="42"/>
      <c r="E8" s="42"/>
      <c r="F8" s="42"/>
    </row>
    <row r="9" spans="2:6" ht="16.5" customHeight="1" x14ac:dyDescent="0.2">
      <c r="B9" s="1" t="s">
        <v>8</v>
      </c>
      <c r="C9" s="42" t="s">
        <v>9</v>
      </c>
      <c r="D9" s="42"/>
      <c r="E9" s="42"/>
      <c r="F9" s="42"/>
    </row>
    <row r="10" spans="2:6" ht="16.5" customHeight="1" x14ac:dyDescent="0.2">
      <c r="B10" s="1" t="s">
        <v>10</v>
      </c>
      <c r="C10" s="42" t="s">
        <v>11</v>
      </c>
      <c r="D10" s="42"/>
      <c r="E10" s="42"/>
      <c r="F10" s="42"/>
    </row>
    <row r="11" spans="2:6" ht="16.5" customHeight="1" x14ac:dyDescent="0.2">
      <c r="B11" s="1" t="s">
        <v>12</v>
      </c>
      <c r="C11" s="42" t="s">
        <v>13</v>
      </c>
      <c r="D11" s="42"/>
      <c r="E11" s="42"/>
      <c r="F11" s="42"/>
    </row>
    <row r="12" spans="2:6" ht="16.5" customHeight="1" x14ac:dyDescent="0.2">
      <c r="B12" s="1" t="s">
        <v>14</v>
      </c>
      <c r="C12" s="42" t="s">
        <v>15</v>
      </c>
      <c r="D12" s="42"/>
      <c r="E12" s="42"/>
      <c r="F12" s="42"/>
    </row>
    <row r="13" spans="2:6" ht="16.5" customHeight="1" x14ac:dyDescent="0.2">
      <c r="B13" s="1" t="s">
        <v>16</v>
      </c>
      <c r="C13" s="42" t="s">
        <v>17</v>
      </c>
      <c r="D13" s="42"/>
      <c r="E13" s="42"/>
      <c r="F13" s="42"/>
    </row>
    <row r="14" spans="2:6" ht="16.5" customHeight="1" x14ac:dyDescent="0.2">
      <c r="B14" s="1" t="s">
        <v>18</v>
      </c>
      <c r="C14" s="42" t="s">
        <v>19</v>
      </c>
      <c r="D14" s="42"/>
      <c r="E14" s="42"/>
      <c r="F14" s="42"/>
    </row>
    <row r="15" spans="2:6" ht="16.5" customHeight="1" x14ac:dyDescent="0.2">
      <c r="B15" s="1" t="s">
        <v>20</v>
      </c>
      <c r="C15" s="42" t="s">
        <v>21</v>
      </c>
      <c r="D15" s="42"/>
      <c r="E15" s="42"/>
      <c r="F15" s="42"/>
    </row>
    <row r="16" spans="2:6" ht="16.5" customHeight="1" x14ac:dyDescent="0.2">
      <c r="B16" s="1" t="s">
        <v>22</v>
      </c>
      <c r="C16" s="42" t="s">
        <v>23</v>
      </c>
      <c r="D16" s="42"/>
      <c r="E16" s="42"/>
      <c r="F16" s="42"/>
    </row>
    <row r="17" spans="2:6" ht="60" customHeight="1" x14ac:dyDescent="0.2">
      <c r="B17" s="1" t="s">
        <v>24</v>
      </c>
      <c r="C17" s="42" t="s">
        <v>25</v>
      </c>
      <c r="D17" s="42"/>
      <c r="E17" s="42"/>
      <c r="F17" s="42"/>
    </row>
    <row r="18" spans="2:6" ht="16.5" customHeight="1" x14ac:dyDescent="0.2">
      <c r="B18" s="1" t="s">
        <v>26</v>
      </c>
      <c r="C18" s="42" t="s">
        <v>27</v>
      </c>
      <c r="D18" s="42"/>
      <c r="E18" s="42"/>
      <c r="F18" s="42"/>
    </row>
    <row r="19" spans="2:6" ht="16.5" customHeight="1" x14ac:dyDescent="0.2">
      <c r="B19" s="1" t="s">
        <v>28</v>
      </c>
      <c r="C19" s="42" t="s">
        <v>29</v>
      </c>
      <c r="D19" s="42"/>
      <c r="E19" s="42"/>
      <c r="F19" s="42"/>
    </row>
    <row r="20" spans="2:6" ht="16.5" customHeight="1" x14ac:dyDescent="0.2">
      <c r="B20" s="1" t="s">
        <v>30</v>
      </c>
      <c r="C20" s="42" t="s">
        <v>31</v>
      </c>
      <c r="D20" s="42"/>
      <c r="E20" s="42"/>
      <c r="F20" s="42"/>
    </row>
    <row r="21" spans="2:6" ht="16.5" customHeight="1" x14ac:dyDescent="0.2"/>
    <row r="22" spans="2:6" ht="16.5" customHeight="1" x14ac:dyDescent="0.2">
      <c r="B22" s="8" t="s">
        <v>32</v>
      </c>
    </row>
    <row r="23" spans="2:6" ht="16.5" customHeight="1" x14ac:dyDescent="0.2"/>
    <row r="24" spans="2:6" ht="27.75" customHeight="1" x14ac:dyDescent="0.2">
      <c r="B24" s="9" t="s">
        <v>33</v>
      </c>
      <c r="C24" s="9" t="s">
        <v>34</v>
      </c>
    </row>
    <row r="25" spans="2:6" ht="60" customHeight="1" x14ac:dyDescent="0.2">
      <c r="B25" s="10" t="s">
        <v>35</v>
      </c>
      <c r="C25" s="40" t="s">
        <v>36</v>
      </c>
      <c r="D25" s="40"/>
      <c r="E25" s="40"/>
      <c r="F25" s="40"/>
    </row>
    <row r="26" spans="2:6" ht="60" customHeight="1" x14ac:dyDescent="0.2">
      <c r="B26" s="11" t="s">
        <v>23</v>
      </c>
      <c r="C26" s="40" t="s">
        <v>37</v>
      </c>
      <c r="D26" s="40"/>
      <c r="E26" s="40"/>
      <c r="F26" s="40"/>
    </row>
    <row r="27" spans="2:6" ht="60" customHeight="1" x14ac:dyDescent="0.2">
      <c r="B27" s="12" t="s">
        <v>38</v>
      </c>
      <c r="C27" s="40" t="s">
        <v>39</v>
      </c>
      <c r="D27" s="40"/>
      <c r="E27" s="40"/>
      <c r="F27" s="40"/>
    </row>
    <row r="28" spans="2:6" ht="16.5" customHeight="1" x14ac:dyDescent="0.2"/>
    <row r="29" spans="2:6" ht="39.75" customHeight="1" x14ac:dyDescent="0.2">
      <c r="B29" s="41" t="s">
        <v>40</v>
      </c>
      <c r="C29" s="41"/>
      <c r="D29" s="41"/>
      <c r="E29" s="41"/>
      <c r="F29" s="41"/>
    </row>
    <row r="30" spans="2:6" ht="16.5" customHeight="1" x14ac:dyDescent="0.2"/>
    <row r="31" spans="2:6" ht="16.5" customHeight="1" x14ac:dyDescent="0.2"/>
    <row r="32" spans="2:6" ht="16.5" customHeight="1" x14ac:dyDescent="0.2"/>
    <row r="33" spans="2:5" ht="16.5" customHeight="1" x14ac:dyDescent="0.2">
      <c r="B33" s="8" t="s">
        <v>41</v>
      </c>
    </row>
    <row r="34" spans="2:5" ht="16.5" customHeight="1" x14ac:dyDescent="0.2"/>
    <row r="35" spans="2:5" ht="27.75" customHeight="1" x14ac:dyDescent="0.2">
      <c r="B35" s="9" t="s">
        <v>42</v>
      </c>
      <c r="C35" s="9" t="s">
        <v>43</v>
      </c>
      <c r="D35" s="9" t="s">
        <v>44</v>
      </c>
      <c r="E35" s="9" t="s">
        <v>45</v>
      </c>
    </row>
    <row r="36" spans="2:5" ht="31.5" customHeight="1" x14ac:dyDescent="0.2">
      <c r="B36" s="2" t="s">
        <v>46</v>
      </c>
      <c r="C36" s="2" t="s">
        <v>47</v>
      </c>
      <c r="D36" s="2" t="s">
        <v>48</v>
      </c>
      <c r="E36" s="2" t="s">
        <v>49</v>
      </c>
    </row>
    <row r="37" spans="2:5" ht="48" customHeight="1" x14ac:dyDescent="0.2">
      <c r="B37" s="13" t="s">
        <v>50</v>
      </c>
      <c r="C37" s="13" t="s">
        <v>51</v>
      </c>
      <c r="D37" s="13" t="s">
        <v>52</v>
      </c>
      <c r="E37" s="13" t="s">
        <v>53</v>
      </c>
    </row>
    <row r="38" spans="2:5" ht="48" customHeight="1" x14ac:dyDescent="0.2">
      <c r="B38" s="2" t="s">
        <v>54</v>
      </c>
      <c r="C38" s="2" t="s">
        <v>55</v>
      </c>
      <c r="D38" s="2" t="s">
        <v>56</v>
      </c>
      <c r="E38" s="2" t="s">
        <v>57</v>
      </c>
    </row>
    <row r="39" spans="2:5" ht="31.5" customHeight="1" x14ac:dyDescent="0.2">
      <c r="B39" s="13" t="s">
        <v>58</v>
      </c>
      <c r="C39" s="13" t="s">
        <v>59</v>
      </c>
      <c r="D39" s="13" t="s">
        <v>60</v>
      </c>
      <c r="E39" s="13" t="s">
        <v>57</v>
      </c>
    </row>
    <row r="40" spans="2:5" ht="31.5" customHeight="1" x14ac:dyDescent="0.2">
      <c r="B40" s="2" t="s">
        <v>61</v>
      </c>
      <c r="C40" s="2" t="s">
        <v>62</v>
      </c>
      <c r="D40" s="2" t="s">
        <v>63</v>
      </c>
      <c r="E40" s="2" t="s">
        <v>64</v>
      </c>
    </row>
    <row r="41" spans="2:5" ht="48" customHeight="1" x14ac:dyDescent="0.2">
      <c r="B41" s="13" t="s">
        <v>65</v>
      </c>
      <c r="C41" s="13" t="s">
        <v>66</v>
      </c>
      <c r="D41" s="13" t="s">
        <v>67</v>
      </c>
      <c r="E41" s="13" t="s">
        <v>68</v>
      </c>
    </row>
    <row r="42" spans="2:5" ht="31.5" customHeight="1" x14ac:dyDescent="0.2">
      <c r="B42" s="2" t="s">
        <v>69</v>
      </c>
      <c r="C42" s="2" t="s">
        <v>70</v>
      </c>
      <c r="D42" s="2" t="s">
        <v>71</v>
      </c>
      <c r="E42" s="2" t="s">
        <v>72</v>
      </c>
    </row>
    <row r="43" spans="2:5" ht="31.5" customHeight="1" x14ac:dyDescent="0.2">
      <c r="B43" s="13" t="s">
        <v>73</v>
      </c>
      <c r="C43" s="13" t="s">
        <v>74</v>
      </c>
      <c r="D43" s="13" t="s">
        <v>75</v>
      </c>
      <c r="E43" s="13" t="s">
        <v>76</v>
      </c>
    </row>
    <row r="44" spans="2:5" ht="48" customHeight="1" x14ac:dyDescent="0.2">
      <c r="B44" s="2" t="s">
        <v>77</v>
      </c>
      <c r="C44" s="2" t="s">
        <v>78</v>
      </c>
      <c r="D44" s="2" t="s">
        <v>79</v>
      </c>
      <c r="E44" s="2" t="s">
        <v>57</v>
      </c>
    </row>
    <row r="45" spans="2:5" ht="48" customHeight="1" x14ac:dyDescent="0.2">
      <c r="B45" s="13" t="s">
        <v>80</v>
      </c>
      <c r="C45" s="13" t="s">
        <v>81</v>
      </c>
      <c r="D45" s="13" t="s">
        <v>82</v>
      </c>
      <c r="E45" s="13" t="s">
        <v>83</v>
      </c>
    </row>
    <row r="46" spans="2:5" ht="31.5" customHeight="1" x14ac:dyDescent="0.2">
      <c r="B46" s="2" t="s">
        <v>84</v>
      </c>
      <c r="C46" s="2" t="s">
        <v>85</v>
      </c>
      <c r="D46" s="2" t="s">
        <v>86</v>
      </c>
      <c r="E46" s="2" t="s">
        <v>87</v>
      </c>
    </row>
    <row r="47" spans="2:5" ht="31.5" customHeight="1" x14ac:dyDescent="0.2">
      <c r="B47" s="13" t="s">
        <v>88</v>
      </c>
      <c r="C47" s="13" t="s">
        <v>89</v>
      </c>
      <c r="D47" s="13" t="s">
        <v>90</v>
      </c>
      <c r="E47" s="13" t="s">
        <v>91</v>
      </c>
    </row>
    <row r="48" spans="2:5" ht="16.5" customHeight="1" x14ac:dyDescent="0.2"/>
    <row r="49" spans="2:6" ht="16.5" customHeight="1" x14ac:dyDescent="0.2"/>
    <row r="50" spans="2:6" ht="16.5" customHeight="1" x14ac:dyDescent="0.2"/>
    <row r="51" spans="2:6" ht="16.5" customHeight="1" x14ac:dyDescent="0.2">
      <c r="B51" s="8" t="s">
        <v>92</v>
      </c>
    </row>
    <row r="52" spans="2:6" ht="16.5" customHeight="1" x14ac:dyDescent="0.2"/>
    <row r="53" spans="2:6" ht="27.75" customHeight="1" x14ac:dyDescent="0.2">
      <c r="B53" s="39" t="s">
        <v>93</v>
      </c>
      <c r="C53" s="39"/>
      <c r="D53" s="39"/>
      <c r="E53" s="39"/>
      <c r="F53" s="39"/>
    </row>
    <row r="54" spans="2:6" ht="27.75" customHeight="1" x14ac:dyDescent="0.2">
      <c r="B54" s="39" t="s">
        <v>94</v>
      </c>
      <c r="C54" s="39"/>
      <c r="D54" s="39"/>
      <c r="E54" s="39"/>
      <c r="F54" s="39"/>
    </row>
    <row r="55" spans="2:6" ht="27.75" customHeight="1" x14ac:dyDescent="0.2">
      <c r="B55" s="39" t="s">
        <v>95</v>
      </c>
      <c r="C55" s="39"/>
      <c r="D55" s="39"/>
      <c r="E55" s="39"/>
      <c r="F55" s="39"/>
    </row>
    <row r="56" spans="2:6" ht="31.5" customHeight="1" x14ac:dyDescent="0.2">
      <c r="B56" s="39" t="s">
        <v>96</v>
      </c>
      <c r="C56" s="39"/>
      <c r="D56" s="39"/>
      <c r="E56" s="39"/>
      <c r="F56" s="39"/>
    </row>
    <row r="57" spans="2:6" ht="31.5" customHeight="1" x14ac:dyDescent="0.2">
      <c r="B57" s="39" t="s">
        <v>97</v>
      </c>
      <c r="C57" s="39"/>
      <c r="D57" s="39"/>
      <c r="E57" s="39"/>
      <c r="F57" s="39"/>
    </row>
    <row r="58" spans="2:6" ht="16.5" customHeight="1" x14ac:dyDescent="0.2"/>
    <row r="59" spans="2:6" ht="16.5" customHeight="1" x14ac:dyDescent="0.2"/>
    <row r="60" spans="2:6" ht="16.5" customHeight="1" x14ac:dyDescent="0.2">
      <c r="B60" s="8" t="s">
        <v>98</v>
      </c>
    </row>
    <row r="61" spans="2:6" ht="16.5" customHeight="1" x14ac:dyDescent="0.2"/>
    <row r="62" spans="2:6" ht="21.75" customHeight="1" x14ac:dyDescent="0.2">
      <c r="B62" s="39" t="s">
        <v>99</v>
      </c>
      <c r="C62" s="39"/>
      <c r="D62" s="39"/>
      <c r="E62" s="39"/>
      <c r="F62" s="39"/>
    </row>
    <row r="63" spans="2:6" ht="21.75" customHeight="1" x14ac:dyDescent="0.2">
      <c r="B63" s="39" t="s">
        <v>100</v>
      </c>
      <c r="C63" s="39"/>
      <c r="D63" s="39"/>
      <c r="E63" s="39"/>
      <c r="F63" s="39"/>
    </row>
    <row r="64" spans="2:6" ht="21.75" customHeight="1" x14ac:dyDescent="0.2">
      <c r="B64" s="39" t="s">
        <v>101</v>
      </c>
      <c r="C64" s="39"/>
      <c r="D64" s="39"/>
      <c r="E64" s="39"/>
      <c r="F64" s="39"/>
    </row>
    <row r="65" spans="2:6" ht="21.75" customHeight="1" x14ac:dyDescent="0.2">
      <c r="B65" s="39" t="s">
        <v>102</v>
      </c>
      <c r="C65" s="39"/>
      <c r="D65" s="39"/>
      <c r="E65" s="39"/>
      <c r="F65" s="39"/>
    </row>
    <row r="66" spans="2:6" ht="21.75" customHeight="1" x14ac:dyDescent="0.2">
      <c r="B66" s="39" t="s">
        <v>103</v>
      </c>
      <c r="C66" s="39"/>
      <c r="D66" s="39"/>
      <c r="E66" s="39"/>
      <c r="F66" s="39"/>
    </row>
    <row r="67" spans="2:6" ht="21.75" customHeight="1" x14ac:dyDescent="0.2">
      <c r="B67" s="39" t="s">
        <v>104</v>
      </c>
      <c r="C67" s="39"/>
      <c r="D67" s="39"/>
      <c r="E67" s="39"/>
      <c r="F67" s="39"/>
    </row>
    <row r="68" spans="2:6" ht="21.75" customHeight="1" x14ac:dyDescent="0.2">
      <c r="B68" s="39" t="s">
        <v>105</v>
      </c>
      <c r="C68" s="39"/>
      <c r="D68" s="39"/>
      <c r="E68" s="39"/>
      <c r="F68" s="39"/>
    </row>
    <row r="69" spans="2:6" ht="21.75" customHeight="1" x14ac:dyDescent="0.2">
      <c r="B69" s="39" t="s">
        <v>106</v>
      </c>
      <c r="C69" s="39"/>
      <c r="D69" s="39"/>
      <c r="E69" s="39"/>
      <c r="F69" s="39"/>
    </row>
    <row r="70" spans="2:6" ht="21.75" customHeight="1" x14ac:dyDescent="0.2">
      <c r="B70" s="39" t="s">
        <v>107</v>
      </c>
      <c r="C70" s="39"/>
      <c r="D70" s="39"/>
      <c r="E70" s="39"/>
      <c r="F70" s="39"/>
    </row>
    <row r="71" spans="2:6" ht="21.75" customHeight="1" x14ac:dyDescent="0.2">
      <c r="B71" s="39" t="s">
        <v>108</v>
      </c>
      <c r="C71" s="39"/>
      <c r="D71" s="39"/>
      <c r="E71" s="39"/>
      <c r="F71" s="39"/>
    </row>
    <row r="72" spans="2:6" ht="16.5" customHeight="1" x14ac:dyDescent="0.2"/>
    <row r="73" spans="2:6" ht="16.5" customHeight="1" x14ac:dyDescent="0.2"/>
    <row r="74" spans="2:6" ht="16.5" customHeight="1" x14ac:dyDescent="0.2">
      <c r="B74" s="8" t="s">
        <v>109</v>
      </c>
    </row>
    <row r="75" spans="2:6" ht="16.5" customHeight="1" x14ac:dyDescent="0.2"/>
    <row r="76" spans="2:6" ht="27.75" customHeight="1" x14ac:dyDescent="0.2">
      <c r="B76" s="39" t="s">
        <v>110</v>
      </c>
      <c r="C76" s="39"/>
      <c r="D76" s="39"/>
      <c r="E76" s="39"/>
      <c r="F76" s="39"/>
    </row>
    <row r="77" spans="2:6" ht="31.5" customHeight="1" x14ac:dyDescent="0.2">
      <c r="B77" s="39" t="s">
        <v>111</v>
      </c>
      <c r="C77" s="39"/>
      <c r="D77" s="39"/>
      <c r="E77" s="39"/>
      <c r="F77" s="39"/>
    </row>
    <row r="78" spans="2:6" ht="31.5" customHeight="1" x14ac:dyDescent="0.2">
      <c r="B78" s="39" t="s">
        <v>112</v>
      </c>
      <c r="C78" s="39"/>
      <c r="D78" s="39"/>
      <c r="E78" s="39"/>
      <c r="F78" s="39"/>
    </row>
    <row r="79" spans="2:6" ht="27.75" customHeight="1" x14ac:dyDescent="0.2">
      <c r="B79" s="39" t="s">
        <v>113</v>
      </c>
      <c r="C79" s="39"/>
      <c r="D79" s="39"/>
      <c r="E79" s="39"/>
      <c r="F79" s="39"/>
    </row>
  </sheetData>
  <mergeCells count="37">
    <mergeCell ref="C7:F7"/>
    <mergeCell ref="C8:F8"/>
    <mergeCell ref="C9:F9"/>
    <mergeCell ref="C10:F10"/>
    <mergeCell ref="C11:F11"/>
    <mergeCell ref="C12:F12"/>
    <mergeCell ref="C13:F13"/>
    <mergeCell ref="C14:F14"/>
    <mergeCell ref="C15:F15"/>
    <mergeCell ref="C16:F16"/>
    <mergeCell ref="C17:F17"/>
    <mergeCell ref="C18:F18"/>
    <mergeCell ref="C19:F19"/>
    <mergeCell ref="C20:F20"/>
    <mergeCell ref="C25:F25"/>
    <mergeCell ref="C26:F26"/>
    <mergeCell ref="C27:F27"/>
    <mergeCell ref="B29:F29"/>
    <mergeCell ref="B53:F53"/>
    <mergeCell ref="B54:F54"/>
    <mergeCell ref="B55:F55"/>
    <mergeCell ref="B56:F56"/>
    <mergeCell ref="B57:F57"/>
    <mergeCell ref="B62:F62"/>
    <mergeCell ref="B63:F63"/>
    <mergeCell ref="B64:F64"/>
    <mergeCell ref="B65:F65"/>
    <mergeCell ref="B66:F66"/>
    <mergeCell ref="B67:F67"/>
    <mergeCell ref="B68:F68"/>
    <mergeCell ref="B78:F78"/>
    <mergeCell ref="B79:F79"/>
    <mergeCell ref="B69:F69"/>
    <mergeCell ref="B70:F70"/>
    <mergeCell ref="B71:F71"/>
    <mergeCell ref="B76:F76"/>
    <mergeCell ref="B77:F77"/>
  </mergeCells>
  <conditionalFormatting sqref="C16">
    <cfRule type="expression" dxfId="26" priority="2">
      <formula>EXACT(C16,"Off-Track")</formula>
    </cfRule>
    <cfRule type="expression" dxfId="25" priority="3">
      <formula>EXACT(C16,"At-Risk")</formula>
    </cfRule>
    <cfRule type="expression" dxfId="24" priority="4">
      <formula>EXACT(C16,"On-Track")</formula>
    </cfRule>
  </conditionalFormatting>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L26"/>
  <sheetViews>
    <sheetView showGridLines="0" zoomScaleNormal="100" workbookViewId="0"/>
  </sheetViews>
  <sheetFormatPr baseColWidth="10" defaultColWidth="8.6640625" defaultRowHeight="15" x14ac:dyDescent="0.2"/>
  <cols>
    <col min="1" max="1" width="3" customWidth="1"/>
    <col min="2" max="2" width="6" customWidth="1"/>
    <col min="3" max="3" width="26" customWidth="1"/>
    <col min="4" max="4" width="22" customWidth="1"/>
    <col min="5" max="5" width="12" customWidth="1"/>
    <col min="6" max="9" width="14" customWidth="1"/>
    <col min="10" max="10" width="18" customWidth="1"/>
    <col min="11" max="11" width="26" customWidth="1"/>
    <col min="12" max="12" width="30" customWidth="1"/>
  </cols>
  <sheetData>
    <row r="1" spans="2:12" ht="16.5" customHeight="1" x14ac:dyDescent="0.2"/>
    <row r="2" spans="2:12" ht="27.75" customHeight="1" x14ac:dyDescent="0.2">
      <c r="B2" s="14" t="s">
        <v>114</v>
      </c>
    </row>
    <row r="3" spans="2:12" ht="16.5" customHeight="1" x14ac:dyDescent="0.2">
      <c r="B3" s="15" t="s">
        <v>115</v>
      </c>
    </row>
    <row r="4" spans="2:12" ht="16.5" customHeight="1" x14ac:dyDescent="0.2"/>
    <row r="5" spans="2:12" ht="36" customHeight="1" x14ac:dyDescent="0.2">
      <c r="B5" s="9" t="s">
        <v>42</v>
      </c>
      <c r="C5" s="9" t="s">
        <v>116</v>
      </c>
      <c r="D5" s="9" t="s">
        <v>117</v>
      </c>
      <c r="E5" s="9" t="s">
        <v>118</v>
      </c>
      <c r="F5" s="9" t="s">
        <v>33</v>
      </c>
      <c r="G5" s="9" t="s">
        <v>119</v>
      </c>
      <c r="H5" s="9" t="s">
        <v>120</v>
      </c>
      <c r="I5" s="9" t="s">
        <v>121</v>
      </c>
      <c r="J5" s="9" t="s">
        <v>122</v>
      </c>
      <c r="K5" s="9" t="s">
        <v>123</v>
      </c>
      <c r="L5" s="9" t="s">
        <v>124</v>
      </c>
    </row>
    <row r="6" spans="2:12" ht="60" customHeight="1" x14ac:dyDescent="0.2">
      <c r="B6" s="2" t="s">
        <v>46</v>
      </c>
      <c r="C6" s="2" t="s">
        <v>125</v>
      </c>
      <c r="D6" s="2" t="s">
        <v>126</v>
      </c>
      <c r="E6" s="2" t="s">
        <v>127</v>
      </c>
      <c r="F6" s="2" t="s">
        <v>35</v>
      </c>
      <c r="G6" s="16">
        <v>0.65</v>
      </c>
      <c r="H6" s="17">
        <v>1850000</v>
      </c>
      <c r="I6" s="17">
        <v>1200000</v>
      </c>
      <c r="J6" s="18">
        <f t="shared" ref="J6:J11" si="0">H6-I6</f>
        <v>650000</v>
      </c>
      <c r="K6" s="2" t="s">
        <v>128</v>
      </c>
      <c r="L6" s="2" t="s">
        <v>129</v>
      </c>
    </row>
    <row r="7" spans="2:12" ht="63" customHeight="1" x14ac:dyDescent="0.2">
      <c r="B7" s="2" t="s">
        <v>50</v>
      </c>
      <c r="C7" s="2" t="s">
        <v>130</v>
      </c>
      <c r="D7" s="2" t="s">
        <v>131</v>
      </c>
      <c r="E7" s="2" t="s">
        <v>127</v>
      </c>
      <c r="F7" s="2" t="s">
        <v>23</v>
      </c>
      <c r="G7" s="16">
        <v>0.45</v>
      </c>
      <c r="H7" s="17">
        <v>2100000</v>
      </c>
      <c r="I7" s="17">
        <v>1050000</v>
      </c>
      <c r="J7" s="18">
        <f t="shared" si="0"/>
        <v>1050000</v>
      </c>
      <c r="K7" s="2" t="s">
        <v>132</v>
      </c>
      <c r="L7" s="2" t="s">
        <v>133</v>
      </c>
    </row>
    <row r="8" spans="2:12" ht="60" customHeight="1" x14ac:dyDescent="0.2">
      <c r="B8" s="2" t="s">
        <v>54</v>
      </c>
      <c r="C8" s="2" t="s">
        <v>134</v>
      </c>
      <c r="D8" s="2" t="s">
        <v>135</v>
      </c>
      <c r="E8" s="2" t="s">
        <v>136</v>
      </c>
      <c r="F8" s="2" t="s">
        <v>35</v>
      </c>
      <c r="G8" s="16">
        <v>0.2</v>
      </c>
      <c r="H8" s="17">
        <v>1600000</v>
      </c>
      <c r="I8" s="17">
        <v>280000</v>
      </c>
      <c r="J8" s="18">
        <f t="shared" si="0"/>
        <v>1320000</v>
      </c>
      <c r="K8" s="2" t="s">
        <v>137</v>
      </c>
      <c r="L8" s="2" t="s">
        <v>138</v>
      </c>
    </row>
    <row r="9" spans="2:12" ht="63" customHeight="1" x14ac:dyDescent="0.2">
      <c r="B9" s="2" t="s">
        <v>58</v>
      </c>
      <c r="C9" s="2" t="s">
        <v>139</v>
      </c>
      <c r="D9" s="2" t="s">
        <v>140</v>
      </c>
      <c r="E9" s="2" t="s">
        <v>127</v>
      </c>
      <c r="F9" s="2" t="s">
        <v>38</v>
      </c>
      <c r="G9" s="16">
        <v>0.3</v>
      </c>
      <c r="H9" s="17">
        <v>1100000</v>
      </c>
      <c r="I9" s="17">
        <v>680000</v>
      </c>
      <c r="J9" s="18">
        <f t="shared" si="0"/>
        <v>420000</v>
      </c>
      <c r="K9" s="2" t="s">
        <v>141</v>
      </c>
      <c r="L9" s="2" t="s">
        <v>142</v>
      </c>
    </row>
    <row r="10" spans="2:12" ht="60" customHeight="1" x14ac:dyDescent="0.2">
      <c r="B10" s="2" t="s">
        <v>61</v>
      </c>
      <c r="C10" s="2" t="s">
        <v>143</v>
      </c>
      <c r="D10" s="2" t="s">
        <v>144</v>
      </c>
      <c r="E10" s="2" t="s">
        <v>145</v>
      </c>
      <c r="F10" s="2" t="s">
        <v>35</v>
      </c>
      <c r="G10" s="16">
        <v>0.1</v>
      </c>
      <c r="H10" s="17">
        <v>750000</v>
      </c>
      <c r="I10" s="17">
        <v>35000</v>
      </c>
      <c r="J10" s="18">
        <f t="shared" si="0"/>
        <v>715000</v>
      </c>
      <c r="K10" s="2" t="s">
        <v>146</v>
      </c>
      <c r="L10" s="2" t="s">
        <v>147</v>
      </c>
    </row>
    <row r="11" spans="2:12" ht="27.75" customHeight="1" x14ac:dyDescent="0.2">
      <c r="C11" s="19" t="s">
        <v>148</v>
      </c>
      <c r="G11" s="20">
        <f>SUMPRODUCT(G6:G10,H6:H10)/SUM(H6:H10)</f>
        <v>0.38817567567567568</v>
      </c>
      <c r="H11" s="21">
        <f>SUM(H6:H10)</f>
        <v>7400000</v>
      </c>
      <c r="I11" s="21">
        <f>SUM(I6:I10)</f>
        <v>3245000</v>
      </c>
      <c r="J11" s="22">
        <f t="shared" si="0"/>
        <v>4155000</v>
      </c>
    </row>
    <row r="12" spans="2:12" ht="16.5" customHeight="1" x14ac:dyDescent="0.2"/>
    <row r="13" spans="2:12" ht="16.5" customHeight="1" x14ac:dyDescent="0.2"/>
    <row r="14" spans="2:12" ht="16.5" customHeight="1" x14ac:dyDescent="0.2">
      <c r="B14" s="7" t="s">
        <v>149</v>
      </c>
    </row>
    <row r="15" spans="2:12" ht="49.5" customHeight="1" x14ac:dyDescent="0.2">
      <c r="B15" s="41" t="s">
        <v>150</v>
      </c>
      <c r="C15" s="41"/>
      <c r="D15" s="41"/>
      <c r="E15" s="41"/>
      <c r="F15" s="41"/>
      <c r="G15" s="41"/>
      <c r="H15" s="41"/>
      <c r="I15" s="41"/>
      <c r="J15" s="41"/>
      <c r="K15" s="41"/>
      <c r="L15" s="41"/>
    </row>
    <row r="16" spans="2:12" ht="16.5" customHeight="1" x14ac:dyDescent="0.2"/>
    <row r="17" spans="2:12" ht="16.5" customHeight="1" x14ac:dyDescent="0.2">
      <c r="B17" s="7" t="s">
        <v>151</v>
      </c>
    </row>
    <row r="18" spans="2:12" ht="60" customHeight="1" x14ac:dyDescent="0.2">
      <c r="B18" s="41" t="s">
        <v>152</v>
      </c>
      <c r="C18" s="41"/>
      <c r="D18" s="41"/>
      <c r="E18" s="41"/>
      <c r="F18" s="41"/>
      <c r="G18" s="41"/>
      <c r="H18" s="41"/>
      <c r="I18" s="41"/>
      <c r="J18" s="41"/>
      <c r="K18" s="41"/>
      <c r="L18" s="41"/>
    </row>
    <row r="19" spans="2:12" ht="16.5" customHeight="1" x14ac:dyDescent="0.2"/>
    <row r="20" spans="2:12" ht="16.5" customHeight="1" x14ac:dyDescent="0.2"/>
    <row r="21" spans="2:12" ht="16.5" customHeight="1" x14ac:dyDescent="0.2">
      <c r="B21" s="7" t="s">
        <v>153</v>
      </c>
    </row>
    <row r="22" spans="2:12" ht="16.5" customHeight="1" x14ac:dyDescent="0.2"/>
    <row r="23" spans="2:12" ht="21.75" customHeight="1" x14ac:dyDescent="0.2">
      <c r="B23" s="43" t="s">
        <v>154</v>
      </c>
      <c r="C23" s="43"/>
      <c r="D23" s="23">
        <f>COUNTIF(F6:F10,"On-Track")</f>
        <v>3</v>
      </c>
    </row>
    <row r="24" spans="2:12" ht="21.75" customHeight="1" x14ac:dyDescent="0.2">
      <c r="B24" s="43" t="s">
        <v>155</v>
      </c>
      <c r="C24" s="43"/>
      <c r="D24" s="23">
        <f>COUNTIF(F6:F10,"At-Risk")</f>
        <v>1</v>
      </c>
    </row>
    <row r="25" spans="2:12" ht="21.75" customHeight="1" x14ac:dyDescent="0.2">
      <c r="B25" s="43" t="s">
        <v>156</v>
      </c>
      <c r="C25" s="43"/>
      <c r="D25" s="23">
        <f>COUNTIF(F6:F10,"Off-Track")</f>
        <v>1</v>
      </c>
    </row>
    <row r="26" spans="2:12" ht="21.75" customHeight="1" x14ac:dyDescent="0.2">
      <c r="B26" s="43" t="s">
        <v>157</v>
      </c>
      <c r="C26" s="43"/>
      <c r="D26" s="24">
        <f>I11/H11</f>
        <v>0.43851351351351353</v>
      </c>
    </row>
  </sheetData>
  <mergeCells count="6">
    <mergeCell ref="B26:C26"/>
    <mergeCell ref="B15:L15"/>
    <mergeCell ref="B18:L18"/>
    <mergeCell ref="B23:C23"/>
    <mergeCell ref="B24:C24"/>
    <mergeCell ref="B25:C25"/>
  </mergeCells>
  <conditionalFormatting sqref="F6:F10">
    <cfRule type="expression" dxfId="23" priority="2">
      <formula>EXACT(F6,"Off-Track")</formula>
    </cfRule>
    <cfRule type="expression" dxfId="22" priority="3">
      <formula>EXACT(F6,"At-Risk")</formula>
    </cfRule>
    <cfRule type="expression" dxfId="21" priority="4">
      <formula>EXACT(F6,"On-Track")</formula>
    </cfRule>
  </conditionalFormatting>
  <dataValidations count="2">
    <dataValidation type="list" allowBlank="1" sqref="E6:E10" xr:uid="{00000000-0002-0000-0100-000000000000}">
      <formula1>"Initiate,Plan,Execute,Monitor &amp; Control,Close,On Hold"</formula1>
      <formula2>0</formula2>
    </dataValidation>
    <dataValidation type="list" allowBlank="1" sqref="F6:F10" xr:uid="{00000000-0002-0000-0100-000001000000}">
      <formula1>"On-Track,At-Risk,Off-Track,Not Started,On Hold,Complete"</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1:L29"/>
  <sheetViews>
    <sheetView showGridLines="0" zoomScaleNormal="100" workbookViewId="0"/>
  </sheetViews>
  <sheetFormatPr baseColWidth="10" defaultColWidth="8.6640625" defaultRowHeight="15" x14ac:dyDescent="0.2"/>
  <cols>
    <col min="1" max="1" width="3" customWidth="1"/>
    <col min="2" max="2" width="8" customWidth="1"/>
    <col min="3" max="3" width="12" customWidth="1"/>
    <col min="4" max="4" width="36" customWidth="1"/>
    <col min="5" max="6" width="12" customWidth="1"/>
    <col min="7" max="7" width="10" customWidth="1"/>
    <col min="8" max="8" width="14" customWidth="1"/>
    <col min="9" max="9" width="18" customWidth="1"/>
    <col min="10" max="11" width="14" customWidth="1"/>
    <col min="12" max="12" width="30" customWidth="1"/>
  </cols>
  <sheetData>
    <row r="1" spans="2:12" ht="16.5" customHeight="1" x14ac:dyDescent="0.2"/>
    <row r="2" spans="2:12" ht="27.75" customHeight="1" x14ac:dyDescent="0.2">
      <c r="B2" s="14" t="s">
        <v>158</v>
      </c>
    </row>
    <row r="3" spans="2:12" ht="16.5" customHeight="1" x14ac:dyDescent="0.2">
      <c r="B3" s="15" t="s">
        <v>159</v>
      </c>
    </row>
    <row r="4" spans="2:12" ht="16.5" customHeight="1" x14ac:dyDescent="0.2"/>
    <row r="5" spans="2:12" ht="36" customHeight="1" x14ac:dyDescent="0.2">
      <c r="B5" s="9" t="s">
        <v>160</v>
      </c>
      <c r="C5" s="9" t="s">
        <v>161</v>
      </c>
      <c r="D5" s="9" t="s">
        <v>162</v>
      </c>
      <c r="E5" s="9" t="s">
        <v>163</v>
      </c>
      <c r="F5" s="9" t="s">
        <v>164</v>
      </c>
      <c r="G5" s="9" t="s">
        <v>165</v>
      </c>
      <c r="H5" s="9" t="s">
        <v>33</v>
      </c>
      <c r="I5" s="9" t="s">
        <v>166</v>
      </c>
      <c r="J5" s="9" t="s">
        <v>167</v>
      </c>
      <c r="K5" s="9" t="s">
        <v>168</v>
      </c>
      <c r="L5" s="9" t="s">
        <v>169</v>
      </c>
    </row>
    <row r="6" spans="2:12" ht="93.75" customHeight="1" x14ac:dyDescent="0.2">
      <c r="B6" s="2" t="s">
        <v>170</v>
      </c>
      <c r="C6" s="2" t="s">
        <v>171</v>
      </c>
      <c r="D6" s="2" t="s">
        <v>172</v>
      </c>
      <c r="E6" s="2" t="s">
        <v>173</v>
      </c>
      <c r="F6" s="2" t="s">
        <v>173</v>
      </c>
      <c r="G6" s="25">
        <f t="shared" ref="G6:G13" si="0">IF(OR(E6="—",F6="—",E6="",F6=""),"",(IF(E6="High",3,IF(E6="Medium",2,IF(E6="Low",1,0))))*(IF(F6="High",3,IF(F6="Medium",2,IF(F6="Low",1,0)))))</f>
        <v>9</v>
      </c>
      <c r="H6" s="2" t="s">
        <v>174</v>
      </c>
      <c r="I6" s="2" t="s">
        <v>140</v>
      </c>
      <c r="J6" s="26" t="s">
        <v>175</v>
      </c>
      <c r="K6" s="2" t="s">
        <v>176</v>
      </c>
      <c r="L6" s="2" t="s">
        <v>177</v>
      </c>
    </row>
    <row r="7" spans="2:12" ht="78.75" customHeight="1" x14ac:dyDescent="0.2">
      <c r="B7" s="13" t="s">
        <v>178</v>
      </c>
      <c r="C7" s="13" t="s">
        <v>171</v>
      </c>
      <c r="D7" s="13" t="s">
        <v>179</v>
      </c>
      <c r="E7" s="13" t="s">
        <v>180</v>
      </c>
      <c r="F7" s="13" t="s">
        <v>173</v>
      </c>
      <c r="G7" s="27">
        <f t="shared" si="0"/>
        <v>6</v>
      </c>
      <c r="H7" s="13" t="s">
        <v>181</v>
      </c>
      <c r="I7" s="13" t="s">
        <v>126</v>
      </c>
      <c r="J7" s="28" t="s">
        <v>182</v>
      </c>
      <c r="K7" s="13" t="s">
        <v>183</v>
      </c>
      <c r="L7" s="13" t="s">
        <v>184</v>
      </c>
    </row>
    <row r="8" spans="2:12" ht="78.75" customHeight="1" x14ac:dyDescent="0.2">
      <c r="B8" s="2" t="s">
        <v>185</v>
      </c>
      <c r="C8" s="2" t="s">
        <v>171</v>
      </c>
      <c r="D8" s="2" t="s">
        <v>186</v>
      </c>
      <c r="E8" s="2" t="s">
        <v>173</v>
      </c>
      <c r="F8" s="2" t="s">
        <v>180</v>
      </c>
      <c r="G8" s="25">
        <f t="shared" si="0"/>
        <v>6</v>
      </c>
      <c r="H8" s="2" t="s">
        <v>174</v>
      </c>
      <c r="I8" s="2" t="s">
        <v>187</v>
      </c>
      <c r="J8" s="26" t="s">
        <v>188</v>
      </c>
      <c r="K8" s="2" t="s">
        <v>189</v>
      </c>
      <c r="L8" s="2" t="s">
        <v>190</v>
      </c>
    </row>
    <row r="9" spans="2:12" ht="78.75" customHeight="1" x14ac:dyDescent="0.2">
      <c r="B9" s="13" t="s">
        <v>191</v>
      </c>
      <c r="C9" s="13" t="s">
        <v>192</v>
      </c>
      <c r="D9" s="13" t="s">
        <v>193</v>
      </c>
      <c r="E9" s="13" t="s">
        <v>194</v>
      </c>
      <c r="F9" s="13" t="s">
        <v>194</v>
      </c>
      <c r="G9" s="27" t="str">
        <f t="shared" si="0"/>
        <v/>
      </c>
      <c r="H9" s="13" t="s">
        <v>174</v>
      </c>
      <c r="I9" s="13" t="s">
        <v>195</v>
      </c>
      <c r="J9" s="28" t="s">
        <v>196</v>
      </c>
      <c r="K9" s="13" t="s">
        <v>197</v>
      </c>
      <c r="L9" s="13" t="s">
        <v>198</v>
      </c>
    </row>
    <row r="10" spans="2:12" ht="75" customHeight="1" x14ac:dyDescent="0.2">
      <c r="B10" s="2" t="s">
        <v>199</v>
      </c>
      <c r="C10" s="2" t="s">
        <v>200</v>
      </c>
      <c r="D10" s="2" t="s">
        <v>201</v>
      </c>
      <c r="E10" s="2" t="s">
        <v>194</v>
      </c>
      <c r="F10" s="2" t="s">
        <v>194</v>
      </c>
      <c r="G10" s="25" t="str">
        <f t="shared" si="0"/>
        <v/>
      </c>
      <c r="H10" s="2" t="s">
        <v>202</v>
      </c>
      <c r="I10" s="2" t="s">
        <v>203</v>
      </c>
      <c r="J10" s="26" t="s">
        <v>204</v>
      </c>
      <c r="K10" s="2" t="s">
        <v>205</v>
      </c>
      <c r="L10" s="2" t="s">
        <v>206</v>
      </c>
    </row>
    <row r="11" spans="2:12" ht="75" customHeight="1" x14ac:dyDescent="0.2">
      <c r="B11" s="13" t="s">
        <v>207</v>
      </c>
      <c r="C11" s="13" t="s">
        <v>200</v>
      </c>
      <c r="D11" s="13" t="s">
        <v>208</v>
      </c>
      <c r="E11" s="13" t="s">
        <v>194</v>
      </c>
      <c r="F11" s="13" t="s">
        <v>194</v>
      </c>
      <c r="G11" s="27" t="str">
        <f t="shared" si="0"/>
        <v/>
      </c>
      <c r="H11" s="13" t="s">
        <v>202</v>
      </c>
      <c r="I11" s="13" t="s">
        <v>209</v>
      </c>
      <c r="J11" s="28" t="s">
        <v>210</v>
      </c>
      <c r="K11" s="13" t="s">
        <v>211</v>
      </c>
      <c r="L11" s="13" t="s">
        <v>212</v>
      </c>
    </row>
    <row r="12" spans="2:12" ht="78.75" customHeight="1" x14ac:dyDescent="0.2">
      <c r="B12" s="2" t="s">
        <v>213</v>
      </c>
      <c r="C12" s="2" t="s">
        <v>214</v>
      </c>
      <c r="D12" s="2" t="s">
        <v>215</v>
      </c>
      <c r="E12" s="2" t="s">
        <v>194</v>
      </c>
      <c r="F12" s="2" t="s">
        <v>194</v>
      </c>
      <c r="G12" s="25" t="str">
        <f t="shared" si="0"/>
        <v/>
      </c>
      <c r="H12" s="2" t="s">
        <v>174</v>
      </c>
      <c r="I12" s="2" t="s">
        <v>216</v>
      </c>
      <c r="J12" s="26" t="s">
        <v>217</v>
      </c>
      <c r="K12" s="2" t="s">
        <v>218</v>
      </c>
      <c r="L12" s="2" t="s">
        <v>219</v>
      </c>
    </row>
    <row r="13" spans="2:12" ht="78.75" customHeight="1" x14ac:dyDescent="0.2">
      <c r="B13" s="13" t="s">
        <v>220</v>
      </c>
      <c r="C13" s="13" t="s">
        <v>171</v>
      </c>
      <c r="D13" s="13" t="s">
        <v>221</v>
      </c>
      <c r="E13" s="13" t="s">
        <v>180</v>
      </c>
      <c r="F13" s="13" t="s">
        <v>173</v>
      </c>
      <c r="G13" s="27">
        <f t="shared" si="0"/>
        <v>6</v>
      </c>
      <c r="H13" s="13" t="s">
        <v>181</v>
      </c>
      <c r="I13" s="13" t="s">
        <v>222</v>
      </c>
      <c r="J13" s="28" t="s">
        <v>223</v>
      </c>
      <c r="K13" s="13" t="s">
        <v>224</v>
      </c>
      <c r="L13" s="13" t="s">
        <v>225</v>
      </c>
    </row>
    <row r="14" spans="2:12" ht="27.75" customHeight="1" x14ac:dyDescent="0.2">
      <c r="B14" s="2"/>
      <c r="C14" s="2"/>
      <c r="D14" s="2"/>
      <c r="E14" s="2"/>
      <c r="F14" s="2"/>
      <c r="G14" s="2"/>
      <c r="H14" s="2"/>
      <c r="I14" s="2"/>
      <c r="J14" s="26"/>
      <c r="K14" s="2"/>
      <c r="L14" s="2"/>
    </row>
    <row r="15" spans="2:12" ht="27.75" customHeight="1" x14ac:dyDescent="0.2">
      <c r="B15" s="2"/>
      <c r="C15" s="2"/>
      <c r="D15" s="2"/>
      <c r="E15" s="2"/>
      <c r="F15" s="2"/>
      <c r="G15" s="2"/>
      <c r="H15" s="2"/>
      <c r="I15" s="2"/>
      <c r="J15" s="26"/>
      <c r="K15" s="2"/>
      <c r="L15" s="2"/>
    </row>
    <row r="16" spans="2:12" ht="27.75" customHeight="1" x14ac:dyDescent="0.2">
      <c r="B16" s="2"/>
      <c r="C16" s="2"/>
      <c r="D16" s="2"/>
      <c r="E16" s="2"/>
      <c r="F16" s="2"/>
      <c r="G16" s="2"/>
      <c r="H16" s="2"/>
      <c r="I16" s="2"/>
      <c r="J16" s="26"/>
      <c r="K16" s="2"/>
      <c r="L16" s="2"/>
    </row>
    <row r="17" spans="2:12" ht="27.75" customHeight="1" x14ac:dyDescent="0.2">
      <c r="B17" s="2"/>
      <c r="C17" s="2"/>
      <c r="D17" s="2"/>
      <c r="E17" s="2"/>
      <c r="F17" s="2"/>
      <c r="G17" s="2"/>
      <c r="H17" s="2"/>
      <c r="I17" s="2"/>
      <c r="J17" s="26"/>
      <c r="K17" s="2"/>
      <c r="L17" s="2"/>
    </row>
    <row r="18" spans="2:12" ht="27.75" customHeight="1" x14ac:dyDescent="0.2">
      <c r="B18" s="2"/>
      <c r="C18" s="2"/>
      <c r="D18" s="2"/>
      <c r="E18" s="2"/>
      <c r="F18" s="2"/>
      <c r="G18" s="2"/>
      <c r="H18" s="2"/>
      <c r="I18" s="2"/>
      <c r="J18" s="26"/>
      <c r="K18" s="2"/>
      <c r="L18" s="2"/>
    </row>
    <row r="19" spans="2:12" ht="27.75" customHeight="1" x14ac:dyDescent="0.2">
      <c r="B19" s="2"/>
      <c r="C19" s="2"/>
      <c r="D19" s="2"/>
      <c r="E19" s="2"/>
      <c r="F19" s="2"/>
      <c r="G19" s="2"/>
      <c r="H19" s="2"/>
      <c r="I19" s="2"/>
      <c r="J19" s="26"/>
      <c r="K19" s="2"/>
      <c r="L19" s="2"/>
    </row>
    <row r="20" spans="2:12" ht="27.75" customHeight="1" x14ac:dyDescent="0.2">
      <c r="B20" s="2"/>
      <c r="C20" s="2"/>
      <c r="D20" s="2"/>
      <c r="E20" s="2"/>
      <c r="F20" s="2"/>
      <c r="G20" s="2"/>
      <c r="H20" s="2"/>
      <c r="I20" s="2"/>
      <c r="J20" s="26"/>
      <c r="K20" s="2"/>
      <c r="L20" s="2"/>
    </row>
    <row r="21" spans="2:12" ht="27.75" customHeight="1" x14ac:dyDescent="0.2">
      <c r="B21" s="2"/>
      <c r="C21" s="2"/>
      <c r="D21" s="2"/>
      <c r="E21" s="2"/>
      <c r="F21" s="2"/>
      <c r="G21" s="2"/>
      <c r="H21" s="2"/>
      <c r="I21" s="2"/>
      <c r="J21" s="26"/>
      <c r="K21" s="2"/>
      <c r="L21" s="2"/>
    </row>
    <row r="22" spans="2:12" ht="27.75" customHeight="1" x14ac:dyDescent="0.2">
      <c r="B22" s="2"/>
      <c r="C22" s="2"/>
      <c r="D22" s="2"/>
      <c r="E22" s="2"/>
      <c r="F22" s="2"/>
      <c r="G22" s="2"/>
      <c r="H22" s="2"/>
      <c r="I22" s="2"/>
      <c r="J22" s="26"/>
      <c r="K22" s="2"/>
      <c r="L22" s="2"/>
    </row>
    <row r="23" spans="2:12" ht="27.75" customHeight="1" x14ac:dyDescent="0.2">
      <c r="B23" s="2"/>
      <c r="C23" s="2"/>
      <c r="D23" s="2"/>
      <c r="E23" s="2"/>
      <c r="F23" s="2"/>
      <c r="G23" s="2"/>
      <c r="H23" s="2"/>
      <c r="I23" s="2"/>
      <c r="J23" s="26"/>
      <c r="K23" s="2"/>
      <c r="L23" s="2"/>
    </row>
    <row r="24" spans="2:12" ht="27.75" customHeight="1" x14ac:dyDescent="0.2">
      <c r="B24" s="2"/>
      <c r="C24" s="2"/>
      <c r="D24" s="2"/>
      <c r="E24" s="2"/>
      <c r="F24" s="2"/>
      <c r="G24" s="2"/>
      <c r="H24" s="2"/>
      <c r="I24" s="2"/>
      <c r="J24" s="26"/>
      <c r="K24" s="2"/>
      <c r="L24" s="2"/>
    </row>
    <row r="25" spans="2:12" ht="27.75" customHeight="1" x14ac:dyDescent="0.2">
      <c r="B25" s="2"/>
      <c r="C25" s="2"/>
      <c r="D25" s="2"/>
      <c r="E25" s="2"/>
      <c r="F25" s="2"/>
      <c r="G25" s="2"/>
      <c r="H25" s="2"/>
      <c r="I25" s="2"/>
      <c r="J25" s="26"/>
      <c r="K25" s="2"/>
      <c r="L25" s="2"/>
    </row>
    <row r="26" spans="2:12" ht="27.75" customHeight="1" x14ac:dyDescent="0.2">
      <c r="B26" s="2"/>
      <c r="C26" s="2"/>
      <c r="D26" s="2"/>
      <c r="E26" s="2"/>
      <c r="F26" s="2"/>
      <c r="G26" s="2"/>
      <c r="H26" s="2"/>
      <c r="I26" s="2"/>
      <c r="J26" s="26"/>
      <c r="K26" s="2"/>
      <c r="L26" s="2"/>
    </row>
    <row r="27" spans="2:12" ht="27.75" customHeight="1" x14ac:dyDescent="0.2">
      <c r="B27" s="2"/>
      <c r="C27" s="2"/>
      <c r="D27" s="2"/>
      <c r="E27" s="2"/>
      <c r="F27" s="2"/>
      <c r="G27" s="2"/>
      <c r="H27" s="2"/>
      <c r="I27" s="2"/>
      <c r="J27" s="26"/>
      <c r="K27" s="2"/>
      <c r="L27" s="2"/>
    </row>
    <row r="28" spans="2:12" ht="27.75" customHeight="1" x14ac:dyDescent="0.2">
      <c r="B28" s="2"/>
      <c r="C28" s="2"/>
      <c r="D28" s="2"/>
      <c r="E28" s="2"/>
      <c r="F28" s="2"/>
      <c r="G28" s="2"/>
      <c r="H28" s="2"/>
      <c r="I28" s="2"/>
      <c r="J28" s="26"/>
      <c r="K28" s="2"/>
      <c r="L28" s="2"/>
    </row>
    <row r="29" spans="2:12" ht="16.5" customHeight="1" x14ac:dyDescent="0.2">
      <c r="J29" s="29"/>
    </row>
  </sheetData>
  <conditionalFormatting sqref="G6:G28">
    <cfRule type="cellIs" dxfId="20" priority="2" operator="greaterThanOrEqual">
      <formula>6</formula>
    </cfRule>
    <cfRule type="cellIs" dxfId="19" priority="3" operator="between">
      <formula>3</formula>
      <formula>5</formula>
    </cfRule>
    <cfRule type="cellIs" dxfId="18" priority="4" operator="between">
      <formula>1</formula>
      <formula>2</formula>
    </cfRule>
  </conditionalFormatting>
  <dataValidations count="3">
    <dataValidation type="list" allowBlank="1" sqref="C6:C29" xr:uid="{00000000-0002-0000-0200-000000000000}">
      <formula1>"Risk,Assumption,Issue,Dependency"</formula1>
      <formula2>0</formula2>
    </dataValidation>
    <dataValidation type="list" allowBlank="1" sqref="E6:F29" xr:uid="{00000000-0002-0000-0200-000001000000}">
      <formula1>"High,Medium,Low,—"</formula1>
      <formula2>0</formula2>
    </dataValidation>
    <dataValidation type="list" allowBlank="1" sqref="H6:H29" xr:uid="{00000000-0002-0000-0200-000003000000}">
      <formula1>"Open,Mitigating,Monitoring,Closed,Realized"</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1:J22"/>
  <sheetViews>
    <sheetView showGridLines="0" zoomScaleNormal="100" workbookViewId="0"/>
  </sheetViews>
  <sheetFormatPr baseColWidth="10" defaultColWidth="8.6640625" defaultRowHeight="15" x14ac:dyDescent="0.2"/>
  <cols>
    <col min="1" max="1" width="3" customWidth="1"/>
    <col min="2" max="2" width="8" customWidth="1"/>
    <col min="3" max="4" width="22" customWidth="1"/>
    <col min="5" max="5" width="28" customWidth="1"/>
    <col min="6" max="8" width="14" customWidth="1"/>
    <col min="9" max="9" width="18" customWidth="1"/>
    <col min="10" max="10" width="28" customWidth="1"/>
  </cols>
  <sheetData>
    <row r="1" spans="2:10" ht="16.5" customHeight="1" x14ac:dyDescent="0.2"/>
    <row r="2" spans="2:10" ht="27.75" customHeight="1" x14ac:dyDescent="0.2">
      <c r="B2" s="14" t="s">
        <v>226</v>
      </c>
    </row>
    <row r="3" spans="2:10" ht="16.5" customHeight="1" x14ac:dyDescent="0.2">
      <c r="B3" s="15" t="s">
        <v>227</v>
      </c>
    </row>
    <row r="4" spans="2:10" ht="16.5" customHeight="1" x14ac:dyDescent="0.2"/>
    <row r="5" spans="2:10" ht="36" customHeight="1" x14ac:dyDescent="0.2">
      <c r="B5" s="9" t="s">
        <v>160</v>
      </c>
      <c r="C5" s="9" t="s">
        <v>228</v>
      </c>
      <c r="D5" s="9" t="s">
        <v>229</v>
      </c>
      <c r="E5" s="9" t="s">
        <v>230</v>
      </c>
      <c r="F5" s="9" t="s">
        <v>231</v>
      </c>
      <c r="G5" s="9" t="s">
        <v>33</v>
      </c>
      <c r="H5" s="9" t="s">
        <v>171</v>
      </c>
      <c r="I5" s="9" t="s">
        <v>166</v>
      </c>
      <c r="J5" s="9" t="s">
        <v>124</v>
      </c>
    </row>
    <row r="6" spans="2:10" ht="69.75" customHeight="1" x14ac:dyDescent="0.2">
      <c r="B6" s="2" t="s">
        <v>232</v>
      </c>
      <c r="C6" s="2" t="s">
        <v>233</v>
      </c>
      <c r="D6" s="2" t="s">
        <v>234</v>
      </c>
      <c r="E6" s="2" t="s">
        <v>235</v>
      </c>
      <c r="F6" s="26" t="s">
        <v>236</v>
      </c>
      <c r="G6" s="2" t="s">
        <v>35</v>
      </c>
      <c r="H6" s="2" t="s">
        <v>180</v>
      </c>
      <c r="I6" s="2" t="s">
        <v>126</v>
      </c>
      <c r="J6" s="2" t="s">
        <v>237</v>
      </c>
    </row>
    <row r="7" spans="2:10" ht="69.75" customHeight="1" x14ac:dyDescent="0.2">
      <c r="B7" s="13" t="s">
        <v>238</v>
      </c>
      <c r="C7" s="13" t="s">
        <v>239</v>
      </c>
      <c r="D7" s="13" t="s">
        <v>234</v>
      </c>
      <c r="E7" s="13" t="s">
        <v>240</v>
      </c>
      <c r="F7" s="28" t="s">
        <v>205</v>
      </c>
      <c r="G7" s="13" t="s">
        <v>35</v>
      </c>
      <c r="H7" s="13" t="s">
        <v>241</v>
      </c>
      <c r="I7" s="13" t="s">
        <v>126</v>
      </c>
      <c r="J7" s="13" t="s">
        <v>242</v>
      </c>
    </row>
    <row r="8" spans="2:10" ht="69.75" customHeight="1" x14ac:dyDescent="0.2">
      <c r="B8" s="2" t="s">
        <v>243</v>
      </c>
      <c r="C8" s="2" t="s">
        <v>239</v>
      </c>
      <c r="D8" s="2" t="s">
        <v>244</v>
      </c>
      <c r="E8" s="2" t="s">
        <v>245</v>
      </c>
      <c r="F8" s="26" t="s">
        <v>246</v>
      </c>
      <c r="G8" s="2" t="s">
        <v>23</v>
      </c>
      <c r="H8" s="2" t="s">
        <v>173</v>
      </c>
      <c r="I8" s="2" t="s">
        <v>135</v>
      </c>
      <c r="J8" s="2" t="s">
        <v>247</v>
      </c>
    </row>
    <row r="9" spans="2:10" ht="69.75" customHeight="1" x14ac:dyDescent="0.2">
      <c r="B9" s="13" t="s">
        <v>248</v>
      </c>
      <c r="C9" s="13" t="s">
        <v>249</v>
      </c>
      <c r="D9" s="13" t="s">
        <v>234</v>
      </c>
      <c r="E9" s="13" t="s">
        <v>250</v>
      </c>
      <c r="F9" s="28" t="s">
        <v>189</v>
      </c>
      <c r="G9" s="13" t="s">
        <v>251</v>
      </c>
      <c r="H9" s="13" t="s">
        <v>194</v>
      </c>
      <c r="I9" s="13" t="s">
        <v>252</v>
      </c>
      <c r="J9" s="13" t="s">
        <v>253</v>
      </c>
    </row>
    <row r="10" spans="2:10" ht="69.75" customHeight="1" x14ac:dyDescent="0.2">
      <c r="B10" s="2" t="s">
        <v>254</v>
      </c>
      <c r="C10" s="2" t="s">
        <v>233</v>
      </c>
      <c r="D10" s="2" t="s">
        <v>255</v>
      </c>
      <c r="E10" s="2" t="s">
        <v>256</v>
      </c>
      <c r="F10" s="26" t="s">
        <v>205</v>
      </c>
      <c r="G10" s="2" t="s">
        <v>23</v>
      </c>
      <c r="H10" s="2" t="s">
        <v>180</v>
      </c>
      <c r="I10" s="2" t="s">
        <v>257</v>
      </c>
      <c r="J10" s="2" t="s">
        <v>258</v>
      </c>
    </row>
    <row r="11" spans="2:10" ht="69.75" customHeight="1" x14ac:dyDescent="0.2">
      <c r="B11" s="13" t="s">
        <v>259</v>
      </c>
      <c r="C11" s="13" t="s">
        <v>260</v>
      </c>
      <c r="D11" s="13" t="s">
        <v>249</v>
      </c>
      <c r="E11" s="13" t="s">
        <v>261</v>
      </c>
      <c r="F11" s="28" t="s">
        <v>183</v>
      </c>
      <c r="G11" s="13" t="s">
        <v>23</v>
      </c>
      <c r="H11" s="13" t="s">
        <v>173</v>
      </c>
      <c r="I11" s="13" t="s">
        <v>262</v>
      </c>
      <c r="J11" s="13" t="s">
        <v>263</v>
      </c>
    </row>
    <row r="12" spans="2:10" ht="27.75" customHeight="1" x14ac:dyDescent="0.2">
      <c r="B12" s="2"/>
      <c r="C12" s="2"/>
      <c r="D12" s="2"/>
      <c r="E12" s="2"/>
      <c r="F12" s="26"/>
      <c r="G12" s="2"/>
      <c r="H12" s="2"/>
      <c r="I12" s="2"/>
      <c r="J12" s="2"/>
    </row>
    <row r="13" spans="2:10" ht="27.75" customHeight="1" x14ac:dyDescent="0.2">
      <c r="B13" s="2"/>
      <c r="C13" s="2"/>
      <c r="D13" s="2"/>
      <c r="E13" s="2"/>
      <c r="F13" s="26"/>
      <c r="G13" s="2"/>
      <c r="H13" s="2"/>
      <c r="I13" s="2"/>
      <c r="J13" s="2"/>
    </row>
    <row r="14" spans="2:10" ht="27.75" customHeight="1" x14ac:dyDescent="0.2">
      <c r="B14" s="2"/>
      <c r="C14" s="2"/>
      <c r="D14" s="2"/>
      <c r="E14" s="2"/>
      <c r="F14" s="26"/>
      <c r="G14" s="2"/>
      <c r="H14" s="2"/>
      <c r="I14" s="2"/>
      <c r="J14" s="2"/>
    </row>
    <row r="15" spans="2:10" ht="27.75" customHeight="1" x14ac:dyDescent="0.2">
      <c r="B15" s="2"/>
      <c r="C15" s="2"/>
      <c r="D15" s="2"/>
      <c r="E15" s="2"/>
      <c r="F15" s="26"/>
      <c r="G15" s="2"/>
      <c r="H15" s="2"/>
      <c r="I15" s="2"/>
      <c r="J15" s="2"/>
    </row>
    <row r="16" spans="2:10" ht="27.75" customHeight="1" x14ac:dyDescent="0.2">
      <c r="B16" s="2"/>
      <c r="C16" s="2"/>
      <c r="D16" s="2"/>
      <c r="E16" s="2"/>
      <c r="F16" s="26"/>
      <c r="G16" s="2"/>
      <c r="H16" s="2"/>
      <c r="I16" s="2"/>
      <c r="J16" s="2"/>
    </row>
    <row r="17" spans="2:10" ht="27.75" customHeight="1" x14ac:dyDescent="0.2">
      <c r="B17" s="2"/>
      <c r="C17" s="2"/>
      <c r="D17" s="2"/>
      <c r="E17" s="2"/>
      <c r="F17" s="26"/>
      <c r="G17" s="2"/>
      <c r="H17" s="2"/>
      <c r="I17" s="2"/>
      <c r="J17" s="2"/>
    </row>
    <row r="18" spans="2:10" ht="27.75" customHeight="1" x14ac:dyDescent="0.2">
      <c r="B18" s="2"/>
      <c r="C18" s="2"/>
      <c r="D18" s="2"/>
      <c r="E18" s="2"/>
      <c r="F18" s="26"/>
      <c r="G18" s="2"/>
      <c r="H18" s="2"/>
      <c r="I18" s="2"/>
      <c r="J18" s="2"/>
    </row>
    <row r="19" spans="2:10" ht="27.75" customHeight="1" x14ac:dyDescent="0.2">
      <c r="B19" s="2"/>
      <c r="C19" s="2"/>
      <c r="D19" s="2"/>
      <c r="E19" s="2"/>
      <c r="F19" s="26"/>
      <c r="G19" s="2"/>
      <c r="H19" s="2"/>
      <c r="I19" s="2"/>
      <c r="J19" s="2"/>
    </row>
    <row r="20" spans="2:10" ht="27.75" customHeight="1" x14ac:dyDescent="0.2">
      <c r="B20" s="2"/>
      <c r="C20" s="2"/>
      <c r="D20" s="2"/>
      <c r="E20" s="2"/>
      <c r="F20" s="26"/>
      <c r="G20" s="2"/>
      <c r="H20" s="2"/>
      <c r="I20" s="2"/>
      <c r="J20" s="2"/>
    </row>
    <row r="21" spans="2:10" ht="27.75" customHeight="1" x14ac:dyDescent="0.2">
      <c r="B21" s="2"/>
      <c r="C21" s="2"/>
      <c r="D21" s="2"/>
      <c r="E21" s="2"/>
      <c r="F21" s="26"/>
      <c r="G21" s="2"/>
      <c r="H21" s="2"/>
      <c r="I21" s="2"/>
      <c r="J21" s="2"/>
    </row>
    <row r="22" spans="2:10" ht="16.5" customHeight="1" x14ac:dyDescent="0.2">
      <c r="F22" s="29"/>
    </row>
  </sheetData>
  <conditionalFormatting sqref="G6:G22">
    <cfRule type="expression" dxfId="17" priority="2">
      <formula>EXACT(G6,"On-Track")</formula>
    </cfRule>
    <cfRule type="expression" dxfId="16" priority="3">
      <formula>EXACT(G6,"At-Risk")</formula>
    </cfRule>
    <cfRule type="expression" dxfId="15" priority="4">
      <formula>EXACT(G6,"Blocked")</formula>
    </cfRule>
    <cfRule type="expression" dxfId="14" priority="5">
      <formula>EXACT(G6,"Complete")</formula>
    </cfRule>
  </conditionalFormatting>
  <dataValidations count="2">
    <dataValidation type="list" allowBlank="1" sqref="G6:G22" xr:uid="{00000000-0002-0000-0300-000000000000}">
      <formula1>"On-Track,At-Risk,Blocked,Complete,Cancelled"</formula1>
      <formula2>0</formula2>
    </dataValidation>
    <dataValidation type="list" allowBlank="1" sqref="H6:H22" xr:uid="{00000000-0002-0000-0300-000001000000}">
      <formula1>"High,Medium,Low,—"</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1:J37"/>
  <sheetViews>
    <sheetView showGridLines="0" zoomScaleNormal="100" workbookViewId="0"/>
  </sheetViews>
  <sheetFormatPr baseColWidth="10" defaultColWidth="8.6640625" defaultRowHeight="15" x14ac:dyDescent="0.2"/>
  <cols>
    <col min="1" max="1" width="3" customWidth="1"/>
    <col min="2" max="2" width="8" customWidth="1"/>
    <col min="3" max="3" width="36" customWidth="1"/>
    <col min="4" max="4" width="18" customWidth="1"/>
    <col min="5" max="8" width="14" customWidth="1"/>
    <col min="9" max="9" width="22" customWidth="1"/>
    <col min="10" max="10" width="28" customWidth="1"/>
  </cols>
  <sheetData>
    <row r="1" spans="2:10" ht="16.5" customHeight="1" x14ac:dyDescent="0.2"/>
    <row r="2" spans="2:10" ht="27.75" customHeight="1" x14ac:dyDescent="0.2">
      <c r="B2" s="14" t="s">
        <v>264</v>
      </c>
    </row>
    <row r="3" spans="2:10" ht="16.5" customHeight="1" x14ac:dyDescent="0.2">
      <c r="B3" s="15" t="s">
        <v>265</v>
      </c>
    </row>
    <row r="4" spans="2:10" ht="16.5" customHeight="1" x14ac:dyDescent="0.2"/>
    <row r="5" spans="2:10" ht="36" customHeight="1" x14ac:dyDescent="0.2">
      <c r="B5" s="9" t="s">
        <v>160</v>
      </c>
      <c r="C5" s="9" t="s">
        <v>266</v>
      </c>
      <c r="D5" s="9" t="s">
        <v>267</v>
      </c>
      <c r="E5" s="9" t="s">
        <v>118</v>
      </c>
      <c r="F5" s="9" t="s">
        <v>268</v>
      </c>
      <c r="G5" s="9" t="s">
        <v>269</v>
      </c>
      <c r="H5" s="9" t="s">
        <v>270</v>
      </c>
      <c r="I5" s="9" t="s">
        <v>33</v>
      </c>
      <c r="J5" s="9" t="s">
        <v>124</v>
      </c>
    </row>
    <row r="6" spans="2:10" ht="39.75" customHeight="1" x14ac:dyDescent="0.2">
      <c r="B6" s="2" t="s">
        <v>271</v>
      </c>
      <c r="C6" s="2" t="s">
        <v>272</v>
      </c>
      <c r="D6" s="2" t="s">
        <v>273</v>
      </c>
      <c r="E6" s="2" t="s">
        <v>145</v>
      </c>
      <c r="F6" s="26" t="s">
        <v>15</v>
      </c>
      <c r="G6" s="26" t="s">
        <v>274</v>
      </c>
      <c r="H6" s="26" t="s">
        <v>274</v>
      </c>
      <c r="I6" s="2" t="s">
        <v>251</v>
      </c>
      <c r="J6" s="2"/>
    </row>
    <row r="7" spans="2:10" ht="39.75" customHeight="1" x14ac:dyDescent="0.2">
      <c r="B7" s="13" t="s">
        <v>275</v>
      </c>
      <c r="C7" s="13" t="s">
        <v>276</v>
      </c>
      <c r="D7" s="13" t="s">
        <v>273</v>
      </c>
      <c r="E7" s="13" t="s">
        <v>145</v>
      </c>
      <c r="F7" s="28" t="s">
        <v>274</v>
      </c>
      <c r="G7" s="28" t="s">
        <v>277</v>
      </c>
      <c r="H7" s="28" t="s">
        <v>278</v>
      </c>
      <c r="I7" s="13" t="s">
        <v>251</v>
      </c>
      <c r="J7" s="13"/>
    </row>
    <row r="8" spans="2:10" ht="39.75" customHeight="1" x14ac:dyDescent="0.2">
      <c r="B8" s="2" t="s">
        <v>279</v>
      </c>
      <c r="C8" s="2" t="s">
        <v>280</v>
      </c>
      <c r="D8" s="2" t="s">
        <v>281</v>
      </c>
      <c r="E8" s="2" t="s">
        <v>136</v>
      </c>
      <c r="F8" s="26" t="s">
        <v>282</v>
      </c>
      <c r="G8" s="26" t="s">
        <v>204</v>
      </c>
      <c r="H8" s="26" t="s">
        <v>283</v>
      </c>
      <c r="I8" s="2" t="s">
        <v>251</v>
      </c>
      <c r="J8" s="2"/>
    </row>
    <row r="9" spans="2:10" ht="39.75" customHeight="1" x14ac:dyDescent="0.2">
      <c r="B9" s="13" t="s">
        <v>284</v>
      </c>
      <c r="C9" s="13" t="s">
        <v>285</v>
      </c>
      <c r="D9" s="13" t="s">
        <v>281</v>
      </c>
      <c r="E9" s="13" t="s">
        <v>136</v>
      </c>
      <c r="F9" s="28" t="s">
        <v>182</v>
      </c>
      <c r="G9" s="28" t="s">
        <v>175</v>
      </c>
      <c r="H9" s="28" t="s">
        <v>286</v>
      </c>
      <c r="I9" s="13" t="s">
        <v>251</v>
      </c>
      <c r="J9" s="13"/>
    </row>
    <row r="10" spans="2:10" ht="39.75" customHeight="1" x14ac:dyDescent="0.2">
      <c r="B10" s="2" t="s">
        <v>287</v>
      </c>
      <c r="C10" s="2" t="s">
        <v>288</v>
      </c>
      <c r="D10" s="2" t="s">
        <v>281</v>
      </c>
      <c r="E10" s="2" t="s">
        <v>127</v>
      </c>
      <c r="F10" s="26" t="s">
        <v>289</v>
      </c>
      <c r="G10" s="26" t="s">
        <v>176</v>
      </c>
      <c r="H10" s="26"/>
      <c r="I10" s="2" t="s">
        <v>290</v>
      </c>
      <c r="J10" s="2" t="s">
        <v>291</v>
      </c>
    </row>
    <row r="11" spans="2:10" ht="39.75" customHeight="1" x14ac:dyDescent="0.2">
      <c r="B11" s="13" t="s">
        <v>292</v>
      </c>
      <c r="C11" s="13" t="s">
        <v>293</v>
      </c>
      <c r="D11" s="13" t="s">
        <v>281</v>
      </c>
      <c r="E11" s="13" t="s">
        <v>127</v>
      </c>
      <c r="F11" s="28" t="s">
        <v>294</v>
      </c>
      <c r="G11" s="28" t="s">
        <v>183</v>
      </c>
      <c r="H11" s="28"/>
      <c r="I11" s="13" t="s">
        <v>295</v>
      </c>
      <c r="J11" s="13"/>
    </row>
    <row r="12" spans="2:10" ht="39.75" customHeight="1" x14ac:dyDescent="0.2">
      <c r="B12" s="2" t="s">
        <v>296</v>
      </c>
      <c r="C12" s="2" t="s">
        <v>297</v>
      </c>
      <c r="D12" s="2" t="s">
        <v>298</v>
      </c>
      <c r="E12" s="2" t="s">
        <v>127</v>
      </c>
      <c r="F12" s="26" t="s">
        <v>210</v>
      </c>
      <c r="G12" s="26" t="s">
        <v>218</v>
      </c>
      <c r="H12" s="26"/>
      <c r="I12" s="2" t="s">
        <v>23</v>
      </c>
      <c r="J12" s="2" t="s">
        <v>299</v>
      </c>
    </row>
    <row r="13" spans="2:10" ht="39.75" customHeight="1" x14ac:dyDescent="0.2">
      <c r="B13" s="13" t="s">
        <v>300</v>
      </c>
      <c r="C13" s="13" t="s">
        <v>301</v>
      </c>
      <c r="D13" s="13" t="s">
        <v>298</v>
      </c>
      <c r="E13" s="13" t="s">
        <v>127</v>
      </c>
      <c r="F13" s="28" t="s">
        <v>302</v>
      </c>
      <c r="G13" s="28" t="s">
        <v>303</v>
      </c>
      <c r="H13" s="28"/>
      <c r="I13" s="13" t="s">
        <v>295</v>
      </c>
      <c r="J13" s="13" t="s">
        <v>304</v>
      </c>
    </row>
    <row r="14" spans="2:10" ht="39.75" customHeight="1" x14ac:dyDescent="0.2">
      <c r="B14" s="2" t="s">
        <v>305</v>
      </c>
      <c r="C14" s="2" t="s">
        <v>306</v>
      </c>
      <c r="D14" s="2" t="s">
        <v>298</v>
      </c>
      <c r="E14" s="2" t="s">
        <v>127</v>
      </c>
      <c r="F14" s="26" t="s">
        <v>307</v>
      </c>
      <c r="G14" s="26" t="s">
        <v>246</v>
      </c>
      <c r="H14" s="26"/>
      <c r="I14" s="2" t="s">
        <v>295</v>
      </c>
      <c r="J14" s="2"/>
    </row>
    <row r="15" spans="2:10" ht="39.75" customHeight="1" x14ac:dyDescent="0.2">
      <c r="B15" s="13" t="s">
        <v>308</v>
      </c>
      <c r="C15" s="13" t="s">
        <v>309</v>
      </c>
      <c r="D15" s="13" t="s">
        <v>298</v>
      </c>
      <c r="E15" s="13" t="s">
        <v>127</v>
      </c>
      <c r="F15" s="28" t="s">
        <v>310</v>
      </c>
      <c r="G15" s="28" t="s">
        <v>311</v>
      </c>
      <c r="H15" s="28"/>
      <c r="I15" s="13" t="s">
        <v>295</v>
      </c>
      <c r="J15" s="13"/>
    </row>
    <row r="16" spans="2:10" ht="39.75" customHeight="1" x14ac:dyDescent="0.2">
      <c r="B16" s="2" t="s">
        <v>312</v>
      </c>
      <c r="C16" s="2" t="s">
        <v>313</v>
      </c>
      <c r="D16" s="2" t="s">
        <v>314</v>
      </c>
      <c r="E16" s="2" t="s">
        <v>136</v>
      </c>
      <c r="F16" s="26" t="s">
        <v>315</v>
      </c>
      <c r="G16" s="26" t="s">
        <v>197</v>
      </c>
      <c r="H16" s="26"/>
      <c r="I16" s="2" t="s">
        <v>23</v>
      </c>
      <c r="J16" s="2" t="s">
        <v>316</v>
      </c>
    </row>
    <row r="17" spans="2:10" ht="39.75" customHeight="1" x14ac:dyDescent="0.2">
      <c r="B17" s="13" t="s">
        <v>317</v>
      </c>
      <c r="C17" s="13" t="s">
        <v>318</v>
      </c>
      <c r="D17" s="13" t="s">
        <v>314</v>
      </c>
      <c r="E17" s="13" t="s">
        <v>127</v>
      </c>
      <c r="F17" s="28" t="s">
        <v>302</v>
      </c>
      <c r="G17" s="28" t="s">
        <v>205</v>
      </c>
      <c r="H17" s="28"/>
      <c r="I17" s="13" t="s">
        <v>295</v>
      </c>
      <c r="J17" s="13"/>
    </row>
    <row r="18" spans="2:10" ht="39.75" customHeight="1" x14ac:dyDescent="0.2">
      <c r="B18" s="2" t="s">
        <v>319</v>
      </c>
      <c r="C18" s="2" t="s">
        <v>320</v>
      </c>
      <c r="D18" s="2" t="s">
        <v>314</v>
      </c>
      <c r="E18" s="2" t="s">
        <v>127</v>
      </c>
      <c r="F18" s="26" t="s">
        <v>321</v>
      </c>
      <c r="G18" s="26" t="s">
        <v>322</v>
      </c>
      <c r="H18" s="26"/>
      <c r="I18" s="2" t="s">
        <v>295</v>
      </c>
      <c r="J18" s="2"/>
    </row>
    <row r="19" spans="2:10" ht="39.75" customHeight="1" x14ac:dyDescent="0.2">
      <c r="B19" s="13" t="s">
        <v>323</v>
      </c>
      <c r="C19" s="13" t="s">
        <v>324</v>
      </c>
      <c r="D19" s="13" t="s">
        <v>325</v>
      </c>
      <c r="E19" s="13" t="s">
        <v>136</v>
      </c>
      <c r="F19" s="28" t="s">
        <v>204</v>
      </c>
      <c r="G19" s="28" t="s">
        <v>175</v>
      </c>
      <c r="H19" s="28" t="s">
        <v>286</v>
      </c>
      <c r="I19" s="13" t="s">
        <v>251</v>
      </c>
      <c r="J19" s="13"/>
    </row>
    <row r="20" spans="2:10" ht="39.75" customHeight="1" x14ac:dyDescent="0.2">
      <c r="B20" s="2" t="s">
        <v>326</v>
      </c>
      <c r="C20" s="2" t="s">
        <v>327</v>
      </c>
      <c r="D20" s="2" t="s">
        <v>325</v>
      </c>
      <c r="E20" s="2" t="s">
        <v>127</v>
      </c>
      <c r="F20" s="26" t="s">
        <v>315</v>
      </c>
      <c r="G20" s="26" t="s">
        <v>176</v>
      </c>
      <c r="H20" s="26"/>
      <c r="I20" s="2" t="s">
        <v>328</v>
      </c>
      <c r="J20" s="2" t="s">
        <v>329</v>
      </c>
    </row>
    <row r="21" spans="2:10" ht="39.75" customHeight="1" x14ac:dyDescent="0.2">
      <c r="B21" s="13" t="s">
        <v>330</v>
      </c>
      <c r="C21" s="13" t="s">
        <v>331</v>
      </c>
      <c r="D21" s="13" t="s">
        <v>325</v>
      </c>
      <c r="E21" s="13" t="s">
        <v>127</v>
      </c>
      <c r="F21" s="28" t="s">
        <v>294</v>
      </c>
      <c r="G21" s="28" t="s">
        <v>303</v>
      </c>
      <c r="H21" s="28"/>
      <c r="I21" s="13" t="s">
        <v>23</v>
      </c>
      <c r="J21" s="13" t="s">
        <v>332</v>
      </c>
    </row>
    <row r="22" spans="2:10" ht="39.75" customHeight="1" x14ac:dyDescent="0.2">
      <c r="B22" s="2" t="s">
        <v>333</v>
      </c>
      <c r="C22" s="2" t="s">
        <v>334</v>
      </c>
      <c r="D22" s="2" t="s">
        <v>325</v>
      </c>
      <c r="E22" s="2" t="s">
        <v>127</v>
      </c>
      <c r="F22" s="26" t="s">
        <v>307</v>
      </c>
      <c r="G22" s="26" t="s">
        <v>335</v>
      </c>
      <c r="H22" s="26"/>
      <c r="I22" s="2" t="s">
        <v>295</v>
      </c>
      <c r="J22" s="2"/>
    </row>
    <row r="23" spans="2:10" ht="39.75" customHeight="1" x14ac:dyDescent="0.2">
      <c r="B23" s="13" t="s">
        <v>336</v>
      </c>
      <c r="C23" s="13" t="s">
        <v>337</v>
      </c>
      <c r="D23" s="13" t="s">
        <v>338</v>
      </c>
      <c r="E23" s="13" t="s">
        <v>136</v>
      </c>
      <c r="F23" s="28" t="s">
        <v>315</v>
      </c>
      <c r="G23" s="28" t="s">
        <v>302</v>
      </c>
      <c r="H23" s="28"/>
      <c r="I23" s="13" t="s">
        <v>290</v>
      </c>
      <c r="J23" s="13"/>
    </row>
    <row r="24" spans="2:10" ht="39.75" customHeight="1" x14ac:dyDescent="0.2">
      <c r="B24" s="2" t="s">
        <v>339</v>
      </c>
      <c r="C24" s="2" t="s">
        <v>340</v>
      </c>
      <c r="D24" s="2" t="s">
        <v>338</v>
      </c>
      <c r="E24" s="2" t="s">
        <v>136</v>
      </c>
      <c r="F24" s="26" t="s">
        <v>302</v>
      </c>
      <c r="G24" s="26" t="s">
        <v>341</v>
      </c>
      <c r="H24" s="26"/>
      <c r="I24" s="2" t="s">
        <v>295</v>
      </c>
      <c r="J24" s="2"/>
    </row>
    <row r="25" spans="2:10" ht="39.75" customHeight="1" x14ac:dyDescent="0.2">
      <c r="B25" s="13" t="s">
        <v>342</v>
      </c>
      <c r="C25" s="13" t="s">
        <v>343</v>
      </c>
      <c r="D25" s="13" t="s">
        <v>338</v>
      </c>
      <c r="E25" s="13" t="s">
        <v>127</v>
      </c>
      <c r="F25" s="28" t="s">
        <v>344</v>
      </c>
      <c r="G25" s="28" t="s">
        <v>345</v>
      </c>
      <c r="H25" s="28"/>
      <c r="I25" s="13" t="s">
        <v>295</v>
      </c>
      <c r="J25" s="13"/>
    </row>
    <row r="26" spans="2:10" ht="39.75" customHeight="1" x14ac:dyDescent="0.2">
      <c r="B26" s="2" t="s">
        <v>346</v>
      </c>
      <c r="C26" s="2" t="s">
        <v>347</v>
      </c>
      <c r="D26" s="2" t="s">
        <v>273</v>
      </c>
      <c r="E26" s="2" t="s">
        <v>348</v>
      </c>
      <c r="F26" s="26" t="s">
        <v>349</v>
      </c>
      <c r="G26" s="26" t="s">
        <v>17</v>
      </c>
      <c r="H26" s="26"/>
      <c r="I26" s="2" t="s">
        <v>295</v>
      </c>
      <c r="J26" s="2"/>
    </row>
    <row r="27" spans="2:10" ht="27.75" customHeight="1" x14ac:dyDescent="0.2">
      <c r="B27" s="2"/>
      <c r="C27" s="2"/>
      <c r="D27" s="2"/>
      <c r="E27" s="2"/>
      <c r="F27" s="26"/>
      <c r="G27" s="26"/>
      <c r="H27" s="26"/>
      <c r="I27" s="2"/>
      <c r="J27" s="2"/>
    </row>
    <row r="28" spans="2:10" ht="27.75" customHeight="1" x14ac:dyDescent="0.2">
      <c r="B28" s="2"/>
      <c r="C28" s="2"/>
      <c r="D28" s="2"/>
      <c r="E28" s="2"/>
      <c r="F28" s="26"/>
      <c r="G28" s="26"/>
      <c r="H28" s="26"/>
      <c r="I28" s="2"/>
      <c r="J28" s="2"/>
    </row>
    <row r="29" spans="2:10" ht="27.75" customHeight="1" x14ac:dyDescent="0.2">
      <c r="B29" s="2"/>
      <c r="C29" s="2"/>
      <c r="D29" s="2"/>
      <c r="E29" s="2"/>
      <c r="F29" s="26"/>
      <c r="G29" s="26"/>
      <c r="H29" s="26"/>
      <c r="I29" s="2"/>
      <c r="J29" s="2"/>
    </row>
    <row r="30" spans="2:10" ht="27.75" customHeight="1" x14ac:dyDescent="0.2">
      <c r="B30" s="2"/>
      <c r="C30" s="2"/>
      <c r="D30" s="2"/>
      <c r="E30" s="2"/>
      <c r="F30" s="26"/>
      <c r="G30" s="26"/>
      <c r="H30" s="26"/>
      <c r="I30" s="2"/>
      <c r="J30" s="2"/>
    </row>
    <row r="31" spans="2:10" ht="27.75" customHeight="1" x14ac:dyDescent="0.2">
      <c r="B31" s="2"/>
      <c r="C31" s="2"/>
      <c r="D31" s="2"/>
      <c r="E31" s="2"/>
      <c r="F31" s="26"/>
      <c r="G31" s="26"/>
      <c r="H31" s="26"/>
      <c r="I31" s="2"/>
      <c r="J31" s="2"/>
    </row>
    <row r="32" spans="2:10" ht="27.75" customHeight="1" x14ac:dyDescent="0.2">
      <c r="B32" s="2"/>
      <c r="C32" s="2"/>
      <c r="D32" s="2"/>
      <c r="E32" s="2"/>
      <c r="F32" s="26"/>
      <c r="G32" s="26"/>
      <c r="H32" s="26"/>
      <c r="I32" s="2"/>
      <c r="J32" s="2"/>
    </row>
    <row r="33" spans="2:10" ht="27.75" customHeight="1" x14ac:dyDescent="0.2">
      <c r="B33" s="2"/>
      <c r="C33" s="2"/>
      <c r="D33" s="2"/>
      <c r="E33" s="2"/>
      <c r="F33" s="26"/>
      <c r="G33" s="26"/>
      <c r="H33" s="26"/>
      <c r="I33" s="2"/>
      <c r="J33" s="2"/>
    </row>
    <row r="34" spans="2:10" ht="27.75" customHeight="1" x14ac:dyDescent="0.2">
      <c r="B34" s="2"/>
      <c r="C34" s="2"/>
      <c r="D34" s="2"/>
      <c r="E34" s="2"/>
      <c r="F34" s="26"/>
      <c r="G34" s="26"/>
      <c r="H34" s="26"/>
      <c r="I34" s="2"/>
      <c r="J34" s="2"/>
    </row>
    <row r="35" spans="2:10" ht="27.75" customHeight="1" x14ac:dyDescent="0.2">
      <c r="B35" s="2"/>
      <c r="C35" s="2"/>
      <c r="D35" s="2"/>
      <c r="E35" s="2"/>
      <c r="F35" s="26"/>
      <c r="G35" s="26"/>
      <c r="H35" s="26"/>
      <c r="I35" s="2"/>
      <c r="J35" s="2"/>
    </row>
    <row r="36" spans="2:10" ht="27.75" customHeight="1" x14ac:dyDescent="0.2">
      <c r="B36" s="2"/>
      <c r="C36" s="2"/>
      <c r="D36" s="2"/>
      <c r="E36" s="2"/>
      <c r="F36" s="26"/>
      <c r="G36" s="26"/>
      <c r="H36" s="26"/>
      <c r="I36" s="2"/>
      <c r="J36" s="2"/>
    </row>
    <row r="37" spans="2:10" ht="16.5" customHeight="1" x14ac:dyDescent="0.2">
      <c r="F37" s="29"/>
      <c r="G37" s="29"/>
      <c r="H37" s="29"/>
    </row>
  </sheetData>
  <conditionalFormatting sqref="I6:I37">
    <cfRule type="expression" dxfId="13" priority="2">
      <formula>EXACT(I6,"Complete")</formula>
    </cfRule>
    <cfRule type="expression" dxfId="12" priority="3">
      <formula>OR(EXACT(I6,"Delayed"),EXACT(I6,"At-Risk"),EXACT(I6,"Blocked"))</formula>
    </cfRule>
    <cfRule type="expression" dxfId="11" priority="4">
      <formula>EXACT(I6,"In Progress")</formula>
    </cfRule>
  </conditionalFormatting>
  <dataValidations count="3">
    <dataValidation type="list" allowBlank="1" sqref="D6:D37" xr:uid="{00000000-0002-0000-0400-000000000000}">
      <formula1>"IdP Migration,ZTNA Rollout,PAM,MFA Hardening,Access Review,Program"</formula1>
      <formula2>0</formula2>
    </dataValidation>
    <dataValidation type="list" allowBlank="1" sqref="E6:E37" xr:uid="{00000000-0002-0000-0400-000001000000}">
      <formula1>"Initiate,Plan,Execute,Monitor,Close"</formula1>
      <formula2>0</formula2>
    </dataValidation>
    <dataValidation type="list" allowBlank="1" sqref="I6:I37" xr:uid="{00000000-0002-0000-0400-000002000000}">
      <formula1>"Not Started,In Progress,Complete,Delayed,At-Risk,Blocked"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B1:I24"/>
  <sheetViews>
    <sheetView showGridLines="0" zoomScaleNormal="100" workbookViewId="0"/>
  </sheetViews>
  <sheetFormatPr baseColWidth="10" defaultColWidth="8.6640625" defaultRowHeight="15" x14ac:dyDescent="0.2"/>
  <cols>
    <col min="1" max="1" width="3" customWidth="1"/>
    <col min="2" max="2" width="26" customWidth="1"/>
    <col min="3" max="6" width="16" customWidth="1"/>
    <col min="7" max="8" width="14" customWidth="1"/>
    <col min="9" max="9" width="26" customWidth="1"/>
  </cols>
  <sheetData>
    <row r="1" spans="2:9" ht="16.5" customHeight="1" x14ac:dyDescent="0.2"/>
    <row r="2" spans="2:9" ht="27.75" customHeight="1" x14ac:dyDescent="0.2">
      <c r="B2" s="14" t="s">
        <v>350</v>
      </c>
    </row>
    <row r="3" spans="2:9" ht="16.5" customHeight="1" x14ac:dyDescent="0.2">
      <c r="B3" s="15" t="s">
        <v>351</v>
      </c>
    </row>
    <row r="4" spans="2:9" ht="16.5" customHeight="1" x14ac:dyDescent="0.2"/>
    <row r="5" spans="2:9" ht="31.5" customHeight="1" x14ac:dyDescent="0.2">
      <c r="B5" s="1" t="s">
        <v>352</v>
      </c>
      <c r="C5" s="30">
        <v>8400000</v>
      </c>
      <c r="D5" s="1" t="s">
        <v>353</v>
      </c>
      <c r="E5" s="3" t="s">
        <v>354</v>
      </c>
      <c r="F5" s="1" t="s">
        <v>355</v>
      </c>
      <c r="G5" s="31" t="s">
        <v>27</v>
      </c>
    </row>
    <row r="6" spans="2:9" ht="16.5" customHeight="1" x14ac:dyDescent="0.2"/>
    <row r="7" spans="2:9" ht="16.5" customHeight="1" x14ac:dyDescent="0.2"/>
    <row r="8" spans="2:9" ht="31.5" customHeight="1" x14ac:dyDescent="0.2">
      <c r="B8" s="9" t="s">
        <v>356</v>
      </c>
      <c r="C8" s="9" t="s">
        <v>357</v>
      </c>
      <c r="D8" s="9" t="s">
        <v>358</v>
      </c>
      <c r="E8" s="9" t="s">
        <v>359</v>
      </c>
      <c r="F8" s="9" t="s">
        <v>360</v>
      </c>
      <c r="G8" s="9" t="s">
        <v>361</v>
      </c>
      <c r="H8" s="9" t="s">
        <v>362</v>
      </c>
      <c r="I8" s="9" t="s">
        <v>124</v>
      </c>
    </row>
    <row r="9" spans="2:9" ht="31.5" customHeight="1" x14ac:dyDescent="0.2">
      <c r="B9" s="2" t="s">
        <v>125</v>
      </c>
      <c r="C9" s="17">
        <v>1850000</v>
      </c>
      <c r="D9" s="17">
        <v>1500000</v>
      </c>
      <c r="E9" s="17">
        <v>1200000</v>
      </c>
      <c r="F9" s="18">
        <f t="shared" ref="F9:F15" si="0">C9-E9</f>
        <v>650000</v>
      </c>
      <c r="G9" s="16">
        <f t="shared" ref="G9:G16" si="1">IFERROR(E9/C9,0)</f>
        <v>0.64864864864864868</v>
      </c>
      <c r="H9" s="17">
        <v>1820000</v>
      </c>
      <c r="I9" s="2" t="s">
        <v>363</v>
      </c>
    </row>
    <row r="10" spans="2:9" ht="31.5" customHeight="1" x14ac:dyDescent="0.2">
      <c r="B10" s="2" t="s">
        <v>298</v>
      </c>
      <c r="C10" s="17">
        <v>2100000</v>
      </c>
      <c r="D10" s="17">
        <v>1700000</v>
      </c>
      <c r="E10" s="17">
        <v>1050000</v>
      </c>
      <c r="F10" s="18">
        <f t="shared" si="0"/>
        <v>1050000</v>
      </c>
      <c r="G10" s="16">
        <f t="shared" si="1"/>
        <v>0.5</v>
      </c>
      <c r="H10" s="17">
        <v>2150000</v>
      </c>
      <c r="I10" s="2" t="s">
        <v>364</v>
      </c>
    </row>
    <row r="11" spans="2:9" ht="31.5" customHeight="1" x14ac:dyDescent="0.2">
      <c r="B11" s="2" t="s">
        <v>134</v>
      </c>
      <c r="C11" s="17">
        <v>1600000</v>
      </c>
      <c r="D11" s="17">
        <v>120000</v>
      </c>
      <c r="E11" s="17">
        <v>280000</v>
      </c>
      <c r="F11" s="18">
        <f t="shared" si="0"/>
        <v>1320000</v>
      </c>
      <c r="G11" s="16">
        <f t="shared" si="1"/>
        <v>0.17499999999999999</v>
      </c>
      <c r="H11" s="17">
        <v>1650000</v>
      </c>
      <c r="I11" s="2" t="s">
        <v>365</v>
      </c>
    </row>
    <row r="12" spans="2:9" ht="31.5" customHeight="1" x14ac:dyDescent="0.2">
      <c r="B12" s="2" t="s">
        <v>139</v>
      </c>
      <c r="C12" s="17">
        <v>1100000</v>
      </c>
      <c r="D12" s="17">
        <v>850000</v>
      </c>
      <c r="E12" s="17">
        <v>680000</v>
      </c>
      <c r="F12" s="18">
        <f t="shared" si="0"/>
        <v>420000</v>
      </c>
      <c r="G12" s="16">
        <f t="shared" si="1"/>
        <v>0.61818181818181817</v>
      </c>
      <c r="H12" s="17">
        <v>1180000</v>
      </c>
      <c r="I12" s="2" t="s">
        <v>366</v>
      </c>
    </row>
    <row r="13" spans="2:9" ht="31.5" customHeight="1" x14ac:dyDescent="0.2">
      <c r="B13" s="2" t="s">
        <v>143</v>
      </c>
      <c r="C13" s="17">
        <v>750000</v>
      </c>
      <c r="D13" s="17">
        <v>80000</v>
      </c>
      <c r="E13" s="17">
        <v>35000</v>
      </c>
      <c r="F13" s="18">
        <f t="shared" si="0"/>
        <v>715000</v>
      </c>
      <c r="G13" s="16">
        <f t="shared" si="1"/>
        <v>4.6666666666666669E-2</v>
      </c>
      <c r="H13" s="17">
        <v>730000</v>
      </c>
      <c r="I13" s="2" t="s">
        <v>367</v>
      </c>
    </row>
    <row r="14" spans="2:9" ht="31.5" customHeight="1" x14ac:dyDescent="0.2">
      <c r="B14" s="2" t="s">
        <v>368</v>
      </c>
      <c r="C14" s="17">
        <v>400000</v>
      </c>
      <c r="D14" s="17">
        <v>150000</v>
      </c>
      <c r="E14" s="17">
        <v>165000</v>
      </c>
      <c r="F14" s="18">
        <f t="shared" si="0"/>
        <v>235000</v>
      </c>
      <c r="G14" s="16">
        <f t="shared" si="1"/>
        <v>0.41249999999999998</v>
      </c>
      <c r="H14" s="17">
        <v>390000</v>
      </c>
      <c r="I14" s="2" t="s">
        <v>369</v>
      </c>
    </row>
    <row r="15" spans="2:9" ht="31.5" customHeight="1" x14ac:dyDescent="0.2">
      <c r="B15" s="2" t="s">
        <v>370</v>
      </c>
      <c r="C15" s="17">
        <v>600000</v>
      </c>
      <c r="D15" s="17">
        <v>0</v>
      </c>
      <c r="E15" s="17">
        <v>0</v>
      </c>
      <c r="F15" s="18">
        <f t="shared" si="0"/>
        <v>600000</v>
      </c>
      <c r="G15" s="16">
        <f t="shared" si="1"/>
        <v>0</v>
      </c>
      <c r="H15" s="17">
        <v>500000</v>
      </c>
      <c r="I15" s="2" t="s">
        <v>371</v>
      </c>
    </row>
    <row r="16" spans="2:9" ht="16.5" customHeight="1" x14ac:dyDescent="0.2">
      <c r="B16" s="32" t="s">
        <v>372</v>
      </c>
      <c r="C16" s="22">
        <f>SUM(C9:C15)</f>
        <v>8400000</v>
      </c>
      <c r="D16" s="22">
        <f>SUM(D9:D15)</f>
        <v>4400000</v>
      </c>
      <c r="E16" s="22">
        <f>SUM(E9:E15)</f>
        <v>3410000</v>
      </c>
      <c r="F16" s="22">
        <f>SUM(F9:F15)</f>
        <v>4990000</v>
      </c>
      <c r="G16" s="20">
        <f t="shared" si="1"/>
        <v>0.40595238095238095</v>
      </c>
      <c r="H16" s="21">
        <f>SUM(H9:H15)</f>
        <v>8420000</v>
      </c>
    </row>
    <row r="17" spans="2:3" ht="16.5" customHeight="1" x14ac:dyDescent="0.2"/>
    <row r="18" spans="2:3" ht="16.5" customHeight="1" x14ac:dyDescent="0.2"/>
    <row r="19" spans="2:3" ht="16.5" customHeight="1" x14ac:dyDescent="0.2">
      <c r="B19" s="7" t="s">
        <v>373</v>
      </c>
    </row>
    <row r="20" spans="2:3" ht="16.5" customHeight="1" x14ac:dyDescent="0.2"/>
    <row r="21" spans="2:3" ht="31.5" customHeight="1" x14ac:dyDescent="0.2">
      <c r="B21" s="1" t="s">
        <v>374</v>
      </c>
      <c r="C21" s="33">
        <f>H16</f>
        <v>8420000</v>
      </c>
    </row>
    <row r="22" spans="2:3" ht="31.5" customHeight="1" x14ac:dyDescent="0.2">
      <c r="B22" s="1" t="s">
        <v>375</v>
      </c>
      <c r="C22" s="33">
        <f>C16-H16</f>
        <v>-20000</v>
      </c>
    </row>
    <row r="23" spans="2:3" ht="31.5" customHeight="1" x14ac:dyDescent="0.2">
      <c r="B23" s="1" t="s">
        <v>376</v>
      </c>
      <c r="C23" s="33">
        <f>600000-500000</f>
        <v>100000</v>
      </c>
    </row>
    <row r="24" spans="2:3" ht="16.5" customHeight="1" x14ac:dyDescent="0.2">
      <c r="B24" s="1" t="s">
        <v>377</v>
      </c>
      <c r="C24" s="33">
        <f>E16/3</f>
        <v>1136666.6666666667</v>
      </c>
    </row>
  </sheetData>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K23"/>
  <sheetViews>
    <sheetView showGridLines="0" zoomScaleNormal="100" workbookViewId="0"/>
  </sheetViews>
  <sheetFormatPr baseColWidth="10" defaultColWidth="8.6640625" defaultRowHeight="15" x14ac:dyDescent="0.2"/>
  <cols>
    <col min="1" max="1" width="3" customWidth="1"/>
    <col min="2" max="3" width="22" customWidth="1"/>
    <col min="4" max="9" width="14" customWidth="1"/>
    <col min="10" max="11" width="28" customWidth="1"/>
  </cols>
  <sheetData>
    <row r="1" spans="2:11" ht="16.5" customHeight="1" x14ac:dyDescent="0.2"/>
    <row r="2" spans="2:11" ht="27.75" customHeight="1" x14ac:dyDescent="0.2">
      <c r="B2" s="14" t="s">
        <v>378</v>
      </c>
    </row>
    <row r="3" spans="2:11" ht="16.5" customHeight="1" x14ac:dyDescent="0.2">
      <c r="B3" s="15" t="s">
        <v>379</v>
      </c>
    </row>
    <row r="4" spans="2:11" ht="16.5" customHeight="1" x14ac:dyDescent="0.2"/>
    <row r="5" spans="2:11" ht="31.5" customHeight="1" x14ac:dyDescent="0.2">
      <c r="B5" s="9" t="s">
        <v>380</v>
      </c>
      <c r="C5" s="9" t="s">
        <v>381</v>
      </c>
      <c r="D5" s="9" t="s">
        <v>382</v>
      </c>
      <c r="E5" s="9" t="s">
        <v>383</v>
      </c>
      <c r="F5" s="9" t="s">
        <v>314</v>
      </c>
      <c r="G5" s="9" t="s">
        <v>384</v>
      </c>
      <c r="H5" s="9" t="s">
        <v>338</v>
      </c>
      <c r="I5" s="9" t="s">
        <v>273</v>
      </c>
      <c r="J5" s="9" t="s">
        <v>385</v>
      </c>
      <c r="K5" s="9" t="s">
        <v>124</v>
      </c>
    </row>
    <row r="6" spans="2:11" ht="27.75" customHeight="1" x14ac:dyDescent="0.2">
      <c r="B6" s="2" t="s">
        <v>386</v>
      </c>
      <c r="C6" s="2" t="s">
        <v>387</v>
      </c>
      <c r="D6" s="34">
        <v>0.3</v>
      </c>
      <c r="E6" s="34">
        <v>0.3</v>
      </c>
      <c r="F6" s="34">
        <v>0.2</v>
      </c>
      <c r="G6" s="34">
        <v>0.1</v>
      </c>
      <c r="H6" s="34">
        <v>0</v>
      </c>
      <c r="I6" s="34">
        <v>0</v>
      </c>
      <c r="J6" s="35">
        <f t="shared" ref="J6:J21" si="0">SUM(D6:I6)</f>
        <v>0.9</v>
      </c>
      <c r="K6" s="2"/>
    </row>
    <row r="7" spans="2:11" ht="27.75" customHeight="1" x14ac:dyDescent="0.2">
      <c r="B7" s="2" t="s">
        <v>388</v>
      </c>
      <c r="C7" s="2" t="s">
        <v>389</v>
      </c>
      <c r="D7" s="34">
        <v>0.6</v>
      </c>
      <c r="E7" s="34">
        <v>0.2</v>
      </c>
      <c r="F7" s="34">
        <v>0</v>
      </c>
      <c r="G7" s="34">
        <v>0.2</v>
      </c>
      <c r="H7" s="34">
        <v>0</v>
      </c>
      <c r="I7" s="34">
        <v>0</v>
      </c>
      <c r="J7" s="35">
        <f t="shared" si="0"/>
        <v>1</v>
      </c>
      <c r="K7" s="2"/>
    </row>
    <row r="8" spans="2:11" ht="27.75" customHeight="1" x14ac:dyDescent="0.2">
      <c r="B8" s="2" t="s">
        <v>390</v>
      </c>
      <c r="C8" s="2" t="s">
        <v>391</v>
      </c>
      <c r="D8" s="34">
        <v>0.1</v>
      </c>
      <c r="E8" s="34">
        <v>0.5</v>
      </c>
      <c r="F8" s="34">
        <v>0</v>
      </c>
      <c r="G8" s="34">
        <v>0</v>
      </c>
      <c r="H8" s="34">
        <v>0</v>
      </c>
      <c r="I8" s="34">
        <v>0</v>
      </c>
      <c r="J8" s="35">
        <f t="shared" si="0"/>
        <v>0.6</v>
      </c>
      <c r="K8" s="2"/>
    </row>
    <row r="9" spans="2:11" ht="27.75" customHeight="1" x14ac:dyDescent="0.2">
      <c r="B9" s="2" t="s">
        <v>392</v>
      </c>
      <c r="C9" s="2" t="s">
        <v>393</v>
      </c>
      <c r="D9" s="34">
        <v>0.1</v>
      </c>
      <c r="E9" s="34">
        <v>0.1</v>
      </c>
      <c r="F9" s="34">
        <v>0.2</v>
      </c>
      <c r="G9" s="34">
        <v>0.2</v>
      </c>
      <c r="H9" s="34">
        <v>0.3</v>
      </c>
      <c r="I9" s="34">
        <v>0.1</v>
      </c>
      <c r="J9" s="35">
        <f t="shared" si="0"/>
        <v>1.0000000000000002</v>
      </c>
      <c r="K9" s="2"/>
    </row>
    <row r="10" spans="2:11" ht="27.75" customHeight="1" x14ac:dyDescent="0.2">
      <c r="B10" s="2" t="s">
        <v>394</v>
      </c>
      <c r="C10" s="2" t="s">
        <v>395</v>
      </c>
      <c r="D10" s="34">
        <v>0</v>
      </c>
      <c r="E10" s="34">
        <v>0.2</v>
      </c>
      <c r="F10" s="34">
        <v>0.4</v>
      </c>
      <c r="G10" s="34">
        <v>0.3</v>
      </c>
      <c r="H10" s="34">
        <v>0</v>
      </c>
      <c r="I10" s="34">
        <v>0</v>
      </c>
      <c r="J10" s="35">
        <f t="shared" si="0"/>
        <v>0.90000000000000013</v>
      </c>
      <c r="K10" s="2"/>
    </row>
    <row r="11" spans="2:11" ht="27.75" customHeight="1" x14ac:dyDescent="0.2">
      <c r="B11" s="2" t="s">
        <v>396</v>
      </c>
      <c r="C11" s="2" t="s">
        <v>397</v>
      </c>
      <c r="D11" s="34">
        <v>0.2</v>
      </c>
      <c r="E11" s="34">
        <v>0.3</v>
      </c>
      <c r="F11" s="34">
        <v>0.4</v>
      </c>
      <c r="G11" s="34">
        <v>0.2</v>
      </c>
      <c r="H11" s="34">
        <v>0</v>
      </c>
      <c r="I11" s="34">
        <v>0</v>
      </c>
      <c r="J11" s="35">
        <f t="shared" si="0"/>
        <v>1.1000000000000001</v>
      </c>
      <c r="K11" s="2"/>
    </row>
    <row r="12" spans="2:11" ht="27.75" customHeight="1" x14ac:dyDescent="0.2">
      <c r="B12" s="2" t="s">
        <v>398</v>
      </c>
      <c r="C12" s="2" t="s">
        <v>399</v>
      </c>
      <c r="D12" s="34">
        <v>0.2</v>
      </c>
      <c r="E12" s="34">
        <v>0.2</v>
      </c>
      <c r="F12" s="34">
        <v>0.2</v>
      </c>
      <c r="G12" s="34">
        <v>0.2</v>
      </c>
      <c r="H12" s="34">
        <v>0.1</v>
      </c>
      <c r="I12" s="34">
        <v>0</v>
      </c>
      <c r="J12" s="35">
        <f t="shared" si="0"/>
        <v>0.9</v>
      </c>
      <c r="K12" s="2"/>
    </row>
    <row r="13" spans="2:11" ht="27.75" customHeight="1" x14ac:dyDescent="0.2">
      <c r="B13" s="2" t="s">
        <v>400</v>
      </c>
      <c r="C13" s="2" t="s">
        <v>401</v>
      </c>
      <c r="D13" s="34">
        <v>0.1</v>
      </c>
      <c r="E13" s="34">
        <v>0.1</v>
      </c>
      <c r="F13" s="34">
        <v>0.1</v>
      </c>
      <c r="G13" s="34">
        <v>0.15</v>
      </c>
      <c r="H13" s="34">
        <v>0.05</v>
      </c>
      <c r="I13" s="34">
        <v>0.5</v>
      </c>
      <c r="J13" s="35">
        <f t="shared" si="0"/>
        <v>1</v>
      </c>
      <c r="K13" s="2"/>
    </row>
    <row r="14" spans="2:11" ht="27.75" customHeight="1" x14ac:dyDescent="0.2">
      <c r="B14" s="2"/>
      <c r="C14" s="2"/>
      <c r="D14" s="34"/>
      <c r="E14" s="34"/>
      <c r="F14" s="34"/>
      <c r="G14" s="34"/>
      <c r="H14" s="34"/>
      <c r="I14" s="34"/>
      <c r="J14" s="35">
        <f t="shared" si="0"/>
        <v>0</v>
      </c>
      <c r="K14" s="2"/>
    </row>
    <row r="15" spans="2:11" ht="27.75" customHeight="1" x14ac:dyDescent="0.2">
      <c r="B15" s="2"/>
      <c r="C15" s="2"/>
      <c r="D15" s="34"/>
      <c r="E15" s="34"/>
      <c r="F15" s="34"/>
      <c r="G15" s="34"/>
      <c r="H15" s="34"/>
      <c r="I15" s="34"/>
      <c r="J15" s="35">
        <f t="shared" si="0"/>
        <v>0</v>
      </c>
      <c r="K15" s="2"/>
    </row>
    <row r="16" spans="2:11" ht="27.75" customHeight="1" x14ac:dyDescent="0.2">
      <c r="B16" s="2"/>
      <c r="C16" s="2"/>
      <c r="D16" s="34"/>
      <c r="E16" s="34"/>
      <c r="F16" s="34"/>
      <c r="G16" s="34"/>
      <c r="H16" s="34"/>
      <c r="I16" s="34"/>
      <c r="J16" s="35">
        <f t="shared" si="0"/>
        <v>0</v>
      </c>
      <c r="K16" s="2"/>
    </row>
    <row r="17" spans="2:11" ht="27.75" customHeight="1" x14ac:dyDescent="0.2">
      <c r="B17" s="2"/>
      <c r="C17" s="2"/>
      <c r="D17" s="34"/>
      <c r="E17" s="34"/>
      <c r="F17" s="34"/>
      <c r="G17" s="34"/>
      <c r="H17" s="34"/>
      <c r="I17" s="34"/>
      <c r="J17" s="35">
        <f t="shared" si="0"/>
        <v>0</v>
      </c>
      <c r="K17" s="2"/>
    </row>
    <row r="18" spans="2:11" ht="27.75" customHeight="1" x14ac:dyDescent="0.2">
      <c r="B18" s="2"/>
      <c r="C18" s="2"/>
      <c r="D18" s="34"/>
      <c r="E18" s="34"/>
      <c r="F18" s="34"/>
      <c r="G18" s="34"/>
      <c r="H18" s="34"/>
      <c r="I18" s="34"/>
      <c r="J18" s="35">
        <f t="shared" si="0"/>
        <v>0</v>
      </c>
      <c r="K18" s="2"/>
    </row>
    <row r="19" spans="2:11" ht="27.75" customHeight="1" x14ac:dyDescent="0.2">
      <c r="B19" s="2"/>
      <c r="C19" s="2"/>
      <c r="D19" s="34"/>
      <c r="E19" s="34"/>
      <c r="F19" s="34"/>
      <c r="G19" s="34"/>
      <c r="H19" s="34"/>
      <c r="I19" s="34"/>
      <c r="J19" s="35">
        <f t="shared" si="0"/>
        <v>0</v>
      </c>
      <c r="K19" s="2"/>
    </row>
    <row r="20" spans="2:11" ht="27.75" customHeight="1" x14ac:dyDescent="0.2">
      <c r="B20" s="2"/>
      <c r="C20" s="2"/>
      <c r="D20" s="34"/>
      <c r="E20" s="34"/>
      <c r="F20" s="34"/>
      <c r="G20" s="34"/>
      <c r="H20" s="34"/>
      <c r="I20" s="34"/>
      <c r="J20" s="35">
        <f t="shared" si="0"/>
        <v>0</v>
      </c>
      <c r="K20" s="2"/>
    </row>
    <row r="21" spans="2:11" ht="27.75" customHeight="1" x14ac:dyDescent="0.2">
      <c r="B21" s="2"/>
      <c r="C21" s="2"/>
      <c r="D21" s="34"/>
      <c r="E21" s="34"/>
      <c r="F21" s="34"/>
      <c r="G21" s="34"/>
      <c r="H21" s="34"/>
      <c r="I21" s="34"/>
      <c r="J21" s="35">
        <f t="shared" si="0"/>
        <v>0</v>
      </c>
      <c r="K21" s="2"/>
    </row>
    <row r="22" spans="2:11" ht="16.5" customHeight="1" x14ac:dyDescent="0.2">
      <c r="B22" s="7" t="s">
        <v>402</v>
      </c>
    </row>
    <row r="23" spans="2:11" ht="60" customHeight="1" x14ac:dyDescent="0.2">
      <c r="B23" s="41" t="s">
        <v>403</v>
      </c>
      <c r="C23" s="41"/>
      <c r="D23" s="41"/>
      <c r="E23" s="41"/>
      <c r="F23" s="41"/>
      <c r="G23" s="41"/>
      <c r="H23" s="41"/>
      <c r="I23" s="41"/>
      <c r="J23" s="41"/>
      <c r="K23" s="41"/>
    </row>
  </sheetData>
  <mergeCells count="1">
    <mergeCell ref="B23:K23"/>
  </mergeCells>
  <conditionalFormatting sqref="J6:J21">
    <cfRule type="cellIs" dxfId="10" priority="2" operator="greaterThan">
      <formula>1</formula>
    </cfRule>
    <cfRule type="cellIs" dxfId="9" priority="3" operator="between">
      <formula>0.9</formula>
      <formula>1</formula>
    </cfRule>
  </conditionalFormatting>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B1:I23"/>
  <sheetViews>
    <sheetView showGridLines="0" zoomScaleNormal="100" workbookViewId="0"/>
  </sheetViews>
  <sheetFormatPr baseColWidth="10" defaultColWidth="8.6640625" defaultRowHeight="15" x14ac:dyDescent="0.2"/>
  <cols>
    <col min="1" max="1" width="3" customWidth="1"/>
    <col min="2" max="2" width="8" customWidth="1"/>
    <col min="3" max="3" width="14" customWidth="1"/>
    <col min="4" max="4" width="26" customWidth="1"/>
    <col min="5" max="6" width="32" customWidth="1"/>
    <col min="7" max="7" width="18" customWidth="1"/>
    <col min="8" max="8" width="22" customWidth="1"/>
    <col min="9" max="9" width="14" customWidth="1"/>
  </cols>
  <sheetData>
    <row r="1" spans="2:9" ht="16.5" customHeight="1" x14ac:dyDescent="0.2"/>
    <row r="2" spans="2:9" ht="27.75" customHeight="1" x14ac:dyDescent="0.2">
      <c r="B2" s="14" t="s">
        <v>404</v>
      </c>
    </row>
    <row r="3" spans="2:9" ht="16.5" customHeight="1" x14ac:dyDescent="0.2">
      <c r="B3" s="15" t="s">
        <v>405</v>
      </c>
    </row>
    <row r="4" spans="2:9" ht="16.5" customHeight="1" x14ac:dyDescent="0.2"/>
    <row r="5" spans="2:9" ht="31.5" customHeight="1" x14ac:dyDescent="0.2">
      <c r="B5" s="9" t="s">
        <v>160</v>
      </c>
      <c r="C5" s="9" t="s">
        <v>406</v>
      </c>
      <c r="D5" s="9" t="s">
        <v>161</v>
      </c>
      <c r="E5" s="9" t="s">
        <v>162</v>
      </c>
      <c r="F5" s="9" t="s">
        <v>407</v>
      </c>
      <c r="G5" s="9" t="s">
        <v>408</v>
      </c>
      <c r="H5" s="9" t="s">
        <v>409</v>
      </c>
      <c r="I5" s="9" t="s">
        <v>33</v>
      </c>
    </row>
    <row r="6" spans="2:9" ht="108.75" customHeight="1" x14ac:dyDescent="0.2">
      <c r="B6" s="2" t="s">
        <v>410</v>
      </c>
      <c r="C6" s="26" t="s">
        <v>278</v>
      </c>
      <c r="D6" s="2" t="s">
        <v>411</v>
      </c>
      <c r="E6" s="2" t="s">
        <v>412</v>
      </c>
      <c r="F6" s="2" t="s">
        <v>413</v>
      </c>
      <c r="G6" s="2" t="s">
        <v>414</v>
      </c>
      <c r="H6" s="2" t="s">
        <v>415</v>
      </c>
      <c r="I6" s="2" t="s">
        <v>416</v>
      </c>
    </row>
    <row r="7" spans="2:9" ht="90" customHeight="1" x14ac:dyDescent="0.2">
      <c r="B7" s="13" t="s">
        <v>417</v>
      </c>
      <c r="C7" s="28" t="s">
        <v>204</v>
      </c>
      <c r="D7" s="13" t="s">
        <v>418</v>
      </c>
      <c r="E7" s="13" t="s">
        <v>419</v>
      </c>
      <c r="F7" s="13" t="s">
        <v>420</v>
      </c>
      <c r="G7" s="13" t="s">
        <v>421</v>
      </c>
      <c r="H7" s="13" t="s">
        <v>422</v>
      </c>
      <c r="I7" s="13" t="s">
        <v>423</v>
      </c>
    </row>
    <row r="8" spans="2:9" ht="93.75" customHeight="1" x14ac:dyDescent="0.2">
      <c r="B8" s="2" t="s">
        <v>424</v>
      </c>
      <c r="C8" s="26" t="s">
        <v>286</v>
      </c>
      <c r="D8" s="2" t="s">
        <v>411</v>
      </c>
      <c r="E8" s="2" t="s">
        <v>425</v>
      </c>
      <c r="F8" s="2" t="s">
        <v>426</v>
      </c>
      <c r="G8" s="2" t="s">
        <v>421</v>
      </c>
      <c r="H8" s="2" t="s">
        <v>427</v>
      </c>
      <c r="I8" s="2" t="s">
        <v>416</v>
      </c>
    </row>
    <row r="9" spans="2:9" ht="90" customHeight="1" x14ac:dyDescent="0.2">
      <c r="B9" s="13" t="s">
        <v>428</v>
      </c>
      <c r="C9" s="28" t="s">
        <v>217</v>
      </c>
      <c r="D9" s="13" t="s">
        <v>429</v>
      </c>
      <c r="E9" s="13" t="s">
        <v>430</v>
      </c>
      <c r="F9" s="13" t="s">
        <v>431</v>
      </c>
      <c r="G9" s="13" t="s">
        <v>421</v>
      </c>
      <c r="H9" s="13" t="s">
        <v>432</v>
      </c>
      <c r="I9" s="13" t="s">
        <v>423</v>
      </c>
    </row>
    <row r="10" spans="2:9" ht="124.5" customHeight="1" x14ac:dyDescent="0.2">
      <c r="B10" s="2" t="s">
        <v>433</v>
      </c>
      <c r="C10" s="26" t="s">
        <v>196</v>
      </c>
      <c r="D10" s="2" t="s">
        <v>411</v>
      </c>
      <c r="E10" s="2" t="s">
        <v>434</v>
      </c>
      <c r="F10" s="2" t="s">
        <v>435</v>
      </c>
      <c r="G10" s="2" t="s">
        <v>421</v>
      </c>
      <c r="H10" s="2" t="s">
        <v>436</v>
      </c>
      <c r="I10" s="2" t="s">
        <v>416</v>
      </c>
    </row>
    <row r="11" spans="2:9" ht="90" customHeight="1" x14ac:dyDescent="0.2">
      <c r="B11" s="13" t="s">
        <v>437</v>
      </c>
      <c r="C11" s="28" t="s">
        <v>27</v>
      </c>
      <c r="D11" s="13" t="s">
        <v>438</v>
      </c>
      <c r="E11" s="13" t="s">
        <v>439</v>
      </c>
      <c r="F11" s="13" t="s">
        <v>440</v>
      </c>
      <c r="G11" s="13" t="s">
        <v>441</v>
      </c>
      <c r="H11" s="13" t="s">
        <v>442</v>
      </c>
      <c r="I11" s="13" t="s">
        <v>423</v>
      </c>
    </row>
    <row r="12" spans="2:9" ht="93.75" customHeight="1" x14ac:dyDescent="0.2">
      <c r="B12" s="2" t="s">
        <v>443</v>
      </c>
      <c r="C12" s="26" t="s">
        <v>315</v>
      </c>
      <c r="D12" s="2" t="s">
        <v>418</v>
      </c>
      <c r="E12" s="2" t="s">
        <v>444</v>
      </c>
      <c r="F12" s="2" t="s">
        <v>445</v>
      </c>
      <c r="G12" s="2" t="s">
        <v>421</v>
      </c>
      <c r="H12" s="2" t="s">
        <v>446</v>
      </c>
      <c r="I12" s="2" t="s">
        <v>423</v>
      </c>
    </row>
    <row r="13" spans="2:9" ht="27.75" customHeight="1" x14ac:dyDescent="0.2">
      <c r="B13" s="2"/>
      <c r="C13" s="26"/>
      <c r="D13" s="2"/>
      <c r="E13" s="2"/>
      <c r="F13" s="2"/>
      <c r="G13" s="2"/>
      <c r="H13" s="2"/>
      <c r="I13" s="2"/>
    </row>
    <row r="14" spans="2:9" ht="27.75" customHeight="1" x14ac:dyDescent="0.2">
      <c r="B14" s="2"/>
      <c r="C14" s="26"/>
      <c r="D14" s="2"/>
      <c r="E14" s="2"/>
      <c r="F14" s="2"/>
      <c r="G14" s="2"/>
      <c r="H14" s="2"/>
      <c r="I14" s="2"/>
    </row>
    <row r="15" spans="2:9" ht="27.75" customHeight="1" x14ac:dyDescent="0.2">
      <c r="B15" s="2"/>
      <c r="C15" s="26"/>
      <c r="D15" s="2"/>
      <c r="E15" s="2"/>
      <c r="F15" s="2"/>
      <c r="G15" s="2"/>
      <c r="H15" s="2"/>
      <c r="I15" s="2"/>
    </row>
    <row r="16" spans="2:9" ht="27.75" customHeight="1" x14ac:dyDescent="0.2">
      <c r="B16" s="2"/>
      <c r="C16" s="26"/>
      <c r="D16" s="2"/>
      <c r="E16" s="2"/>
      <c r="F16" s="2"/>
      <c r="G16" s="2"/>
      <c r="H16" s="2"/>
      <c r="I16" s="2"/>
    </row>
    <row r="17" spans="2:9" ht="27.75" customHeight="1" x14ac:dyDescent="0.2">
      <c r="B17" s="2"/>
      <c r="C17" s="26"/>
      <c r="D17" s="2"/>
      <c r="E17" s="2"/>
      <c r="F17" s="2"/>
      <c r="G17" s="2"/>
      <c r="H17" s="2"/>
      <c r="I17" s="2"/>
    </row>
    <row r="18" spans="2:9" ht="27.75" customHeight="1" x14ac:dyDescent="0.2">
      <c r="B18" s="2"/>
      <c r="C18" s="26"/>
      <c r="D18" s="2"/>
      <c r="E18" s="2"/>
      <c r="F18" s="2"/>
      <c r="G18" s="2"/>
      <c r="H18" s="2"/>
      <c r="I18" s="2"/>
    </row>
    <row r="19" spans="2:9" ht="27.75" customHeight="1" x14ac:dyDescent="0.2">
      <c r="B19" s="2"/>
      <c r="C19" s="26"/>
      <c r="D19" s="2"/>
      <c r="E19" s="2"/>
      <c r="F19" s="2"/>
      <c r="G19" s="2"/>
      <c r="H19" s="2"/>
      <c r="I19" s="2"/>
    </row>
    <row r="20" spans="2:9" ht="27.75" customHeight="1" x14ac:dyDescent="0.2">
      <c r="B20" s="2"/>
      <c r="C20" s="26"/>
      <c r="D20" s="2"/>
      <c r="E20" s="2"/>
      <c r="F20" s="2"/>
      <c r="G20" s="2"/>
      <c r="H20" s="2"/>
      <c r="I20" s="2"/>
    </row>
    <row r="21" spans="2:9" ht="27.75" customHeight="1" x14ac:dyDescent="0.2">
      <c r="B21" s="2"/>
      <c r="C21" s="26"/>
      <c r="D21" s="2"/>
      <c r="E21" s="2"/>
      <c r="F21" s="2"/>
      <c r="G21" s="2"/>
      <c r="H21" s="2"/>
      <c r="I21" s="2"/>
    </row>
    <row r="22" spans="2:9" ht="27.75" customHeight="1" x14ac:dyDescent="0.2">
      <c r="B22" s="2"/>
      <c r="C22" s="26"/>
      <c r="D22" s="2"/>
      <c r="E22" s="2"/>
      <c r="F22" s="2"/>
      <c r="G22" s="2"/>
      <c r="H22" s="2"/>
      <c r="I22" s="2"/>
    </row>
    <row r="23" spans="2:9" ht="16.5" customHeight="1" x14ac:dyDescent="0.2">
      <c r="C23" s="29"/>
    </row>
  </sheetData>
  <dataValidations count="2">
    <dataValidation type="list" allowBlank="1" sqref="D6:D23" xr:uid="{00000000-0002-0000-0700-000000000000}">
      <formula1>"Decision,Change Request — Scope,Change Request — Schedule,Change Request — Budget,Change Request — Resources,Multiple"</formula1>
      <formula2>0</formula2>
    </dataValidation>
    <dataValidation type="list" allowBlank="1" sqref="I6:I23" xr:uid="{00000000-0002-0000-0700-000001000000}">
      <formula1>"Active,Superseded,Reversed,Submitted,Under Review,Approved,Rejected,Implemented"</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J36"/>
  <sheetViews>
    <sheetView showGridLines="0" zoomScaleNormal="100" workbookViewId="0"/>
  </sheetViews>
  <sheetFormatPr baseColWidth="10" defaultColWidth="8.6640625" defaultRowHeight="15" x14ac:dyDescent="0.2"/>
  <cols>
    <col min="1" max="1" width="3" customWidth="1"/>
    <col min="2" max="2" width="8" customWidth="1"/>
    <col min="3" max="3" width="14" customWidth="1"/>
    <col min="4" max="4" width="22" customWidth="1"/>
    <col min="5" max="5" width="36" customWidth="1"/>
    <col min="6" max="6" width="18" customWidth="1"/>
    <col min="7" max="8" width="14" customWidth="1"/>
    <col min="9" max="9" width="18" customWidth="1"/>
    <col min="10" max="10" width="28" customWidth="1"/>
  </cols>
  <sheetData>
    <row r="1" spans="2:10" ht="16.5" customHeight="1" x14ac:dyDescent="0.2"/>
    <row r="2" spans="2:10" ht="27.75" customHeight="1" x14ac:dyDescent="0.2">
      <c r="B2" s="14" t="s">
        <v>447</v>
      </c>
    </row>
    <row r="3" spans="2:10" ht="16.5" customHeight="1" x14ac:dyDescent="0.2">
      <c r="B3" s="15" t="s">
        <v>448</v>
      </c>
    </row>
    <row r="4" spans="2:10" ht="16.5" customHeight="1" x14ac:dyDescent="0.2"/>
    <row r="5" spans="2:10" ht="31.5" customHeight="1" x14ac:dyDescent="0.2">
      <c r="B5" s="9" t="s">
        <v>160</v>
      </c>
      <c r="C5" s="9" t="s">
        <v>167</v>
      </c>
      <c r="D5" s="9" t="s">
        <v>449</v>
      </c>
      <c r="E5" s="9" t="s">
        <v>162</v>
      </c>
      <c r="F5" s="9" t="s">
        <v>166</v>
      </c>
      <c r="G5" s="9" t="s">
        <v>450</v>
      </c>
      <c r="H5" s="9" t="s">
        <v>451</v>
      </c>
      <c r="I5" s="9" t="s">
        <v>33</v>
      </c>
      <c r="J5" s="9" t="s">
        <v>124</v>
      </c>
    </row>
    <row r="6" spans="2:10" ht="54.75" customHeight="1" x14ac:dyDescent="0.2">
      <c r="B6" s="2" t="s">
        <v>452</v>
      </c>
      <c r="C6" s="26" t="s">
        <v>453</v>
      </c>
      <c r="D6" s="2" t="s">
        <v>454</v>
      </c>
      <c r="E6" s="2" t="s">
        <v>455</v>
      </c>
      <c r="F6" s="2" t="s">
        <v>126</v>
      </c>
      <c r="G6" s="26" t="s">
        <v>315</v>
      </c>
      <c r="H6" s="2" t="s">
        <v>173</v>
      </c>
      <c r="I6" s="2" t="s">
        <v>456</v>
      </c>
      <c r="J6" s="2" t="s">
        <v>457</v>
      </c>
    </row>
    <row r="7" spans="2:10" ht="54.75" customHeight="1" x14ac:dyDescent="0.2">
      <c r="B7" s="13" t="s">
        <v>458</v>
      </c>
      <c r="C7" s="28" t="s">
        <v>453</v>
      </c>
      <c r="D7" s="13" t="s">
        <v>454</v>
      </c>
      <c r="E7" s="13" t="s">
        <v>459</v>
      </c>
      <c r="F7" s="13" t="s">
        <v>131</v>
      </c>
      <c r="G7" s="28" t="s">
        <v>460</v>
      </c>
      <c r="H7" s="13" t="s">
        <v>173</v>
      </c>
      <c r="I7" s="13" t="s">
        <v>456</v>
      </c>
      <c r="J7" s="13" t="s">
        <v>461</v>
      </c>
    </row>
    <row r="8" spans="2:10" ht="54.75" customHeight="1" x14ac:dyDescent="0.2">
      <c r="B8" s="2" t="s">
        <v>462</v>
      </c>
      <c r="C8" s="26" t="s">
        <v>315</v>
      </c>
      <c r="D8" s="2" t="s">
        <v>463</v>
      </c>
      <c r="E8" s="2" t="s">
        <v>464</v>
      </c>
      <c r="F8" s="2" t="s">
        <v>400</v>
      </c>
      <c r="G8" s="26" t="s">
        <v>465</v>
      </c>
      <c r="H8" s="2" t="s">
        <v>180</v>
      </c>
      <c r="I8" s="2" t="s">
        <v>456</v>
      </c>
      <c r="J8" s="2" t="s">
        <v>466</v>
      </c>
    </row>
    <row r="9" spans="2:10" ht="54.75" customHeight="1" x14ac:dyDescent="0.2">
      <c r="B9" s="13" t="s">
        <v>467</v>
      </c>
      <c r="C9" s="28" t="s">
        <v>315</v>
      </c>
      <c r="D9" s="13" t="s">
        <v>468</v>
      </c>
      <c r="E9" s="13" t="s">
        <v>469</v>
      </c>
      <c r="F9" s="13" t="s">
        <v>187</v>
      </c>
      <c r="G9" s="28" t="s">
        <v>470</v>
      </c>
      <c r="H9" s="13" t="s">
        <v>180</v>
      </c>
      <c r="I9" s="13" t="s">
        <v>290</v>
      </c>
      <c r="J9" s="13" t="s">
        <v>471</v>
      </c>
    </row>
    <row r="10" spans="2:10" ht="54.75" customHeight="1" x14ac:dyDescent="0.2">
      <c r="B10" s="2" t="s">
        <v>472</v>
      </c>
      <c r="C10" s="26" t="s">
        <v>27</v>
      </c>
      <c r="D10" s="2" t="s">
        <v>454</v>
      </c>
      <c r="E10" s="2" t="s">
        <v>473</v>
      </c>
      <c r="F10" s="2" t="s">
        <v>140</v>
      </c>
      <c r="G10" s="26" t="s">
        <v>474</v>
      </c>
      <c r="H10" s="2" t="s">
        <v>173</v>
      </c>
      <c r="I10" s="2" t="s">
        <v>290</v>
      </c>
      <c r="J10" s="2" t="s">
        <v>475</v>
      </c>
    </row>
    <row r="11" spans="2:10" ht="54.75" customHeight="1" x14ac:dyDescent="0.2">
      <c r="B11" s="13" t="s">
        <v>476</v>
      </c>
      <c r="C11" s="28" t="s">
        <v>27</v>
      </c>
      <c r="D11" s="13" t="s">
        <v>477</v>
      </c>
      <c r="E11" s="13" t="s">
        <v>478</v>
      </c>
      <c r="F11" s="13" t="s">
        <v>400</v>
      </c>
      <c r="G11" s="28" t="s">
        <v>479</v>
      </c>
      <c r="H11" s="13" t="s">
        <v>173</v>
      </c>
      <c r="I11" s="13" t="s">
        <v>202</v>
      </c>
      <c r="J11" s="13" t="s">
        <v>480</v>
      </c>
    </row>
    <row r="12" spans="2:10" ht="54.75" customHeight="1" x14ac:dyDescent="0.2">
      <c r="B12" s="2" t="s">
        <v>481</v>
      </c>
      <c r="C12" s="26" t="s">
        <v>27</v>
      </c>
      <c r="D12" s="2" t="s">
        <v>454</v>
      </c>
      <c r="E12" s="2" t="s">
        <v>482</v>
      </c>
      <c r="F12" s="2" t="s">
        <v>144</v>
      </c>
      <c r="G12" s="26" t="s">
        <v>483</v>
      </c>
      <c r="H12" s="2" t="s">
        <v>180</v>
      </c>
      <c r="I12" s="2" t="s">
        <v>202</v>
      </c>
      <c r="J12" s="2"/>
    </row>
    <row r="13" spans="2:10" ht="27.75" customHeight="1" x14ac:dyDescent="0.2">
      <c r="B13" s="2"/>
      <c r="C13" s="26"/>
      <c r="D13" s="2"/>
      <c r="E13" s="2"/>
      <c r="F13" s="2"/>
      <c r="G13" s="26"/>
      <c r="H13" s="2"/>
      <c r="I13" s="2"/>
      <c r="J13" s="2"/>
    </row>
    <row r="14" spans="2:10" ht="27.75" customHeight="1" x14ac:dyDescent="0.2">
      <c r="B14" s="2"/>
      <c r="C14" s="26"/>
      <c r="D14" s="2"/>
      <c r="E14" s="2"/>
      <c r="F14" s="2"/>
      <c r="G14" s="26"/>
      <c r="H14" s="2"/>
      <c r="I14" s="2"/>
      <c r="J14" s="2"/>
    </row>
    <row r="15" spans="2:10" ht="27.75" customHeight="1" x14ac:dyDescent="0.2">
      <c r="B15" s="2"/>
      <c r="C15" s="26"/>
      <c r="D15" s="2"/>
      <c r="E15" s="2"/>
      <c r="F15" s="2"/>
      <c r="G15" s="26"/>
      <c r="H15" s="2"/>
      <c r="I15" s="2"/>
      <c r="J15" s="2"/>
    </row>
    <row r="16" spans="2:10" ht="27.75" customHeight="1" x14ac:dyDescent="0.2">
      <c r="B16" s="2"/>
      <c r="C16" s="26"/>
      <c r="D16" s="2"/>
      <c r="E16" s="2"/>
      <c r="F16" s="2"/>
      <c r="G16" s="26"/>
      <c r="H16" s="2"/>
      <c r="I16" s="2"/>
      <c r="J16" s="2"/>
    </row>
    <row r="17" spans="2:10" ht="27.75" customHeight="1" x14ac:dyDescent="0.2">
      <c r="B17" s="2"/>
      <c r="C17" s="26"/>
      <c r="D17" s="2"/>
      <c r="E17" s="2"/>
      <c r="F17" s="2"/>
      <c r="G17" s="26"/>
      <c r="H17" s="2"/>
      <c r="I17" s="2"/>
      <c r="J17" s="2"/>
    </row>
    <row r="18" spans="2:10" ht="27.75" customHeight="1" x14ac:dyDescent="0.2">
      <c r="B18" s="2"/>
      <c r="C18" s="26"/>
      <c r="D18" s="2"/>
      <c r="E18" s="2"/>
      <c r="F18" s="2"/>
      <c r="G18" s="26"/>
      <c r="H18" s="2"/>
      <c r="I18" s="2"/>
      <c r="J18" s="2"/>
    </row>
    <row r="19" spans="2:10" ht="27.75" customHeight="1" x14ac:dyDescent="0.2">
      <c r="B19" s="2"/>
      <c r="C19" s="26"/>
      <c r="D19" s="2"/>
      <c r="E19" s="2"/>
      <c r="F19" s="2"/>
      <c r="G19" s="26"/>
      <c r="H19" s="2"/>
      <c r="I19" s="2"/>
      <c r="J19" s="2"/>
    </row>
    <row r="20" spans="2:10" ht="27.75" customHeight="1" x14ac:dyDescent="0.2">
      <c r="B20" s="2"/>
      <c r="C20" s="26"/>
      <c r="D20" s="2"/>
      <c r="E20" s="2"/>
      <c r="F20" s="2"/>
      <c r="G20" s="26"/>
      <c r="H20" s="2"/>
      <c r="I20" s="2"/>
      <c r="J20" s="2"/>
    </row>
    <row r="21" spans="2:10" ht="27.75" customHeight="1" x14ac:dyDescent="0.2">
      <c r="B21" s="2"/>
      <c r="C21" s="26"/>
      <c r="D21" s="2"/>
      <c r="E21" s="2"/>
      <c r="F21" s="2"/>
      <c r="G21" s="26"/>
      <c r="H21" s="2"/>
      <c r="I21" s="2"/>
      <c r="J21" s="2"/>
    </row>
    <row r="22" spans="2:10" ht="27.75" customHeight="1" x14ac:dyDescent="0.2">
      <c r="B22" s="2"/>
      <c r="C22" s="26"/>
      <c r="D22" s="2"/>
      <c r="E22" s="2"/>
      <c r="F22" s="2"/>
      <c r="G22" s="26"/>
      <c r="H22" s="2"/>
      <c r="I22" s="2"/>
      <c r="J22" s="2"/>
    </row>
    <row r="23" spans="2:10" ht="27.75" customHeight="1" x14ac:dyDescent="0.2">
      <c r="B23" s="2"/>
      <c r="C23" s="26"/>
      <c r="D23" s="2"/>
      <c r="E23" s="2"/>
      <c r="F23" s="2"/>
      <c r="G23" s="26"/>
      <c r="H23" s="2"/>
      <c r="I23" s="2"/>
      <c r="J23" s="2"/>
    </row>
    <row r="24" spans="2:10" ht="27.75" customHeight="1" x14ac:dyDescent="0.2">
      <c r="B24" s="2"/>
      <c r="C24" s="26"/>
      <c r="D24" s="2"/>
      <c r="E24" s="2"/>
      <c r="F24" s="2"/>
      <c r="G24" s="26"/>
      <c r="H24" s="2"/>
      <c r="I24" s="2"/>
      <c r="J24" s="2"/>
    </row>
    <row r="25" spans="2:10" ht="27.75" customHeight="1" x14ac:dyDescent="0.2">
      <c r="B25" s="2"/>
      <c r="C25" s="26"/>
      <c r="D25" s="2"/>
      <c r="E25" s="2"/>
      <c r="F25" s="2"/>
      <c r="G25" s="26"/>
      <c r="H25" s="2"/>
      <c r="I25" s="2"/>
      <c r="J25" s="2"/>
    </row>
    <row r="26" spans="2:10" ht="27.75" customHeight="1" x14ac:dyDescent="0.2">
      <c r="B26" s="2"/>
      <c r="C26" s="26"/>
      <c r="D26" s="2"/>
      <c r="E26" s="2"/>
      <c r="F26" s="2"/>
      <c r="G26" s="26"/>
      <c r="H26" s="2"/>
      <c r="I26" s="2"/>
      <c r="J26" s="2"/>
    </row>
    <row r="27" spans="2:10" ht="27.75" customHeight="1" x14ac:dyDescent="0.2">
      <c r="B27" s="2"/>
      <c r="C27" s="26"/>
      <c r="D27" s="2"/>
      <c r="E27" s="2"/>
      <c r="F27" s="2"/>
      <c r="G27" s="26"/>
      <c r="H27" s="2"/>
      <c r="I27" s="2"/>
      <c r="J27" s="2"/>
    </row>
    <row r="28" spans="2:10" ht="16.5" customHeight="1" x14ac:dyDescent="0.2">
      <c r="C28" s="29"/>
      <c r="G28" s="29"/>
    </row>
    <row r="29" spans="2:10" ht="16.5" customHeight="1" x14ac:dyDescent="0.2"/>
    <row r="30" spans="2:10" ht="16.5" customHeight="1" x14ac:dyDescent="0.2"/>
    <row r="31" spans="2:10" ht="16.5" customHeight="1" x14ac:dyDescent="0.2">
      <c r="B31" s="7" t="s">
        <v>153</v>
      </c>
    </row>
    <row r="32" spans="2:10" ht="16.5" customHeight="1" x14ac:dyDescent="0.2"/>
    <row r="33" spans="2:4" ht="16.5" customHeight="1" x14ac:dyDescent="0.2">
      <c r="B33" s="43" t="s">
        <v>484</v>
      </c>
      <c r="C33" s="43"/>
      <c r="D33" s="23">
        <f>COUNTIF(I6:I28,"Open")+COUNTIF(I6:I28,"In Progress")</f>
        <v>4</v>
      </c>
    </row>
    <row r="34" spans="2:4" ht="16.5" customHeight="1" x14ac:dyDescent="0.2">
      <c r="B34" s="43" t="s">
        <v>456</v>
      </c>
      <c r="C34" s="43"/>
      <c r="D34" s="23">
        <f>COUNTIF(I6:I28,"Done")</f>
        <v>3</v>
      </c>
    </row>
    <row r="35" spans="2:4" ht="16.5" customHeight="1" x14ac:dyDescent="0.2">
      <c r="B35" s="43" t="s">
        <v>485</v>
      </c>
      <c r="C35" s="43"/>
      <c r="D35" s="23">
        <f>COUNTIF(I6:I28,"Blocked")</f>
        <v>0</v>
      </c>
    </row>
    <row r="36" spans="2:4" ht="16.5" customHeight="1" x14ac:dyDescent="0.2">
      <c r="B36" s="43" t="s">
        <v>486</v>
      </c>
      <c r="C36" s="43"/>
      <c r="D36" s="23">
        <f>COUNTIF(I6:I28,"Carried Over")</f>
        <v>0</v>
      </c>
    </row>
  </sheetData>
  <mergeCells count="4">
    <mergeCell ref="B33:C33"/>
    <mergeCell ref="B34:C34"/>
    <mergeCell ref="B35:C35"/>
    <mergeCell ref="B36:C36"/>
  </mergeCells>
  <conditionalFormatting sqref="I6:I28">
    <cfRule type="expression" dxfId="8" priority="2">
      <formula>EXACT(I6,"Done")</formula>
    </cfRule>
    <cfRule type="expression" dxfId="7" priority="3">
      <formula>EXACT(I6,"Blocked")</formula>
    </cfRule>
    <cfRule type="expression" dxfId="6" priority="4">
      <formula>OR(EXACT(I6,"In Progress"),EXACT(I6,"Carried Over"))</formula>
    </cfRule>
  </conditionalFormatting>
  <dataValidations count="2">
    <dataValidation type="list" allowBlank="1" sqref="H6:H28" xr:uid="{00000000-0002-0000-0800-000000000000}">
      <formula1>"High,Medium,Low"</formula1>
      <formula2>0</formula2>
    </dataValidation>
    <dataValidation type="list" allowBlank="1" sqref="I6:I28" xr:uid="{00000000-0002-0000-0800-000001000000}">
      <formula1>"Open,In Progress,Done,Blocked,Cancelled,Carried Over"</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B1:L32"/>
  <sheetViews>
    <sheetView showGridLines="0" zoomScaleNormal="100" workbookViewId="0"/>
  </sheetViews>
  <sheetFormatPr baseColWidth="10" defaultColWidth="8.6640625" defaultRowHeight="15" x14ac:dyDescent="0.2"/>
  <cols>
    <col min="1" max="1" width="3" customWidth="1"/>
    <col min="2" max="4" width="18" customWidth="1"/>
    <col min="5" max="6" width="14" customWidth="1"/>
    <col min="7" max="7" width="16" customWidth="1"/>
    <col min="8" max="8" width="14" customWidth="1"/>
    <col min="9" max="10" width="16" customWidth="1"/>
    <col min="11" max="11" width="22" customWidth="1"/>
  </cols>
  <sheetData>
    <row r="1" spans="2:11" ht="16.5" customHeight="1" x14ac:dyDescent="0.2"/>
    <row r="2" spans="2:11" ht="27.75" customHeight="1" x14ac:dyDescent="0.2">
      <c r="B2" s="14" t="s">
        <v>487</v>
      </c>
    </row>
    <row r="3" spans="2:11" ht="16.5" customHeight="1" x14ac:dyDescent="0.2">
      <c r="B3" s="15" t="s">
        <v>488</v>
      </c>
    </row>
    <row r="4" spans="2:11" ht="16.5" customHeight="1" x14ac:dyDescent="0.2"/>
    <row r="5" spans="2:11" ht="36" customHeight="1" x14ac:dyDescent="0.2">
      <c r="B5" s="9" t="s">
        <v>489</v>
      </c>
      <c r="C5" s="9" t="s">
        <v>490</v>
      </c>
      <c r="D5" s="9" t="s">
        <v>491</v>
      </c>
      <c r="E5" s="9" t="s">
        <v>492</v>
      </c>
      <c r="F5" s="9" t="s">
        <v>493</v>
      </c>
      <c r="G5" s="9" t="s">
        <v>494</v>
      </c>
      <c r="H5" s="9" t="s">
        <v>495</v>
      </c>
      <c r="I5" s="9" t="s">
        <v>496</v>
      </c>
      <c r="J5" s="9" t="s">
        <v>497</v>
      </c>
      <c r="K5" s="9" t="s">
        <v>498</v>
      </c>
    </row>
    <row r="6" spans="2:11" ht="64.5" customHeight="1" x14ac:dyDescent="0.2">
      <c r="B6" s="2" t="s">
        <v>499</v>
      </c>
      <c r="C6" s="2" t="s">
        <v>500</v>
      </c>
      <c r="D6" s="2" t="s">
        <v>281</v>
      </c>
      <c r="E6" s="26" t="s">
        <v>501</v>
      </c>
      <c r="F6" s="17">
        <v>480000</v>
      </c>
      <c r="G6" s="2" t="s">
        <v>35</v>
      </c>
      <c r="H6" s="2" t="s">
        <v>502</v>
      </c>
      <c r="I6" s="26" t="s">
        <v>503</v>
      </c>
      <c r="J6" s="2" t="s">
        <v>504</v>
      </c>
      <c r="K6" s="2" t="s">
        <v>505</v>
      </c>
    </row>
    <row r="7" spans="2:11" ht="64.5" customHeight="1" x14ac:dyDescent="0.2">
      <c r="B7" s="13" t="s">
        <v>506</v>
      </c>
      <c r="C7" s="13" t="s">
        <v>507</v>
      </c>
      <c r="D7" s="13" t="s">
        <v>298</v>
      </c>
      <c r="E7" s="28" t="s">
        <v>508</v>
      </c>
      <c r="F7" s="36">
        <v>720000</v>
      </c>
      <c r="G7" s="13" t="s">
        <v>23</v>
      </c>
      <c r="H7" s="13" t="s">
        <v>509</v>
      </c>
      <c r="I7" s="28" t="s">
        <v>175</v>
      </c>
      <c r="J7" s="13" t="s">
        <v>510</v>
      </c>
      <c r="K7" s="13" t="s">
        <v>511</v>
      </c>
    </row>
    <row r="8" spans="2:11" ht="64.5" customHeight="1" x14ac:dyDescent="0.2">
      <c r="B8" s="2" t="s">
        <v>512</v>
      </c>
      <c r="C8" s="2" t="s">
        <v>513</v>
      </c>
      <c r="D8" s="2" t="s">
        <v>314</v>
      </c>
      <c r="E8" s="26" t="s">
        <v>514</v>
      </c>
      <c r="F8" s="17">
        <v>540000</v>
      </c>
      <c r="G8" s="2" t="s">
        <v>35</v>
      </c>
      <c r="H8" s="2" t="s">
        <v>515</v>
      </c>
      <c r="I8" s="26" t="s">
        <v>516</v>
      </c>
      <c r="J8" s="2" t="s">
        <v>517</v>
      </c>
      <c r="K8" s="2" t="s">
        <v>518</v>
      </c>
    </row>
    <row r="9" spans="2:11" ht="64.5" customHeight="1" x14ac:dyDescent="0.2">
      <c r="B9" s="13" t="s">
        <v>519</v>
      </c>
      <c r="C9" s="13" t="s">
        <v>520</v>
      </c>
      <c r="D9" s="13" t="s">
        <v>325</v>
      </c>
      <c r="E9" s="28" t="s">
        <v>521</v>
      </c>
      <c r="F9" s="36">
        <v>180000</v>
      </c>
      <c r="G9" s="13" t="s">
        <v>38</v>
      </c>
      <c r="H9" s="13" t="s">
        <v>522</v>
      </c>
      <c r="I9" s="28" t="s">
        <v>289</v>
      </c>
      <c r="J9" s="13" t="s">
        <v>523</v>
      </c>
      <c r="K9" s="13" t="s">
        <v>524</v>
      </c>
    </row>
    <row r="10" spans="2:11" ht="64.5" customHeight="1" x14ac:dyDescent="0.2">
      <c r="B10" s="2" t="s">
        <v>525</v>
      </c>
      <c r="C10" s="2" t="s">
        <v>526</v>
      </c>
      <c r="D10" s="2" t="s">
        <v>143</v>
      </c>
      <c r="E10" s="26" t="s">
        <v>527</v>
      </c>
      <c r="F10" s="17">
        <v>0</v>
      </c>
      <c r="G10" s="2" t="s">
        <v>194</v>
      </c>
      <c r="H10" s="2" t="s">
        <v>194</v>
      </c>
      <c r="I10" s="26" t="s">
        <v>194</v>
      </c>
      <c r="J10" s="2" t="s">
        <v>528</v>
      </c>
      <c r="K10" s="2" t="s">
        <v>529</v>
      </c>
    </row>
    <row r="11" spans="2:11" ht="64.5" customHeight="1" x14ac:dyDescent="0.2">
      <c r="B11" s="13" t="s">
        <v>530</v>
      </c>
      <c r="C11" s="13" t="s">
        <v>531</v>
      </c>
      <c r="D11" s="13" t="s">
        <v>532</v>
      </c>
      <c r="E11" s="28" t="s">
        <v>521</v>
      </c>
      <c r="F11" s="36">
        <v>450000</v>
      </c>
      <c r="G11" s="13" t="s">
        <v>35</v>
      </c>
      <c r="H11" s="13" t="s">
        <v>502</v>
      </c>
      <c r="I11" s="28" t="s">
        <v>533</v>
      </c>
      <c r="J11" s="13" t="s">
        <v>534</v>
      </c>
      <c r="K11" s="13" t="s">
        <v>535</v>
      </c>
    </row>
    <row r="12" spans="2:11" ht="27.75" customHeight="1" x14ac:dyDescent="0.2">
      <c r="B12" s="2"/>
      <c r="C12" s="2"/>
      <c r="D12" s="2"/>
      <c r="E12" s="26"/>
      <c r="F12" s="17"/>
      <c r="G12" s="2"/>
      <c r="H12" s="2"/>
      <c r="I12" s="26"/>
      <c r="J12" s="2"/>
      <c r="K12" s="2"/>
    </row>
    <row r="13" spans="2:11" ht="27.75" customHeight="1" x14ac:dyDescent="0.2">
      <c r="B13" s="2"/>
      <c r="C13" s="2"/>
      <c r="D13" s="2"/>
      <c r="E13" s="26"/>
      <c r="F13" s="17"/>
      <c r="G13" s="2"/>
      <c r="H13" s="2"/>
      <c r="I13" s="26"/>
      <c r="J13" s="2"/>
      <c r="K13" s="2"/>
    </row>
    <row r="14" spans="2:11" ht="27.75" customHeight="1" x14ac:dyDescent="0.2">
      <c r="B14" s="2"/>
      <c r="C14" s="2"/>
      <c r="D14" s="2"/>
      <c r="E14" s="26"/>
      <c r="F14" s="17"/>
      <c r="G14" s="2"/>
      <c r="H14" s="2"/>
      <c r="I14" s="26"/>
      <c r="J14" s="2"/>
      <c r="K14" s="2"/>
    </row>
    <row r="15" spans="2:11" ht="27.75" customHeight="1" x14ac:dyDescent="0.2">
      <c r="B15" s="2"/>
      <c r="C15" s="2"/>
      <c r="D15" s="2"/>
      <c r="E15" s="26"/>
      <c r="F15" s="17"/>
      <c r="G15" s="2"/>
      <c r="H15" s="2"/>
      <c r="I15" s="26"/>
      <c r="J15" s="2"/>
      <c r="K15" s="2"/>
    </row>
    <row r="16" spans="2:11" ht="27.75" customHeight="1" x14ac:dyDescent="0.2">
      <c r="B16" s="2"/>
      <c r="C16" s="2"/>
      <c r="D16" s="2"/>
      <c r="E16" s="26"/>
      <c r="F16" s="17"/>
      <c r="G16" s="2"/>
      <c r="H16" s="2"/>
      <c r="I16" s="26"/>
      <c r="J16" s="2"/>
      <c r="K16" s="2"/>
    </row>
    <row r="17" spans="2:12" ht="27.75" customHeight="1" x14ac:dyDescent="0.2">
      <c r="B17" s="2"/>
      <c r="C17" s="2"/>
      <c r="D17" s="2"/>
      <c r="E17" s="26"/>
      <c r="F17" s="17"/>
      <c r="G17" s="2"/>
      <c r="H17" s="2"/>
      <c r="I17" s="26"/>
      <c r="J17" s="2"/>
      <c r="K17" s="2"/>
    </row>
    <row r="18" spans="2:12" ht="27.75" customHeight="1" x14ac:dyDescent="0.2">
      <c r="B18" s="2"/>
      <c r="C18" s="2"/>
      <c r="D18" s="2"/>
      <c r="E18" s="26"/>
      <c r="F18" s="17"/>
      <c r="G18" s="2"/>
      <c r="H18" s="2"/>
      <c r="I18" s="26"/>
      <c r="J18" s="2"/>
      <c r="K18" s="2"/>
    </row>
    <row r="19" spans="2:12" ht="27.75" customHeight="1" x14ac:dyDescent="0.2">
      <c r="B19" s="2"/>
      <c r="C19" s="2"/>
      <c r="D19" s="2"/>
      <c r="E19" s="26"/>
      <c r="F19" s="17"/>
      <c r="G19" s="2"/>
      <c r="H19" s="2"/>
      <c r="I19" s="26"/>
      <c r="J19" s="2"/>
      <c r="K19" s="2"/>
    </row>
    <row r="20" spans="2:12" ht="27.75" customHeight="1" x14ac:dyDescent="0.2">
      <c r="B20" s="2"/>
      <c r="C20" s="2"/>
      <c r="D20" s="2"/>
      <c r="E20" s="26"/>
      <c r="F20" s="17"/>
      <c r="G20" s="2"/>
      <c r="H20" s="2"/>
      <c r="I20" s="26"/>
      <c r="J20" s="2"/>
      <c r="K20" s="2"/>
    </row>
    <row r="21" spans="2:12" ht="27.75" customHeight="1" x14ac:dyDescent="0.2">
      <c r="B21" s="2"/>
      <c r="C21" s="2"/>
      <c r="D21" s="2"/>
      <c r="E21" s="26"/>
      <c r="F21" s="17"/>
      <c r="G21" s="2"/>
      <c r="H21" s="2"/>
      <c r="I21" s="26"/>
      <c r="J21" s="2"/>
      <c r="K21" s="2"/>
    </row>
    <row r="22" spans="2:12" ht="16.5" customHeight="1" x14ac:dyDescent="0.2">
      <c r="E22" s="29"/>
      <c r="F22" s="37"/>
      <c r="I22" s="29"/>
    </row>
    <row r="23" spans="2:12" ht="16.5" customHeight="1" x14ac:dyDescent="0.2"/>
    <row r="24" spans="2:12" ht="16.5" customHeight="1" x14ac:dyDescent="0.2"/>
    <row r="25" spans="2:12" ht="16.5" customHeight="1" x14ac:dyDescent="0.2">
      <c r="B25" s="7" t="s">
        <v>153</v>
      </c>
    </row>
    <row r="26" spans="2:12" ht="16.5" customHeight="1" x14ac:dyDescent="0.2"/>
    <row r="27" spans="2:12" ht="16.5" customHeight="1" x14ac:dyDescent="0.2">
      <c r="B27" s="43" t="s">
        <v>536</v>
      </c>
      <c r="C27" s="43"/>
      <c r="D27" s="38">
        <f>SUM(F6:F22)</f>
        <v>2370000</v>
      </c>
    </row>
    <row r="28" spans="2:12" ht="16.5" customHeight="1" x14ac:dyDescent="0.2">
      <c r="B28" s="43" t="s">
        <v>537</v>
      </c>
      <c r="C28" s="43"/>
      <c r="D28" s="23">
        <f>COUNTIF(H6:H22,"&lt;&gt;0")-COUNTIF(H6:H22,"—")</f>
        <v>16</v>
      </c>
    </row>
    <row r="29" spans="2:12" ht="16.5" customHeight="1" x14ac:dyDescent="0.2"/>
    <row r="30" spans="2:12" ht="16.5" customHeight="1" x14ac:dyDescent="0.2"/>
    <row r="31" spans="2:12" ht="16.5" customHeight="1" x14ac:dyDescent="0.2">
      <c r="B31" s="7" t="s">
        <v>538</v>
      </c>
    </row>
    <row r="32" spans="2:12" ht="39.75" customHeight="1" x14ac:dyDescent="0.2">
      <c r="B32" s="41" t="s">
        <v>539</v>
      </c>
      <c r="C32" s="41"/>
      <c r="D32" s="41"/>
      <c r="E32" s="41"/>
      <c r="F32" s="41"/>
      <c r="G32" s="41"/>
      <c r="H32" s="41"/>
      <c r="I32" s="41"/>
      <c r="J32" s="41"/>
      <c r="K32" s="41"/>
      <c r="L32" s="41"/>
    </row>
  </sheetData>
  <mergeCells count="3">
    <mergeCell ref="B27:C27"/>
    <mergeCell ref="B28:C28"/>
    <mergeCell ref="B32:L32"/>
  </mergeCells>
  <conditionalFormatting sqref="G6:G22">
    <cfRule type="expression" dxfId="5" priority="2">
      <formula>EXACT(G6,"On-Track")</formula>
    </cfRule>
    <cfRule type="expression" dxfId="4" priority="3">
      <formula>EXACT(G6,"At-Risk")</formula>
    </cfRule>
    <cfRule type="expression" dxfId="3" priority="4">
      <formula>EXACT(G6,"Off-Track")</formula>
    </cfRule>
  </conditionalFormatting>
  <dataValidations count="1">
    <dataValidation type="list" allowBlank="1" sqref="G6:G22" xr:uid="{00000000-0002-0000-0900-000000000000}">
      <formula1>"On-Track,At-Risk,Off-Track,—"</formula1>
      <formula2>0</formula2>
    </dataValidation>
  </dataValidations>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B1:H12"/>
  <sheetViews>
    <sheetView showGridLines="0" zoomScaleNormal="100" workbookViewId="0"/>
  </sheetViews>
  <sheetFormatPr baseColWidth="10" defaultColWidth="8.6640625" defaultRowHeight="15" x14ac:dyDescent="0.2"/>
  <cols>
    <col min="1" max="1" width="3" customWidth="1"/>
    <col min="2" max="2" width="30" customWidth="1"/>
    <col min="3" max="3" width="22" customWidth="1"/>
    <col min="4" max="4" width="18" customWidth="1"/>
    <col min="5" max="7" width="22" customWidth="1"/>
    <col min="8" max="8" width="28" customWidth="1"/>
  </cols>
  <sheetData>
    <row r="1" spans="2:8" ht="16.5" customHeight="1" x14ac:dyDescent="0.2"/>
    <row r="2" spans="2:8" ht="27.75" customHeight="1" x14ac:dyDescent="0.2">
      <c r="B2" s="14" t="s">
        <v>540</v>
      </c>
    </row>
    <row r="3" spans="2:8" ht="16.5" customHeight="1" x14ac:dyDescent="0.2">
      <c r="B3" s="15" t="s">
        <v>541</v>
      </c>
    </row>
    <row r="4" spans="2:8" ht="16.5" customHeight="1" x14ac:dyDescent="0.2"/>
    <row r="5" spans="2:8" ht="36" customHeight="1" x14ac:dyDescent="0.2">
      <c r="B5" s="9" t="s">
        <v>542</v>
      </c>
      <c r="C5" s="9" t="s">
        <v>543</v>
      </c>
      <c r="D5" s="9" t="s">
        <v>544</v>
      </c>
      <c r="E5" s="9" t="s">
        <v>545</v>
      </c>
      <c r="F5" s="9" t="s">
        <v>546</v>
      </c>
      <c r="G5" s="9" t="s">
        <v>547</v>
      </c>
      <c r="H5" s="9" t="s">
        <v>124</v>
      </c>
    </row>
    <row r="6" spans="2:8" ht="79.5" customHeight="1" x14ac:dyDescent="0.2">
      <c r="B6" s="2" t="s">
        <v>548</v>
      </c>
      <c r="C6" s="2" t="s">
        <v>233</v>
      </c>
      <c r="D6" s="2" t="s">
        <v>549</v>
      </c>
      <c r="E6" s="2" t="s">
        <v>550</v>
      </c>
      <c r="F6" s="2" t="s">
        <v>551</v>
      </c>
      <c r="G6" s="2" t="s">
        <v>552</v>
      </c>
      <c r="H6" s="2" t="s">
        <v>553</v>
      </c>
    </row>
    <row r="7" spans="2:8" ht="79.5" customHeight="1" x14ac:dyDescent="0.2">
      <c r="B7" s="13" t="s">
        <v>554</v>
      </c>
      <c r="C7" s="13" t="s">
        <v>555</v>
      </c>
      <c r="D7" s="13" t="s">
        <v>556</v>
      </c>
      <c r="E7" s="13" t="s">
        <v>557</v>
      </c>
      <c r="F7" s="13" t="s">
        <v>558</v>
      </c>
      <c r="G7" s="13" t="s">
        <v>559</v>
      </c>
      <c r="H7" s="13" t="s">
        <v>560</v>
      </c>
    </row>
    <row r="8" spans="2:8" ht="79.5" customHeight="1" x14ac:dyDescent="0.2">
      <c r="B8" s="2" t="s">
        <v>561</v>
      </c>
      <c r="C8" s="2" t="s">
        <v>239</v>
      </c>
      <c r="D8" s="2" t="s">
        <v>562</v>
      </c>
      <c r="E8" s="2" t="s">
        <v>563</v>
      </c>
      <c r="F8" s="2" t="s">
        <v>564</v>
      </c>
      <c r="G8" s="2" t="s">
        <v>552</v>
      </c>
      <c r="H8" s="2" t="s">
        <v>565</v>
      </c>
    </row>
    <row r="9" spans="2:8" ht="79.5" customHeight="1" x14ac:dyDescent="0.2">
      <c r="B9" s="13" t="s">
        <v>566</v>
      </c>
      <c r="C9" s="13" t="s">
        <v>567</v>
      </c>
      <c r="D9" s="13" t="s">
        <v>568</v>
      </c>
      <c r="E9" s="13" t="s">
        <v>569</v>
      </c>
      <c r="F9" s="13" t="s">
        <v>570</v>
      </c>
      <c r="G9" s="13" t="s">
        <v>571</v>
      </c>
      <c r="H9" s="13" t="s">
        <v>572</v>
      </c>
    </row>
    <row r="10" spans="2:8" ht="79.5" customHeight="1" x14ac:dyDescent="0.2">
      <c r="B10" s="2" t="s">
        <v>573</v>
      </c>
      <c r="C10" s="2" t="s">
        <v>574</v>
      </c>
      <c r="D10" s="2" t="s">
        <v>575</v>
      </c>
      <c r="E10" s="2" t="s">
        <v>576</v>
      </c>
      <c r="F10" s="2" t="s">
        <v>577</v>
      </c>
      <c r="G10" s="2" t="s">
        <v>578</v>
      </c>
      <c r="H10" s="2" t="s">
        <v>579</v>
      </c>
    </row>
    <row r="11" spans="2:8" ht="79.5" customHeight="1" x14ac:dyDescent="0.2">
      <c r="B11" s="13" t="s">
        <v>580</v>
      </c>
      <c r="C11" s="13" t="s">
        <v>581</v>
      </c>
      <c r="D11" s="13" t="s">
        <v>582</v>
      </c>
      <c r="E11" s="13" t="s">
        <v>583</v>
      </c>
      <c r="F11" s="13" t="s">
        <v>584</v>
      </c>
      <c r="G11" s="13" t="s">
        <v>585</v>
      </c>
      <c r="H11" s="13" t="s">
        <v>586</v>
      </c>
    </row>
    <row r="12" spans="2:8" ht="79.5" customHeight="1" x14ac:dyDescent="0.2">
      <c r="B12" s="2" t="s">
        <v>587</v>
      </c>
      <c r="C12" s="2" t="s">
        <v>233</v>
      </c>
      <c r="D12" s="2" t="s">
        <v>588</v>
      </c>
      <c r="E12" s="2" t="s">
        <v>589</v>
      </c>
      <c r="F12" s="2" t="s">
        <v>590</v>
      </c>
      <c r="G12" s="2" t="s">
        <v>591</v>
      </c>
      <c r="H12" s="2" t="s">
        <v>592</v>
      </c>
    </row>
  </sheetData>
  <dataValidations count="1">
    <dataValidation type="list" allowBlank="1" sqref="D6:D20" xr:uid="{00000000-0002-0000-0A00-000000000000}">
      <formula1>"On launch,On launch + 3 mo,6 months post-launch,12 months post-launch,On Phase 1 completion,On Phase 2 completion,Multiple,Other"</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B1:I21"/>
  <sheetViews>
    <sheetView showGridLines="0" zoomScaleNormal="100" workbookViewId="0"/>
  </sheetViews>
  <sheetFormatPr baseColWidth="10" defaultColWidth="8.6640625" defaultRowHeight="15" x14ac:dyDescent="0.2"/>
  <cols>
    <col min="1" max="1" width="3" customWidth="1"/>
    <col min="2" max="4" width="14" customWidth="1"/>
    <col min="5" max="5" width="12" customWidth="1"/>
    <col min="6" max="9" width="32" customWidth="1"/>
  </cols>
  <sheetData>
    <row r="1" spans="2:9" ht="16.5" customHeight="1" x14ac:dyDescent="0.2"/>
    <row r="2" spans="2:9" ht="27.75" customHeight="1" x14ac:dyDescent="0.2">
      <c r="B2" s="14" t="s">
        <v>593</v>
      </c>
    </row>
    <row r="3" spans="2:9" ht="16.5" customHeight="1" x14ac:dyDescent="0.2">
      <c r="B3" s="15" t="s">
        <v>594</v>
      </c>
    </row>
    <row r="4" spans="2:9" ht="16.5" customHeight="1" x14ac:dyDescent="0.2"/>
    <row r="5" spans="2:9" ht="36" customHeight="1" x14ac:dyDescent="0.2">
      <c r="B5" s="9" t="s">
        <v>595</v>
      </c>
      <c r="C5" s="9" t="s">
        <v>596</v>
      </c>
      <c r="D5" s="9" t="s">
        <v>597</v>
      </c>
      <c r="E5" s="9" t="s">
        <v>598</v>
      </c>
      <c r="F5" s="9" t="s">
        <v>599</v>
      </c>
      <c r="G5" s="9" t="s">
        <v>600</v>
      </c>
      <c r="H5" s="9" t="s">
        <v>601</v>
      </c>
      <c r="I5" s="9" t="s">
        <v>602</v>
      </c>
    </row>
    <row r="6" spans="2:9" ht="109.5" customHeight="1" x14ac:dyDescent="0.2">
      <c r="B6" s="26" t="s">
        <v>603</v>
      </c>
      <c r="C6" s="2" t="s">
        <v>604</v>
      </c>
      <c r="D6" s="2" t="s">
        <v>400</v>
      </c>
      <c r="E6" s="2" t="s">
        <v>23</v>
      </c>
      <c r="F6" s="2" t="s">
        <v>605</v>
      </c>
      <c r="G6" s="2" t="s">
        <v>606</v>
      </c>
      <c r="H6" s="2" t="s">
        <v>607</v>
      </c>
      <c r="I6" s="2" t="s">
        <v>608</v>
      </c>
    </row>
    <row r="7" spans="2:9" ht="109.5" customHeight="1" x14ac:dyDescent="0.2">
      <c r="B7" s="28" t="s">
        <v>609</v>
      </c>
      <c r="C7" s="13" t="s">
        <v>610</v>
      </c>
      <c r="D7" s="13" t="s">
        <v>400</v>
      </c>
      <c r="E7" s="13" t="s">
        <v>23</v>
      </c>
      <c r="F7" s="13" t="s">
        <v>611</v>
      </c>
      <c r="G7" s="13" t="s">
        <v>612</v>
      </c>
      <c r="H7" s="13" t="s">
        <v>613</v>
      </c>
      <c r="I7" s="13" t="s">
        <v>614</v>
      </c>
    </row>
    <row r="8" spans="2:9" ht="124.5" customHeight="1" x14ac:dyDescent="0.2">
      <c r="B8" s="26" t="s">
        <v>27</v>
      </c>
      <c r="C8" s="2" t="s">
        <v>615</v>
      </c>
      <c r="D8" s="2" t="s">
        <v>400</v>
      </c>
      <c r="E8" s="2" t="s">
        <v>23</v>
      </c>
      <c r="F8" s="2" t="s">
        <v>616</v>
      </c>
      <c r="G8" s="2" t="s">
        <v>617</v>
      </c>
      <c r="H8" s="2" t="s">
        <v>618</v>
      </c>
      <c r="I8" s="2" t="s">
        <v>619</v>
      </c>
    </row>
    <row r="9" spans="2:9" ht="60" customHeight="1" x14ac:dyDescent="0.2">
      <c r="B9" s="26"/>
      <c r="C9" s="2"/>
      <c r="D9" s="2"/>
      <c r="E9" s="2"/>
      <c r="F9" s="2"/>
      <c r="G9" s="2"/>
      <c r="H9" s="2"/>
      <c r="I9" s="2"/>
    </row>
    <row r="10" spans="2:9" ht="60" customHeight="1" x14ac:dyDescent="0.2">
      <c r="B10" s="26"/>
      <c r="C10" s="2"/>
      <c r="D10" s="2"/>
      <c r="E10" s="2"/>
      <c r="F10" s="2"/>
      <c r="G10" s="2"/>
      <c r="H10" s="2"/>
      <c r="I10" s="2"/>
    </row>
    <row r="11" spans="2:9" ht="60" customHeight="1" x14ac:dyDescent="0.2">
      <c r="B11" s="26"/>
      <c r="C11" s="2"/>
      <c r="D11" s="2"/>
      <c r="E11" s="2"/>
      <c r="F11" s="2"/>
      <c r="G11" s="2"/>
      <c r="H11" s="2"/>
      <c r="I11" s="2"/>
    </row>
    <row r="12" spans="2:9" ht="60" customHeight="1" x14ac:dyDescent="0.2">
      <c r="B12" s="26"/>
      <c r="C12" s="2"/>
      <c r="D12" s="2"/>
      <c r="E12" s="2"/>
      <c r="F12" s="2"/>
      <c r="G12" s="2"/>
      <c r="H12" s="2"/>
      <c r="I12" s="2"/>
    </row>
    <row r="13" spans="2:9" ht="60" customHeight="1" x14ac:dyDescent="0.2">
      <c r="B13" s="26"/>
      <c r="C13" s="2"/>
      <c r="D13" s="2"/>
      <c r="E13" s="2"/>
      <c r="F13" s="2"/>
      <c r="G13" s="2"/>
      <c r="H13" s="2"/>
      <c r="I13" s="2"/>
    </row>
    <row r="14" spans="2:9" ht="60" customHeight="1" x14ac:dyDescent="0.2">
      <c r="B14" s="26"/>
      <c r="C14" s="2"/>
      <c r="D14" s="2"/>
      <c r="E14" s="2"/>
      <c r="F14" s="2"/>
      <c r="G14" s="2"/>
      <c r="H14" s="2"/>
      <c r="I14" s="2"/>
    </row>
    <row r="15" spans="2:9" ht="60" customHeight="1" x14ac:dyDescent="0.2">
      <c r="B15" s="26"/>
      <c r="C15" s="2"/>
      <c r="D15" s="2"/>
      <c r="E15" s="2"/>
      <c r="F15" s="2"/>
      <c r="G15" s="2"/>
      <c r="H15" s="2"/>
      <c r="I15" s="2"/>
    </row>
    <row r="16" spans="2:9" ht="60" customHeight="1" x14ac:dyDescent="0.2">
      <c r="B16" s="26"/>
      <c r="C16" s="2"/>
      <c r="D16" s="2"/>
      <c r="E16" s="2"/>
      <c r="F16" s="2"/>
      <c r="G16" s="2"/>
      <c r="H16" s="2"/>
      <c r="I16" s="2"/>
    </row>
    <row r="17" spans="2:9" ht="60" customHeight="1" x14ac:dyDescent="0.2">
      <c r="B17" s="26"/>
      <c r="C17" s="2"/>
      <c r="D17" s="2"/>
      <c r="E17" s="2"/>
      <c r="F17" s="2"/>
      <c r="G17" s="2"/>
      <c r="H17" s="2"/>
      <c r="I17" s="2"/>
    </row>
    <row r="18" spans="2:9" ht="60" customHeight="1" x14ac:dyDescent="0.2">
      <c r="B18" s="26"/>
      <c r="C18" s="2"/>
      <c r="D18" s="2"/>
      <c r="E18" s="2"/>
      <c r="F18" s="2"/>
      <c r="G18" s="2"/>
      <c r="H18" s="2"/>
      <c r="I18" s="2"/>
    </row>
    <row r="19" spans="2:9" ht="60" customHeight="1" x14ac:dyDescent="0.2">
      <c r="B19" s="26"/>
      <c r="C19" s="2"/>
      <c r="D19" s="2"/>
      <c r="E19" s="2"/>
      <c r="F19" s="2"/>
      <c r="G19" s="2"/>
      <c r="H19" s="2"/>
      <c r="I19" s="2"/>
    </row>
    <row r="20" spans="2:9" ht="60" customHeight="1" x14ac:dyDescent="0.2">
      <c r="B20" s="26"/>
      <c r="C20" s="2"/>
      <c r="D20" s="2"/>
      <c r="E20" s="2"/>
      <c r="F20" s="2"/>
      <c r="G20" s="2"/>
      <c r="H20" s="2"/>
      <c r="I20" s="2"/>
    </row>
    <row r="21" spans="2:9" ht="60" customHeight="1" x14ac:dyDescent="0.2">
      <c r="B21" s="29"/>
    </row>
  </sheetData>
  <conditionalFormatting sqref="E6:E21">
    <cfRule type="expression" dxfId="2" priority="2">
      <formula>EXACT(E6,"Off-Track")</formula>
    </cfRule>
    <cfRule type="expression" dxfId="1" priority="3">
      <formula>EXACT(E6,"At-Risk")</formula>
    </cfRule>
    <cfRule type="expression" dxfId="0" priority="4">
      <formula>EXACT(E6,"On-Track")</formula>
    </cfRule>
  </conditionalFormatting>
  <dataValidations count="1">
    <dataValidation type="list" allowBlank="1" sqref="E6:E21" xr:uid="{00000000-0002-0000-0B00-000000000000}">
      <formula1>"On-Track,At-Risk,Off-Track"</formula1>
      <formula2>0</formula2>
    </dataValidation>
  </dataValidation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Cover</vt:lpstr>
      <vt:lpstr>Components</vt:lpstr>
      <vt:lpstr>Program RAID</vt:lpstr>
      <vt:lpstr>Cross-Component Deps</vt:lpstr>
      <vt:lpstr>Program Schedule</vt:lpstr>
      <vt:lpstr>Program Budget</vt:lpstr>
      <vt:lpstr>Resource Conflicts</vt:lpstr>
      <vt:lpstr>Decisions &amp; Changes</vt:lpstr>
      <vt:lpstr>Action Items</vt:lpstr>
      <vt:lpstr>Vendor Management</vt:lpstr>
      <vt:lpstr>Benefits Realization</vt:lpstr>
      <vt:lpstr>Status Reports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Candice Williams</cp:lastModifiedBy>
  <cp:revision>0</cp:revision>
  <dcterms:created xsi:type="dcterms:W3CDTF">2026-04-28T01:50:12Z</dcterms:created>
  <dcterms:modified xsi:type="dcterms:W3CDTF">2026-05-03T21:56:05Z</dcterms:modified>
  <cp:category/>
  <dc:language>en-US</dc:language>
</cp:coreProperties>
</file>