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mponents" sheetId="2" state="visible" r:id="rId4"/>
    <sheet name="Program RAID" sheetId="3" state="visible" r:id="rId5"/>
    <sheet name="Cross-Component Deps" sheetId="4" state="visible" r:id="rId6"/>
    <sheet name="Program Schedule" sheetId="5" state="visible" r:id="rId7"/>
    <sheet name="Program Budget" sheetId="6" state="visible" r:id="rId8"/>
    <sheet name="Resource Conflicts" sheetId="7" state="visible" r:id="rId9"/>
    <sheet name="Decisions &amp; Changes" sheetId="8" state="visible" r:id="rId10"/>
    <sheet name="Action Items" sheetId="9" state="visible" r:id="rId11"/>
    <sheet name="Vendor Management" sheetId="10" state="visible" r:id="rId12"/>
    <sheet name="Benefits Realization" sheetId="11" state="visible" r:id="rId13"/>
    <sheet name="Status Report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<sst xmlns="http://schemas.openxmlformats.org/spreadsheetml/2006/main" count="874" uniqueCount="620">
  <si>
    <t xml:space="preserve">Program Workbook — Project Atlas</t>
  </si>
  <si>
    <t xml:space="preserve">Worked example: Zero Trust Network Access &amp; Identity Modernization Program</t>
  </si>
  <si>
    <t xml:space="preserve">Document version: v1.2 — 2026-04-27</t>
  </si>
  <si>
    <t xml:space="preserve">Program Identification</t>
  </si>
  <si>
    <t xml:space="preserve">Program name</t>
  </si>
  <si>
    <t xml:space="preserve">Project Atlas</t>
  </si>
  <si>
    <t xml:space="preserve">Program ID</t>
  </si>
  <si>
    <t xml:space="preserve">PROG-2026-001</t>
  </si>
  <si>
    <t xml:space="preserve">Strategic theme</t>
  </si>
  <si>
    <t xml:space="preserve">Zero Trust Security &amp; Identity Modernization</t>
  </si>
  <si>
    <t xml:space="preserve">Executive sponsor</t>
  </si>
  <si>
    <t xml:space="preserve">Sandra Park, CISO</t>
  </si>
  <si>
    <t xml:space="preserve">Program manager</t>
  </si>
  <si>
    <t xml:space="preserve">Senior Security PM (you)</t>
  </si>
  <si>
    <t xml:space="preserve">Start date</t>
  </si>
  <si>
    <t xml:space="preserve">2026-01-15</t>
  </si>
  <si>
    <t xml:space="preserve">Target end date</t>
  </si>
  <si>
    <t xml:space="preserve">2027-09-30</t>
  </si>
  <si>
    <t xml:space="preserve">Total program budget</t>
  </si>
  <si>
    <t xml:space="preserve">$8,400,000</t>
  </si>
  <si>
    <t xml:space="preserve">Component count</t>
  </si>
  <si>
    <t xml:space="preserve">5 initiatives</t>
  </si>
  <si>
    <t xml:space="preserve">Current overall status</t>
  </si>
  <si>
    <t xml:space="preserve">At-Risk</t>
  </si>
  <si>
    <t xml:space="preserve">Status rationale</t>
  </si>
  <si>
    <t xml:space="preserve">Two components At-Risk: ZTNA Rollout (dev tool latency for 10% of users — under remediation) and MFA Hardening (FIDO2 hardware lead time delay — hybrid platform-authenticator approach approved per DC-005). Other 3 components On-Track. Program timeline currently holding. See Status Reports tab for weekly detail.</t>
  </si>
  <si>
    <t xml:space="preserve">Last status update</t>
  </si>
  <si>
    <t xml:space="preserve">2026-04-21</t>
  </si>
  <si>
    <t xml:space="preserve">Driver</t>
  </si>
  <si>
    <t xml:space="preserve">SOC 2 Type II audit findings + 2025 insider threat incident</t>
  </si>
  <si>
    <t xml:space="preserve">Regulatory drivers</t>
  </si>
  <si>
    <t xml:space="preserve">SOX, GLBA, state privacy laws</t>
  </si>
  <si>
    <t xml:space="preserve">What On-Track / At-Risk / Off-Track mean for this program</t>
  </si>
  <si>
    <t xml:space="preserve">Status</t>
  </si>
  <si>
    <t xml:space="preserve">Definition for Project Atlas</t>
  </si>
  <si>
    <t xml:space="preserve">On-Track</t>
  </si>
  <si>
    <t xml:space="preserve">On track on scope, schedule, and budget. Risks are within tolerance. No executive escalations needed. If any single component is At-Risk and others are On-Track, program may still be On-Track at PM's discretion.</t>
  </si>
  <si>
    <t xml:space="preserve">One or more components have material issues (cost, schedule, scope, or risk) that the team is actively mitigating, BUT the program timeline and budget are still expected to hold. Steering awareness needed; intervention typically not. Trigger: 2+ components At-Risk, OR any single risk rated High/High and unmitigated.</t>
  </si>
  <si>
    <t xml:space="preserve">Off-Track</t>
  </si>
  <si>
    <t xml:space="preserve">Material risk to program completion timing, budget, or scope. Executive intervention required. Trigger: 2+ components Off-Track, OR any single component Off-Track on a critical-path dependency, OR unrecoverable budget overrun, OR sponsor support materially compromised.</t>
  </si>
  <si>
    <t xml:space="preserve">Note: RAG definitions vary by org. The thresholds above are this program's defaults. Adjust to match your org's PMO standards and document the change in the Decisions &amp; Changes log so historical status reports are interpretable.</t>
  </si>
  <si>
    <t xml:space="preserve">Workbook Map</t>
  </si>
  <si>
    <t xml:space="preserve">#</t>
  </si>
  <si>
    <t xml:space="preserve">Tab</t>
  </si>
  <si>
    <t xml:space="preserve">Purpose</t>
  </si>
  <si>
    <t xml:space="preserve">Update cadence</t>
  </si>
  <si>
    <t xml:space="preserve">1</t>
  </si>
  <si>
    <t xml:space="preserve">Cover</t>
  </si>
  <si>
    <t xml:space="preserve">Program identification + tab map</t>
  </si>
  <si>
    <t xml:space="preserve">Static; updated when material change</t>
  </si>
  <si>
    <t xml:space="preserve">2</t>
  </si>
  <si>
    <t xml:space="preserve">Components</t>
  </si>
  <si>
    <t xml:space="preserve">5 component initiatives with status, % complete, budget, risk</t>
  </si>
  <si>
    <t xml:space="preserve">Weekly — by program manager</t>
  </si>
  <si>
    <t xml:space="preserve">3</t>
  </si>
  <si>
    <t xml:space="preserve">Program RAID</t>
  </si>
  <si>
    <t xml:space="preserve">Program-level risks/issues/dependencies (NOT component-level)</t>
  </si>
  <si>
    <t xml:space="preserve">Weekly review</t>
  </si>
  <si>
    <t xml:space="preserve">4</t>
  </si>
  <si>
    <t xml:space="preserve">Cross-Component Deps</t>
  </si>
  <si>
    <t xml:space="preserve">Dependencies between component initiatives</t>
  </si>
  <si>
    <t xml:space="preserve">5</t>
  </si>
  <si>
    <t xml:space="preserve">Program Schedule</t>
  </si>
  <si>
    <t xml:space="preserve">Milestone roll-up across all components</t>
  </si>
  <si>
    <t xml:space="preserve">Weekly update</t>
  </si>
  <si>
    <t xml:space="preserve">6</t>
  </si>
  <si>
    <t xml:space="preserve">Program Budget</t>
  </si>
  <si>
    <t xml:space="preserve">Total budget with allocation across components</t>
  </si>
  <si>
    <t xml:space="preserve">Monthly close</t>
  </si>
  <si>
    <t xml:space="preserve">7</t>
  </si>
  <si>
    <t xml:space="preserve">Resource Conflicts</t>
  </si>
  <si>
    <t xml:space="preserve">Shared resources allocated across components</t>
  </si>
  <si>
    <t xml:space="preserve">Bi-weekly review</t>
  </si>
  <si>
    <t xml:space="preserve">8</t>
  </si>
  <si>
    <t xml:space="preserve">Decisions &amp; Changes</t>
  </si>
  <si>
    <t xml:space="preserve">Program-level decisions and approved changes</t>
  </si>
  <si>
    <t xml:space="preserve">Append as events occur</t>
  </si>
  <si>
    <t xml:space="preserve">9</t>
  </si>
  <si>
    <t xml:space="preserve">Action Items</t>
  </si>
  <si>
    <t xml:space="preserve">Meeting action items + cross-meeting commitments</t>
  </si>
  <si>
    <t xml:space="preserve">10</t>
  </si>
  <si>
    <t xml:space="preserve">Vendor Management</t>
  </si>
  <si>
    <t xml:space="preserve">Vendor SLAs, escalations, business reviews, renewals</t>
  </si>
  <si>
    <t xml:space="preserve">Monthly + ad-hoc</t>
  </si>
  <si>
    <t xml:space="preserve">11</t>
  </si>
  <si>
    <t xml:space="preserve">Benefits Realization</t>
  </si>
  <si>
    <t xml:space="preserve">Program benefits map with realization timing</t>
  </si>
  <si>
    <t xml:space="preserve">Quarterly review</t>
  </si>
  <si>
    <t xml:space="preserve">12</t>
  </si>
  <si>
    <t xml:space="preserve">Status Reports</t>
  </si>
  <si>
    <t xml:space="preserve">Program-level weekly status running history</t>
  </si>
  <si>
    <t xml:space="preserve">Weekly — append a row</t>
  </si>
  <si>
    <t xml:space="preserve">Program vs Project Workbook</t>
  </si>
  <si>
    <t xml:space="preserve">This workbook tracks ONE program with 5 component projects. Each component has its own project workbook for component-level detail.</t>
  </si>
  <si>
    <t xml:space="preserve">What's HERE: program-level status, cross-component dependencies, shared resources, program-level RAID, program benefits.</t>
  </si>
  <si>
    <t xml:space="preserve">What's in the COMPONENT workbooks: component RAID, component schedule, component-level decisions, component team allocation.</t>
  </si>
  <si>
    <t xml:space="preserve">Roll-up rule: component status feeds program status. If 2+ components are Off-Track, program status is Off-Track unless explicitly justified otherwise.</t>
  </si>
  <si>
    <t xml:space="preserve">RAG dropdowns and conditional formatting auto-apply to status fields throughout. Component status changes turn the cells red/amber/green automatically.</t>
  </si>
  <si>
    <t xml:space="preserve">Where to start (new program managers)</t>
  </si>
  <si>
    <t xml:space="preserve">1. Fill in the Cover tab — program identification at top, leave the rest as reference.</t>
  </si>
  <si>
    <t xml:space="preserve">2. Populate Components tab — list each component initiative with PM, phase, and initial budget. Get sponsor sign-off.</t>
  </si>
  <si>
    <t xml:space="preserve">3. Build out Program Schedule — major milestones across components.</t>
  </si>
  <si>
    <t xml:space="preserve">4. Identify cross-component dependencies in the Cross-Component Deps tab.</t>
  </si>
  <si>
    <t xml:space="preserve">5. Open the Program RAID tab — populate from kickoff risk register; review weekly thereafter.</t>
  </si>
  <si>
    <t xml:space="preserve">6. Lock the Program Budget — total approved + per-component allocations + contingency reserve.</t>
  </si>
  <si>
    <t xml:space="preserve">7. Map Resource Conflicts — who is on multiple components? Where are over-allocations?</t>
  </si>
  <si>
    <t xml:space="preserve">8. Build Benefits Realization map — what value, when, measured how, owned post-program.</t>
  </si>
  <si>
    <t xml:space="preserve">9. Establish weekly Status Reports cadence — append a row each week, never overwrite.</t>
  </si>
  <si>
    <t xml:space="preserve">10. Decisions &amp; Changes is append-only — log every program-level decision and approved change.</t>
  </si>
  <si>
    <t xml:space="preserve">Cross-platform compatibility</t>
  </si>
  <si>
    <t xml:space="preserve">Tested in Microsoft Excel and LibreOffice Calc. All formulas use cross-platform compatible functions (no XLOOKUP, IFS, LET).</t>
  </si>
  <si>
    <t xml:space="preserve">Conditional formatting (RAG colors) and dropdowns work in Excel, Google Sheets, and LibreOffice. Apple Numbers may render conditional formatting differently — re-apply if importing to Numbers.</t>
  </si>
  <si>
    <t xml:space="preserve">Google Sheets import: data validations and most conditional formatting transfer; some EXACT() formula-based formatting may need manual re-creation.</t>
  </si>
  <si>
    <t xml:space="preserve">If migrating to Notion / Asana / Smartsheet / Jira, the methodology applies — re-create the tab structures as databases or boards.</t>
  </si>
  <si>
    <t xml:space="preserve">Component Initiatives</t>
  </si>
  <si>
    <t xml:space="preserve">The 5 component projects under Project Atlas. Status here rolls up to the program.</t>
  </si>
  <si>
    <t xml:space="preserve">Component initiative</t>
  </si>
  <si>
    <t xml:space="preserve">Component PM</t>
  </si>
  <si>
    <t xml:space="preserve">Phase</t>
  </si>
  <si>
    <t xml:space="preserve">% complete</t>
  </si>
  <si>
    <t xml:space="preserve">Budget ($)</t>
  </si>
  <si>
    <t xml:space="preserve">Spend to date ($)</t>
  </si>
  <si>
    <t xml:space="preserve">Variance</t>
  </si>
  <si>
    <t xml:space="preserve">Top risk</t>
  </si>
  <si>
    <t xml:space="preserve">Notes</t>
  </si>
  <si>
    <t xml:space="preserve">Identity Provider Migration</t>
  </si>
  <si>
    <t xml:space="preserve">M. Ortiz</t>
  </si>
  <si>
    <t xml:space="preserve">Execute</t>
  </si>
  <si>
    <t xml:space="preserve">Legacy app SSO integration risk</t>
  </si>
  <si>
    <t xml:space="preserve">On track. 60% of apps migrated to enterprise IdP.</t>
  </si>
  <si>
    <t xml:space="preserve">ZTNA Rollout (VPN replacement)</t>
  </si>
  <si>
    <t xml:space="preserve">J. Liu</t>
  </si>
  <si>
    <t xml:space="preserve">Engineering org pilot revealed latency on dev tools</t>
  </si>
  <si>
    <t xml:space="preserve">Latency issue mitigated for 90% of cases; 10% need architecture review. Pilot at engineering completes wk of 4/28.</t>
  </si>
  <si>
    <t xml:space="preserve">Privileged Access Management</t>
  </si>
  <si>
    <t xml:space="preserve">K. Reddy</t>
  </si>
  <si>
    <t xml:space="preserve">Plan</t>
  </si>
  <si>
    <t xml:space="preserve">BeyondTrust vendor SOW negotiation</t>
  </si>
  <si>
    <t xml:space="preserve">SOW expected to sign 5/2. Implementation kickoff target 5/15.</t>
  </si>
  <si>
    <t xml:space="preserve">MFA Hardening (FIDO2)</t>
  </si>
  <si>
    <t xml:space="preserve">S. Chen</t>
  </si>
  <si>
    <t xml:space="preserve">FIDO2 hardware procurement delay (12-week lead time)</t>
  </si>
  <si>
    <t xml:space="preserve">Hardware delay pushes Phase 2 rollout 8 weeks. Considering hybrid approach with platform authenticators for Phase 1.</t>
  </si>
  <si>
    <t xml:space="preserve">Access Review Automation</t>
  </si>
  <si>
    <t xml:space="preserve">P. Nguyen</t>
  </si>
  <si>
    <t xml:space="preserve">Initiate</t>
  </si>
  <si>
    <t xml:space="preserve">Vendor selection pending — RFP closes 5/15</t>
  </si>
  <si>
    <t xml:space="preserve">RFP issued 4/15. 4 vendors confirmed bidding. Scoring complete by 6/1.</t>
  </si>
  <si>
    <t xml:space="preserve">COMPONENT TOTAL</t>
  </si>
  <si>
    <t xml:space="preserve">Status roll-up rule</t>
  </si>
  <si>
    <t xml:space="preserve">Program status reflects component health: if 2+ components are Off-Track, program is Off-Track. If multiple At-Risk without Off-Track, program is At-Risk. All On-Track or 1 At-Risk, program is On-Track. PM judgment overrides this rule when justified — document the reasoning in Status Reports.</t>
  </si>
  <si>
    <t xml:space="preserve">% complete methodology</t>
  </si>
  <si>
    <t xml:space="preserve">% complete is a PM-asserted estimate of component progress, not strict milestone completion. It accounts for in-progress work within milestones (e.g., ZTNA at 45% reflects pilot underway and architecture work in progress, even though no major milestones are formally complete yet). Discuss methodology change with PMO if you want to switch to strict milestone-weighted or earned-value calculation.</t>
  </si>
  <si>
    <t xml:space="preserve">Quick metrics</t>
  </si>
  <si>
    <t xml:space="preserve">Components On-Track</t>
  </si>
  <si>
    <t xml:space="preserve">Components At-Risk</t>
  </si>
  <si>
    <t xml:space="preserve">Components Off-Track</t>
  </si>
  <si>
    <t xml:space="preserve">% spend used</t>
  </si>
  <si>
    <t xml:space="preserve">Program-Level RAID</t>
  </si>
  <si>
    <t xml:space="preserve">Risks/Assumptions/Issues/Dependencies that affect the PROGRAM. Component-specific items live in component workbooks.</t>
  </si>
  <si>
    <t xml:space="preserve">ID</t>
  </si>
  <si>
    <t xml:space="preserve">Type</t>
  </si>
  <si>
    <t xml:space="preserve">Description</t>
  </si>
  <si>
    <t xml:space="preserve">Likelihood</t>
  </si>
  <si>
    <t xml:space="preserve">Impact</t>
  </si>
  <si>
    <t xml:space="preserve">Score</t>
  </si>
  <si>
    <t xml:space="preserve">Owner</t>
  </si>
  <si>
    <t xml:space="preserve">Date raised</t>
  </si>
  <si>
    <t xml:space="preserve">Target close</t>
  </si>
  <si>
    <t xml:space="preserve">Mitigation / response plan</t>
  </si>
  <si>
    <t xml:space="preserve">P-R-001</t>
  </si>
  <si>
    <t xml:space="preserve">Risk</t>
  </si>
  <si>
    <t xml:space="preserve">FIDO2 hardware lead time (12 weeks) jeopardizes program completion timeline</t>
  </si>
  <si>
    <t xml:space="preserve">High</t>
  </si>
  <si>
    <t xml:space="preserve">Mitigating</t>
  </si>
  <si>
    <t xml:space="preserve">2026-03-15</t>
  </si>
  <si>
    <t xml:space="preserve">2026-05-30</t>
  </si>
  <si>
    <t xml:space="preserve">Procurement escalation to CFO completed 4/10. Negotiated 50% partial shipment in 6 weeks. Considering platform authenticators for Phase 1 to maintain timeline.</t>
  </si>
  <si>
    <t xml:space="preserve">P-R-002</t>
  </si>
  <si>
    <t xml:space="preserve">Identity Provider migration could break legacy app SSO integrations during ZTNA cutover</t>
  </si>
  <si>
    <t xml:space="preserve">Medium</t>
  </si>
  <si>
    <t xml:space="preserve">Monitoring</t>
  </si>
  <si>
    <t xml:space="preserve">2026-02-20</t>
  </si>
  <si>
    <t xml:space="preserve">2026-08-30</t>
  </si>
  <si>
    <t xml:space="preserve">Sequencing constraint added: ZTNA rollout follows IdP migration by min 4 weeks per app. Integration test environment built.</t>
  </si>
  <si>
    <t xml:space="preserve">P-R-003</t>
  </si>
  <si>
    <t xml:space="preserve">Engineering org pushback on ZTNA rollout — perceived as friction added to dev workflow</t>
  </si>
  <si>
    <t xml:space="preserve">OCM Lead</t>
  </si>
  <si>
    <t xml:space="preserve">2026-03-01</t>
  </si>
  <si>
    <t xml:space="preserve">2026-06-30</t>
  </si>
  <si>
    <t xml:space="preserve">OCM activated. CISO + CTO joint message to eng org wk of 4/15. Eng champion network established. Pilot feedback loop in place.</t>
  </si>
  <si>
    <t xml:space="preserve">P-I-001</t>
  </si>
  <si>
    <t xml:space="preserve">Issue</t>
  </si>
  <si>
    <t xml:space="preserve">PAM tool (BeyondTrust) SOW negotiation stalled on pricing for production database access</t>
  </si>
  <si>
    <t xml:space="preserve">—</t>
  </si>
  <si>
    <t xml:space="preserve">Procurement + K. Reddy</t>
  </si>
  <si>
    <t xml:space="preserve">2026-04-10</t>
  </si>
  <si>
    <t xml:space="preserve">2026-05-02</t>
  </si>
  <si>
    <t xml:space="preserve">Procurement escalation to vendor exec completed 4/22. Counter-proposal expected by 4/28. CFO approved $50K above original budget if needed.</t>
  </si>
  <si>
    <t xml:space="preserve">P-D-001</t>
  </si>
  <si>
    <t xml:space="preserve">Dependency</t>
  </si>
  <si>
    <t xml:space="preserve">Network team must complete VPN concentrator decommission to free budget for ZTNA expansion</t>
  </si>
  <si>
    <t xml:space="preserve">Open</t>
  </si>
  <si>
    <t xml:space="preserve">Network Team (J. Park)</t>
  </si>
  <si>
    <t xml:space="preserve">2026-02-15</t>
  </si>
  <si>
    <t xml:space="preserve">2026-09-30</t>
  </si>
  <si>
    <t xml:space="preserve">Network team committed to Q3 decommission. Tracking in their roadmap. Status check monthly.</t>
  </si>
  <si>
    <t xml:space="preserve">P-D-002</t>
  </si>
  <si>
    <t xml:space="preserve">HR system access feed required for Access Review Automation</t>
  </si>
  <si>
    <t xml:space="preserve">HR IT (A. Brooks)</t>
  </si>
  <si>
    <t xml:space="preserve">2026-04-01</t>
  </si>
  <si>
    <t xml:space="preserve">2026-07-15</t>
  </si>
  <si>
    <t xml:space="preserve">HR IT prioritization confirmed. API contract signed 4/8. Implementation in their Q2 sprint.</t>
  </si>
  <si>
    <t xml:space="preserve">P-A-001</t>
  </si>
  <si>
    <t xml:space="preserve">Assumption</t>
  </si>
  <si>
    <t xml:space="preserve">FIDO2 platform authenticators (Touch ID, Windows Hello) acceptable to Compliance for SOX scope</t>
  </si>
  <si>
    <t xml:space="preserve">GRC Lead</t>
  </si>
  <si>
    <t xml:space="preserve">2026-04-05</t>
  </si>
  <si>
    <t xml:space="preserve">2026-04-30</t>
  </si>
  <si>
    <t xml:space="preserve">Compliance review session scheduled 4/26. Initial position: acceptable for non-production access. Production access still requires hardware FIDO2.</t>
  </si>
  <si>
    <t xml:space="preserve">P-R-004</t>
  </si>
  <si>
    <t xml:space="preserve">CISO sponsor departure rumored — could destabilize program priority and budget</t>
  </si>
  <si>
    <t xml:space="preserve">PMO Director</t>
  </si>
  <si>
    <t xml:space="preserve">2026-04-18</t>
  </si>
  <si>
    <t xml:space="preserve">Ongoing</t>
  </si>
  <si>
    <t xml:space="preserve">PMO Director and Program Manager aligning with CIO and CTO as backup sponsors. Briefing them weekly on program. Charter unchanged for now.</t>
  </si>
  <si>
    <t xml:space="preserve">Cross-Component Dependencies</t>
  </si>
  <si>
    <t xml:space="preserve">Where Component A needs something from Component B. The most common source of program failure — track these closely.</t>
  </si>
  <si>
    <t xml:space="preserve">Source component (needs)</t>
  </si>
  <si>
    <t xml:space="preserve">Target component (provides)</t>
  </si>
  <si>
    <t xml:space="preserve">What's needed</t>
  </si>
  <si>
    <t xml:space="preserve">Need-by date</t>
  </si>
  <si>
    <t xml:space="preserve">DEP-001</t>
  </si>
  <si>
    <t xml:space="preserve">ZTNA Rollout (#2)</t>
  </si>
  <si>
    <t xml:space="preserve">Identity Provider Migration (#1)</t>
  </si>
  <si>
    <t xml:space="preserve">Apps must be migrated to enterprise IdP before ZTNA can apply policy</t>
  </si>
  <si>
    <t xml:space="preserve">2026-08-15</t>
  </si>
  <si>
    <t xml:space="preserve">Sequencing built into program schedule. 60% of apps migrated; remaining 40% by 8/1.</t>
  </si>
  <si>
    <t xml:space="preserve">DEP-002</t>
  </si>
  <si>
    <t xml:space="preserve">Access Review Automation (#5)</t>
  </si>
  <si>
    <t xml:space="preserve">Centralized identity needed before access review can run org-wide</t>
  </si>
  <si>
    <t xml:space="preserve">Low</t>
  </si>
  <si>
    <t xml:space="preserve">IdP completion 8/30 leaves buffer for access review go-live.</t>
  </si>
  <si>
    <t xml:space="preserve">DEP-003</t>
  </si>
  <si>
    <t xml:space="preserve">Privileged Access Management (#3)</t>
  </si>
  <si>
    <t xml:space="preserve">PAM must be deployed before privileged access reviews can include those accounts</t>
  </si>
  <si>
    <t xml:space="preserve">2026-10-30</t>
  </si>
  <si>
    <t xml:space="preserve">PAM SOW delay pushes deployment to 9/30. Access Review go-live target 11/15. Tight but achievable.</t>
  </si>
  <si>
    <t xml:space="preserve">DEP-004</t>
  </si>
  <si>
    <t xml:space="preserve">MFA Hardening (#4)</t>
  </si>
  <si>
    <t xml:space="preserve">Enterprise IdP must support FIDO2 (confirmed) before MFA hardening can roll out</t>
  </si>
  <si>
    <t xml:space="preserve">Complete</t>
  </si>
  <si>
    <t xml:space="preserve">M. Ortiz / S. Chen</t>
  </si>
  <si>
    <t xml:space="preserve">IdP FIDO2 support enabled 4/15. Dependency satisfied.</t>
  </si>
  <si>
    <t xml:space="preserve">DEP-005</t>
  </si>
  <si>
    <t xml:space="preserve">Network Team (external — not in program)</t>
  </si>
  <si>
    <t xml:space="preserve">VPN concentrator decommission frees network capex for ZTNA expansion</t>
  </si>
  <si>
    <t xml:space="preserve">Network Team / J. Liu</t>
  </si>
  <si>
    <t xml:space="preserve">Network team committed but their priorities can shift. Tracked in Program RAID (P-D-001).</t>
  </si>
  <si>
    <t xml:space="preserve">DEP-006</t>
  </si>
  <si>
    <t xml:space="preserve">PAM (#3)</t>
  </si>
  <si>
    <t xml:space="preserve">FIDO2 hardware tokens needed for privileged users before PAM go-live</t>
  </si>
  <si>
    <t xml:space="preserve">S. Chen / K. Reddy</t>
  </si>
  <si>
    <t xml:space="preserve">FIDO2 hardware delay (P-R-001) puts this at risk. Backup: software token interim, hardware retrofit Phase 2.</t>
  </si>
  <si>
    <t xml:space="preserve">Program Schedule — Milestones Across All Components</t>
  </si>
  <si>
    <t xml:space="preserve">Roll-up of major milestones from each component. Detailed schedules live in component workbooks.</t>
  </si>
  <si>
    <t xml:space="preserve">Milestone</t>
  </si>
  <si>
    <t xml:space="preserve">Component</t>
  </si>
  <si>
    <t xml:space="preserve">Planned start</t>
  </si>
  <si>
    <t xml:space="preserve">Planned end</t>
  </si>
  <si>
    <t xml:space="preserve">Actual end</t>
  </si>
  <si>
    <t xml:space="preserve">M-001</t>
  </si>
  <si>
    <t xml:space="preserve">Program kickoff</t>
  </si>
  <si>
    <t xml:space="preserve">Program</t>
  </si>
  <si>
    <t xml:space="preserve">2026-01-20</t>
  </si>
  <si>
    <t xml:space="preserve">M-002</t>
  </si>
  <si>
    <t xml:space="preserve">Charter approved by all sponsors</t>
  </si>
  <si>
    <t xml:space="preserve">2026-02-05</t>
  </si>
  <si>
    <t xml:space="preserve">2026-02-03</t>
  </si>
  <si>
    <t xml:space="preserve">M-003</t>
  </si>
  <si>
    <t xml:space="preserve">IdP RFP issued</t>
  </si>
  <si>
    <t xml:space="preserve">IdP Migration</t>
  </si>
  <si>
    <t xml:space="preserve">2026-01-25</t>
  </si>
  <si>
    <t xml:space="preserve">2026-02-12</t>
  </si>
  <si>
    <t xml:space="preserve">M-004</t>
  </si>
  <si>
    <t xml:space="preserve">IdP vendor selected</t>
  </si>
  <si>
    <t xml:space="preserve">2026-03-12</t>
  </si>
  <si>
    <t xml:space="preserve">M-005</t>
  </si>
  <si>
    <t xml:space="preserve">IdP — first 50 apps migrated (Phase 1)</t>
  </si>
  <si>
    <t xml:space="preserve">2026-03-20</t>
  </si>
  <si>
    <t xml:space="preserve">In Progress</t>
  </si>
  <si>
    <t xml:space="preserve">On track — 30 of 50 done</t>
  </si>
  <si>
    <t xml:space="preserve">M-006</t>
  </si>
  <si>
    <t xml:space="preserve">IdP — remaining apps migrated (Phase 2)</t>
  </si>
  <si>
    <t xml:space="preserve">2026-06-01</t>
  </si>
  <si>
    <t xml:space="preserve">Not Started</t>
  </si>
  <si>
    <t xml:space="preserve">M-007</t>
  </si>
  <si>
    <t xml:space="preserve">ZTNA pilot — engineering org</t>
  </si>
  <si>
    <t xml:space="preserve">ZTNA Rollout</t>
  </si>
  <si>
    <t xml:space="preserve">Latency issue under remediation; pilot extended 1 wk</t>
  </si>
  <si>
    <t xml:space="preserve">M-008</t>
  </si>
  <si>
    <t xml:space="preserve">ZTNA — wave 1 rollout (eng + product)</t>
  </si>
  <si>
    <t xml:space="preserve">2026-05-15</t>
  </si>
  <si>
    <t xml:space="preserve">2026-07-30</t>
  </si>
  <si>
    <t xml:space="preserve">Depends on pilot completion</t>
  </si>
  <si>
    <t xml:space="preserve">M-009</t>
  </si>
  <si>
    <t xml:space="preserve">ZTNA — wave 2 rollout (corporate)</t>
  </si>
  <si>
    <t xml:space="preserve">2026-08-01</t>
  </si>
  <si>
    <t xml:space="preserve">M-010</t>
  </si>
  <si>
    <t xml:space="preserve">ZTNA — wave 3 (contractors + remaining)</t>
  </si>
  <si>
    <t xml:space="preserve">2026-11-01</t>
  </si>
  <si>
    <t xml:space="preserve">2026-12-31</t>
  </si>
  <si>
    <t xml:space="preserve">M-011</t>
  </si>
  <si>
    <t xml:space="preserve">PAM SOW signed</t>
  </si>
  <si>
    <t xml:space="preserve">PAM</t>
  </si>
  <si>
    <t xml:space="preserve">2026-04-15</t>
  </si>
  <si>
    <t xml:space="preserve">Negotiation stalled (P-I-001)</t>
  </si>
  <si>
    <t xml:space="preserve">M-012</t>
  </si>
  <si>
    <t xml:space="preserve">PAM deployment Phase 1 (production servers)</t>
  </si>
  <si>
    <t xml:space="preserve">M-013</t>
  </si>
  <si>
    <t xml:space="preserve">PAM deployment Phase 2 (databases + cloud)</t>
  </si>
  <si>
    <t xml:space="preserve">2026-10-01</t>
  </si>
  <si>
    <t xml:space="preserve">2027-01-31</t>
  </si>
  <si>
    <t xml:space="preserve">M-014</t>
  </si>
  <si>
    <t xml:space="preserve">FIDO2 hardware procurement order placed</t>
  </si>
  <si>
    <t xml:space="preserve">MFA Hardening</t>
  </si>
  <si>
    <t xml:space="preserve">M-015</t>
  </si>
  <si>
    <t xml:space="preserve">FIDO2 hardware delivery (50% partial)</t>
  </si>
  <si>
    <t xml:space="preserve">Delayed</t>
  </si>
  <si>
    <t xml:space="preserve">Partial shipment 6 wks delayed</t>
  </si>
  <si>
    <t xml:space="preserve">M-016</t>
  </si>
  <si>
    <t xml:space="preserve">FIDO2 rollout Phase 1 (privileged users)</t>
  </si>
  <si>
    <t xml:space="preserve">Considering platform authenticators for non-prod</t>
  </si>
  <si>
    <t xml:space="preserve">M-017</t>
  </si>
  <si>
    <t xml:space="preserve">FIDO2 rollout Phase 2 (all employees)</t>
  </si>
  <si>
    <t xml:space="preserve">2026-11-30</t>
  </si>
  <si>
    <t xml:space="preserve">M-018</t>
  </si>
  <si>
    <t xml:space="preserve">Access Review RFP issued</t>
  </si>
  <si>
    <t xml:space="preserve">Access Review</t>
  </si>
  <si>
    <t xml:space="preserve">M-019</t>
  </si>
  <si>
    <t xml:space="preserve">Access Review vendor selected</t>
  </si>
  <si>
    <t xml:space="preserve">2026-06-15</t>
  </si>
  <si>
    <t xml:space="preserve">M-020</t>
  </si>
  <si>
    <t xml:space="preserve">Access Review go-live (first cycle)</t>
  </si>
  <si>
    <t xml:space="preserve">2026-09-01</t>
  </si>
  <si>
    <t xml:space="preserve">2026-11-15</t>
  </si>
  <si>
    <t xml:space="preserve">M-021</t>
  </si>
  <si>
    <t xml:space="preserve">Program closeout &amp; benefits realization plan handoff</t>
  </si>
  <si>
    <t xml:space="preserve">Close</t>
  </si>
  <si>
    <t xml:space="preserve">2027-08-01</t>
  </si>
  <si>
    <t xml:space="preserve">Program Budget — Allocation Across Components</t>
  </si>
  <si>
    <t xml:space="preserve">Total program budget broken down by component. Reserves held at program level for cross-component contingency.</t>
  </si>
  <si>
    <t xml:space="preserve">Total approved program budget</t>
  </si>
  <si>
    <t xml:space="preserve">Currency</t>
  </si>
  <si>
    <t xml:space="preserve">USD</t>
  </si>
  <si>
    <t xml:space="preserve">As-of date</t>
  </si>
  <si>
    <t xml:space="preserve">Allocation</t>
  </si>
  <si>
    <t xml:space="preserve">Planned ($)</t>
  </si>
  <si>
    <t xml:space="preserve">Committed ($)</t>
  </si>
  <si>
    <t xml:space="preserve">Actual to date ($)</t>
  </si>
  <si>
    <t xml:space="preserve">Variance ($)</t>
  </si>
  <si>
    <t xml:space="preserve">% used</t>
  </si>
  <si>
    <t xml:space="preserve">Forecast EAC ($)</t>
  </si>
  <si>
    <t xml:space="preserve">Slight underrun expected — vendor discount</t>
  </si>
  <si>
    <t xml:space="preserve">Pilot extension may add costs</t>
  </si>
  <si>
    <t xml:space="preserve">SOW negotiation — possibly +$50K</t>
  </si>
  <si>
    <t xml:space="preserve">Hardware lead time + interim platform auth</t>
  </si>
  <si>
    <t xml:space="preserve">Vendor selection pending</t>
  </si>
  <si>
    <t xml:space="preserve">Program management &amp; PMO</t>
  </si>
  <si>
    <t xml:space="preserve">On track</t>
  </si>
  <si>
    <t xml:space="preserve">Program contingency reserve</t>
  </si>
  <si>
    <t xml:space="preserve">$100K projected use for FIDO2 / PAM</t>
  </si>
  <si>
    <t xml:space="preserve">PROGRAM TOTAL</t>
  </si>
  <si>
    <t xml:space="preserve">Program forecast</t>
  </si>
  <si>
    <t xml:space="preserve">Forecast at completion (EAC)</t>
  </si>
  <si>
    <t xml:space="preserve">Variance at completion (VAC)</t>
  </si>
  <si>
    <t xml:space="preserve">Contingency consumed (forecast)</t>
  </si>
  <si>
    <t xml:space="preserve">Burn rate (avg monthly)</t>
  </si>
  <si>
    <t xml:space="preserve">Shared Resources Across Components</t>
  </si>
  <si>
    <t xml:space="preserve">People allocated to multiple components. Watch the Total column — anyone over 100% is over-allocated.</t>
  </si>
  <si>
    <t xml:space="preserve">Name</t>
  </si>
  <si>
    <t xml:space="preserve">Role</t>
  </si>
  <si>
    <t xml:space="preserve">IdP</t>
  </si>
  <si>
    <t xml:space="preserve">ZTNA</t>
  </si>
  <si>
    <t xml:space="preserve">MFA</t>
  </si>
  <si>
    <t xml:space="preserve">Total %</t>
  </si>
  <si>
    <t xml:space="preserve">A. Singh</t>
  </si>
  <si>
    <t xml:space="preserve">Sr Security Engineer</t>
  </si>
  <si>
    <t xml:space="preserve">L. Garcia</t>
  </si>
  <si>
    <t xml:space="preserve">Identity Architect</t>
  </si>
  <si>
    <t xml:space="preserve">R. Patel</t>
  </si>
  <si>
    <t xml:space="preserve">Network Engineer</t>
  </si>
  <si>
    <t xml:space="preserve">T. Wilson</t>
  </si>
  <si>
    <t xml:space="preserve">GRC Analyst</t>
  </si>
  <si>
    <t xml:space="preserve">D. Kim</t>
  </si>
  <si>
    <t xml:space="preserve">Security Engineer</t>
  </si>
  <si>
    <t xml:space="preserve">B. Foster</t>
  </si>
  <si>
    <t xml:space="preserve">Cloud Engineer</t>
  </si>
  <si>
    <t xml:space="preserve">E. Tanaka</t>
  </si>
  <si>
    <t xml:space="preserve">QA Engineer</t>
  </si>
  <si>
    <t xml:space="preserve">Program PM</t>
  </si>
  <si>
    <t xml:space="preserve">Program Manager (you)</t>
  </si>
  <si>
    <t xml:space="preserve">Allocation rules</t>
  </si>
  <si>
    <t xml:space="preserve">Total allocation should be ≤100% per person. Anything above is over-allocation and a portfolio risk. 0.9–1.0 (amber) means 'fully booked, no slack' — also a risk because illness or unexpected work has nowhere to go. Surface over-allocations at the program steering meeting.</t>
  </si>
  <si>
    <t xml:space="preserve">Program-Level Decisions &amp; Changes Log</t>
  </si>
  <si>
    <t xml:space="preserve">Program-level only. Component-specific decisions live in component workbooks. Append-only — never delete.</t>
  </si>
  <si>
    <t xml:space="preserve">Date</t>
  </si>
  <si>
    <t xml:space="preserve">Rationale</t>
  </si>
  <si>
    <t xml:space="preserve">Decision-maker</t>
  </si>
  <si>
    <t xml:space="preserve">Stakeholders consulted</t>
  </si>
  <si>
    <t xml:space="preserve">DC-001</t>
  </si>
  <si>
    <t xml:space="preserve">Decision</t>
  </si>
  <si>
    <t xml:space="preserve">Selected Okta as enterprise IdP over Azure AD</t>
  </si>
  <si>
    <t xml:space="preserve">Okta scored higher on app catalog breadth (60% vs 40% pre-built integrations) and was preferred by business unit IT leads. Total cost slightly higher ($150K over 3 yr) but offset by integration time savings.</t>
  </si>
  <si>
    <t xml:space="preserve">Sandra Park (CISO)</t>
  </si>
  <si>
    <t xml:space="preserve">CIO, CTO, Identity Architect, Procurement</t>
  </si>
  <si>
    <t xml:space="preserve">Active</t>
  </si>
  <si>
    <t xml:space="preserve">DC-002</t>
  </si>
  <si>
    <t xml:space="preserve">Change Request — Schedule</t>
  </si>
  <si>
    <t xml:space="preserve">Extended ZTNA pilot from 2 weeks to 4 weeks</t>
  </si>
  <si>
    <t xml:space="preserve">Engineering org pilot revealed dev-tool latency issues affecting 10% of users. Additional 2 weeks needed to validate fix before broader rollout.</t>
  </si>
  <si>
    <t xml:space="preserve">Sandra Park</t>
  </si>
  <si>
    <t xml:space="preserve">CTO, ZTNA PM, OCM Lead</t>
  </si>
  <si>
    <t xml:space="preserve">Approved</t>
  </si>
  <si>
    <t xml:space="preserve">DC-003</t>
  </si>
  <si>
    <t xml:space="preserve">Adopted BeyondTrust over CyberArk for PAM</t>
  </si>
  <si>
    <t xml:space="preserve">BeyondTrust pricing came in $400K under CyberArk over 3 years. Both met functional requirements. BeyondTrust references stronger on cloud / hybrid environments which fits our roadmap.</t>
  </si>
  <si>
    <t xml:space="preserve">CIO, PAM PM, Procurement, Audit</t>
  </si>
  <si>
    <t xml:space="preserve">DC-004</t>
  </si>
  <si>
    <t xml:space="preserve">Change Request — Budget</t>
  </si>
  <si>
    <t xml:space="preserve">Increased PAM SOW ceiling by $50K to unblock production database access scope</t>
  </si>
  <si>
    <t xml:space="preserve">Vendor pricing for production DB tier came in higher than RFP indicated. Required to maintain Phase 1 timeline. Pulled from program contingency reserve.</t>
  </si>
  <si>
    <t xml:space="preserve">CFO, PAM PM, Procurement</t>
  </si>
  <si>
    <t xml:space="preserve">DC-005</t>
  </si>
  <si>
    <t xml:space="preserve">Approve hybrid FIDO2 approach: hardware tokens for privileged users, platform authenticators (Touch ID, Windows Hello) for everyone else</t>
  </si>
  <si>
    <t xml:space="preserve">Hardware lead time was 12 weeks, threatening program timeline. Hybrid approach maintains hardware FIDO2 for SOX-scope users (privileged + production access) and uses platform authenticators for the broader population. Compliance reviewed and accepted 4/26.</t>
  </si>
  <si>
    <t xml:space="preserve">GRC Lead, MFA PM, Audit, IT Operations</t>
  </si>
  <si>
    <t xml:space="preserve">DC-006</t>
  </si>
  <si>
    <t xml:space="preserve">Change Request — Scope</t>
  </si>
  <si>
    <t xml:space="preserve">Removed legacy mainframe app from IdP migration scope</t>
  </si>
  <si>
    <t xml:space="preserve">Mainframe app is 18 months from decommission per IT roadmap. ROI of migrating doesn't justify the integration cost. Application owner confirmed sunset path.</t>
  </si>
  <si>
    <t xml:space="preserve">M. Ortiz (IdP PM)</t>
  </si>
  <si>
    <t xml:space="preserve">Sandra Park, App Owner, Audit</t>
  </si>
  <si>
    <t xml:space="preserve">DC-007</t>
  </si>
  <si>
    <t xml:space="preserve">Extended ZTNA pilot 1 additional week (now ending 2026-04-21)</t>
  </si>
  <si>
    <t xml:space="preserve">Pilot week 1 surfaced dev tool latency issues for 10% of users. Mitigation deployed but needs validation week before broader rollout decision. Doesn't impact Wave 1 start (still 5/15).</t>
  </si>
  <si>
    <t xml:space="preserve">CTO, ZTNA PM, Eng Champions</t>
  </si>
  <si>
    <t xml:space="preserve">Action Items Tracker</t>
  </si>
  <si>
    <t xml:space="preserve">Meeting action items and cross-meeting commitments. Reviewed weekly. Distinct from RAID (issues) and Decisions &amp; Changes.</t>
  </si>
  <si>
    <t xml:space="preserve">Source meeting / context</t>
  </si>
  <si>
    <t xml:space="preserve">Due date</t>
  </si>
  <si>
    <t xml:space="preserve">Priority</t>
  </si>
  <si>
    <t xml:space="preserve">AI-001</t>
  </si>
  <si>
    <t xml:space="preserve">2026-04-08</t>
  </si>
  <si>
    <t xml:space="preserve">Weekly cross-component standup</t>
  </si>
  <si>
    <t xml:space="preserve">M. Ortiz to validate IdP FIDO2 support enabled before MFA Phase 1 starts</t>
  </si>
  <si>
    <t xml:space="preserve">Done</t>
  </si>
  <si>
    <t xml:space="preserve">Confirmed 4/15 — DEP-004 closed.</t>
  </si>
  <si>
    <t xml:space="preserve">AI-002</t>
  </si>
  <si>
    <t xml:space="preserve">J. Liu to schedule architecture review for ZTNA latency edge cases</t>
  </si>
  <si>
    <t xml:space="preserve">2026-04-22</t>
  </si>
  <si>
    <t xml:space="preserve">Review held 4/20 — 90% mitigation deployed.</t>
  </si>
  <si>
    <t xml:space="preserve">AI-003</t>
  </si>
  <si>
    <t xml:space="preserve">CISO 1:1</t>
  </si>
  <si>
    <t xml:space="preserve">Program PM to draft escalation memo on PAM SOW pricing for CFO awareness</t>
  </si>
  <si>
    <t xml:space="preserve">2026-04-23</t>
  </si>
  <si>
    <t xml:space="preserve">Memo sent 4/22; CFO approved $50K ceiling per DC-004.</t>
  </si>
  <si>
    <t xml:space="preserve">AI-004</t>
  </si>
  <si>
    <t xml:space="preserve">Steering committee</t>
  </si>
  <si>
    <t xml:space="preserve">OCM Lead to refine engineering pilot feedback summary for next steering</t>
  </si>
  <si>
    <t xml:space="preserve">2026-04-29</t>
  </si>
  <si>
    <t xml:space="preserve">Survey results in; analysis underway.</t>
  </si>
  <si>
    <t xml:space="preserve">AI-005</t>
  </si>
  <si>
    <t xml:space="preserve">S. Chen to brief Compliance on FIDO2 hybrid approach scope before 4/26 review</t>
  </si>
  <si>
    <t xml:space="preserve">2026-04-25</t>
  </si>
  <si>
    <t xml:space="preserve">Pre-brief scheduled 4/24 with GRC Lead.</t>
  </si>
  <si>
    <t xml:space="preserve">AI-006</t>
  </si>
  <si>
    <t xml:space="preserve">Program PM weekly with PMO Director</t>
  </si>
  <si>
    <t xml:space="preserve">Program PM to align with CIO and CTO as backup sponsors given P-R-004</t>
  </si>
  <si>
    <t xml:space="preserve">2026-05-05</t>
  </si>
  <si>
    <t xml:space="preserve">Calendar requests sent. CIO 5/2, CTO 5/5.</t>
  </si>
  <si>
    <t xml:space="preserve">AI-007</t>
  </si>
  <si>
    <t xml:space="preserve">P. Nguyen to share Access Review RFP scoring rubric with evaluation team</t>
  </si>
  <si>
    <t xml:space="preserve">2026-04-28</t>
  </si>
  <si>
    <t xml:space="preserve">Open + In Progress</t>
  </si>
  <si>
    <t xml:space="preserve">Blocked</t>
  </si>
  <si>
    <t xml:space="preserve">Carried Over</t>
  </si>
  <si>
    <t xml:space="preserve">Vendor Management Tracker</t>
  </si>
  <si>
    <t xml:space="preserve">Vendors engaged for Project Atlas. Track SLA performance, escalations, business reviews, and renewals.</t>
  </si>
  <si>
    <t xml:space="preserve">Vendor</t>
  </si>
  <si>
    <t xml:space="preserve">Service / Tool</t>
  </si>
  <si>
    <t xml:space="preserve">Component(s)</t>
  </si>
  <si>
    <t xml:space="preserve">Contract end</t>
  </si>
  <si>
    <t xml:space="preserve">Annual spend ($)</t>
  </si>
  <si>
    <t xml:space="preserve">SLA performance</t>
  </si>
  <si>
    <t xml:space="preserve">Open escalations</t>
  </si>
  <si>
    <t xml:space="preserve">Last business review</t>
  </si>
  <si>
    <t xml:space="preserve">Next renewal action</t>
  </si>
  <si>
    <t xml:space="preserve">Owner / Account mgr</t>
  </si>
  <si>
    <t xml:space="preserve">Okta</t>
  </si>
  <si>
    <t xml:space="preserve">Enterprise IdP</t>
  </si>
  <si>
    <t xml:space="preserve">2028-12-31</t>
  </si>
  <si>
    <t xml:space="preserve">0</t>
  </si>
  <si>
    <t xml:space="preserve">2026-04-02</t>
  </si>
  <si>
    <t xml:space="preserve">Renewal review Q3 2028</t>
  </si>
  <si>
    <t xml:space="preserve">M. Ortiz / Okta acct: J. Park</t>
  </si>
  <si>
    <t xml:space="preserve">Zscaler</t>
  </si>
  <si>
    <t xml:space="preserve">ZTNA platform (ZIA + ZPA)</t>
  </si>
  <si>
    <t xml:space="preserve">2029-03-31</t>
  </si>
  <si>
    <t xml:space="preserve">1 (latency for dev tools)</t>
  </si>
  <si>
    <t xml:space="preserve">Renewal review Q4 2028</t>
  </si>
  <si>
    <t xml:space="preserve">J. Liu / Zscaler acct: T. Adams</t>
  </si>
  <si>
    <t xml:space="preserve">BeyondTrust</t>
  </si>
  <si>
    <t xml:space="preserve">PAM platform</t>
  </si>
  <si>
    <t xml:space="preserve">2029-06-30</t>
  </si>
  <si>
    <t xml:space="preserve">1 (SOW pricing — open per P-I-001)</t>
  </si>
  <si>
    <t xml:space="preserve">Pending kickoff</t>
  </si>
  <si>
    <t xml:space="preserve">First QBR scheduled 2026-08-15</t>
  </si>
  <si>
    <t xml:space="preserve">K. Reddy / BeyondTrust acct: L. Cruz</t>
  </si>
  <si>
    <t xml:space="preserve">Yubico</t>
  </si>
  <si>
    <t xml:space="preserve">FIDO2 hardware tokens</t>
  </si>
  <si>
    <t xml:space="preserve">2027-12-31</t>
  </si>
  <si>
    <t xml:space="preserve">1 (hardware lead time delay — P-R-001)</t>
  </si>
  <si>
    <t xml:space="preserve">Quarterly volume review 2026-07-01</t>
  </si>
  <si>
    <t xml:space="preserve">S. Chen / Yubico acct: D. Reyes</t>
  </si>
  <si>
    <t xml:space="preserve">SailPoint</t>
  </si>
  <si>
    <t xml:space="preserve">Access governance + reviews</t>
  </si>
  <si>
    <t xml:space="preserve">TBD (vendor selection pending)</t>
  </si>
  <si>
    <t xml:space="preserve">RFP scoring complete by 6/1</t>
  </si>
  <si>
    <t xml:space="preserve">P. Nguyen / TBD</t>
  </si>
  <si>
    <t xml:space="preserve">PwC</t>
  </si>
  <si>
    <t xml:space="preserve">External audit (SOC 2)</t>
  </si>
  <si>
    <t xml:space="preserve">Program (audit support)</t>
  </si>
  <si>
    <t xml:space="preserve">2026-02-10</t>
  </si>
  <si>
    <t xml:space="preserve">Annual engagement renewal Q4 2027</t>
  </si>
  <si>
    <t xml:space="preserve">GRC Director / PwC partner: M. Sato</t>
  </si>
  <si>
    <t xml:space="preserve">Total annual vendor spend</t>
  </si>
  <si>
    <t xml:space="preserve">Vendors with open escalations</t>
  </si>
  <si>
    <t xml:space="preserve">Vendor management discipline</t>
  </si>
  <si>
    <t xml:space="preserve">Track every vendor engaged on the program. Escalation count is leading indicator of contract health. Quarterly business reviews surface issues before renewal. Renewal action 6 months ahead of contract end.</t>
  </si>
  <si>
    <t xml:space="preserve">Program Benefits Realization Map</t>
  </si>
  <si>
    <t xml:space="preserve">Benefits the program is delivering, when each materializes, how it's measured, and who owns sustainment.</t>
  </si>
  <si>
    <t xml:space="preserve">Benefit</t>
  </si>
  <si>
    <t xml:space="preserve">Source component(s)</t>
  </si>
  <si>
    <t xml:space="preserve">Realization timing</t>
  </si>
  <si>
    <t xml:space="preserve">Measurement method</t>
  </si>
  <si>
    <t xml:space="preserve">Target</t>
  </si>
  <si>
    <t xml:space="preserve">Benefit owner (post-program)</t>
  </si>
  <si>
    <t xml:space="preserve">Reduce VPN-related security incidents by 70%</t>
  </si>
  <si>
    <t xml:space="preserve">12 months post-launch</t>
  </si>
  <si>
    <t xml:space="preserve">Incident count from SIEM tagged 'remote access'</t>
  </si>
  <si>
    <t xml:space="preserve">70% reduction (baseline 2025: 23 incidents)</t>
  </si>
  <si>
    <t xml:space="preserve">Director, Security Operations</t>
  </si>
  <si>
    <t xml:space="preserve">Measured at 6 mo and 12 mo. Track quarterly.</t>
  </si>
  <si>
    <t xml:space="preserve">Achieve SOC 2 Type II audit findings closure for identity controls</t>
  </si>
  <si>
    <t xml:space="preserve">IdP Migration (#1) + MFA Hardening (#4) + PAM (#3)</t>
  </si>
  <si>
    <t xml:space="preserve">On Phase 1 completion (estimated 9/30)</t>
  </si>
  <si>
    <t xml:space="preserve">External auditor attestation</t>
  </si>
  <si>
    <t xml:space="preserve">Zero critical/major findings on identity controls in next audit</t>
  </si>
  <si>
    <t xml:space="preserve">Director, GRC</t>
  </si>
  <si>
    <t xml:space="preserve">Audit window: Q4 2026. Pre-audit dry-run scheduled 8/30.</t>
  </si>
  <si>
    <t xml:space="preserve">Reduce mean-time-to-revoke access from 14 days to &lt;24 hours</t>
  </si>
  <si>
    <t xml:space="preserve">On launch + 1 quarter (estimated Q1 2027)</t>
  </si>
  <si>
    <t xml:space="preserve">Time delta between termination event in HR and access removal across systems</t>
  </si>
  <si>
    <t xml:space="preserve">&lt;24 hours for 95% of terminations</t>
  </si>
  <si>
    <t xml:space="preserve">HR system feed dependency must be live.</t>
  </si>
  <si>
    <t xml:space="preserve">Eliminate password-based access to production systems</t>
  </si>
  <si>
    <t xml:space="preserve">PAM (#3) + MFA Hardening (#4)</t>
  </si>
  <si>
    <t xml:space="preserve">On Phase 2 completion (estimated 1/31/2027)</t>
  </si>
  <si>
    <t xml:space="preserve">Audit log review — count of password auth events on prod systems</t>
  </si>
  <si>
    <t xml:space="preserve">Zero password-only access by 2/2027</t>
  </si>
  <si>
    <t xml:space="preserve">Director, Infrastructure</t>
  </si>
  <si>
    <t xml:space="preserve">Hard cutover requires PAM Phase 2 + FIDO2 Phase 2 both complete.</t>
  </si>
  <si>
    <t xml:space="preserve">Reduce identity-related help desk tickets by 40%</t>
  </si>
  <si>
    <t xml:space="preserve">IdP Migration (#1) + MFA Hardening (#4)</t>
  </si>
  <si>
    <t xml:space="preserve">6 months post-launch</t>
  </si>
  <si>
    <t xml:space="preserve">ServiceNow ticket volume tagged 'identity' or 'MFA'</t>
  </si>
  <si>
    <t xml:space="preserve">40% reduction (baseline 2025 monthly avg: 340)</t>
  </si>
  <si>
    <t xml:space="preserve">Director, IT Service Management</t>
  </si>
  <si>
    <t xml:space="preserve">Counter-effect possible during migration — expect spike before drop.</t>
  </si>
  <si>
    <t xml:space="preserve">Enable foundation for future Zero Trust architecture</t>
  </si>
  <si>
    <t xml:space="preserve">All 5 components</t>
  </si>
  <si>
    <t xml:space="preserve">On program completion (estimated 9/30/2027)</t>
  </si>
  <si>
    <t xml:space="preserve">Architecture maturity assessment by external advisor</t>
  </si>
  <si>
    <t xml:space="preserve">Achieve 'Defined' or higher on 8 of 10 ZT pillars</t>
  </si>
  <si>
    <t xml:space="preserve">VP, Security Architecture</t>
  </si>
  <si>
    <t xml:space="preserve">Strategic, not directly measurable. Maturity assessment Q4 2027.</t>
  </si>
  <si>
    <t xml:space="preserve">Reduce annual cost of legacy VPN infrastructure</t>
  </si>
  <si>
    <t xml:space="preserve">On VPN decommission (estimated 12/31/2026)</t>
  </si>
  <si>
    <t xml:space="preserve">Annual VPN licensing + maintenance contracts cancelled</t>
  </si>
  <si>
    <t xml:space="preserve">$420K annual savings</t>
  </si>
  <si>
    <t xml:space="preserve">VP, Network Engineering</t>
  </si>
  <si>
    <t xml:space="preserve">Dependent on Network team's decommission timeline (P-D-001).</t>
  </si>
  <si>
    <t xml:space="preserve">Program Status Reports — Running History</t>
  </si>
  <si>
    <t xml:space="preserve">Append a new row each week. The history is the artifact — never overwrite.</t>
  </si>
  <si>
    <t xml:space="preserve">Report date</t>
  </si>
  <si>
    <t xml:space="preserve">Period</t>
  </si>
  <si>
    <t xml:space="preserve">Reported by</t>
  </si>
  <si>
    <t xml:space="preserve">Overall status</t>
  </si>
  <si>
    <t xml:space="preserve">Key accomplishments</t>
  </si>
  <si>
    <t xml:space="preserve">Planned next period</t>
  </si>
  <si>
    <t xml:space="preserve">Top risks / issues</t>
  </si>
  <si>
    <t xml:space="preserve">Asks / blockers</t>
  </si>
  <si>
    <t xml:space="preserve">2026-04-07</t>
  </si>
  <si>
    <t xml:space="preserve">Wk 14</t>
  </si>
  <si>
    <t xml:space="preserve">IdP migration hit 50% of Phase 1 apps. ZTNA pilot launched eng org. PAM SOW kickoff with BeyondTrust this week (vendor selected 3/12 — DC-003).</t>
  </si>
  <si>
    <t xml:space="preserve">Continue IdP Phase 1; ZTNA pilot week 1 feedback session; PAM SOW negotiation kickoff with vendor.</t>
  </si>
  <si>
    <t xml:space="preserve">FIDO2 hardware lead time delay (P-R-001) — 12 wk lead time confirmed. Engineering pushback on ZTNA (P-R-003) emerging.</t>
  </si>
  <si>
    <t xml:space="preserve">Need CISO 1:1 with CTO this week to align on ZTNA enforcement timing for engineering org.</t>
  </si>
  <si>
    <t xml:space="preserve">2026-04-14</t>
  </si>
  <si>
    <t xml:space="preserve">Wk 15</t>
  </si>
  <si>
    <t xml:space="preserve">ZTNA pilot week 1 complete. Latency issue identified for dev tools (10% of users). PAM SOW negotiation underway. FIDO2 procurement escalation to CFO complete — partial shipment negotiated.</t>
  </si>
  <si>
    <t xml:space="preserve">ZTNA latency fix deployment; pilot extension through wk of 4/21 (DC-002). Continue PAM SOW. Begin Access Review RFP draft.</t>
  </si>
  <si>
    <t xml:space="preserve">ZTNA latency mitigation pending architecture review. PAM SOW pricing higher than RFP indicated.</t>
  </si>
  <si>
    <t xml:space="preserve">Need approval on PAM SOW $50K ceiling increase from program contingency (taken to steering 4/16).</t>
  </si>
  <si>
    <t xml:space="preserve">Wk 16</t>
  </si>
  <si>
    <t xml:space="preserve">ZTNA latency mitigation deployed for 90% of cases. PAM SOW $50K increase approved (DC-004). FIDO2 hybrid approach decided (DC-005) — Compliance review scheduled 4/26. Mainframe app removed from IdP scope (DC-006). Access Review RFP issued 4/15.</t>
  </si>
  <si>
    <t xml:space="preserve">Complete ZTNA pilot extended period; finalize architecture review for remaining 10% latency cases; PAM SOW signature target 5/2; Compliance review of FIDO2 hybrid approach.</t>
  </si>
  <si>
    <t xml:space="preserve">PAM SOW signature still pending (P-I-001). FIDO2 hybrid approach awaiting Compliance review. CISO sponsor departure rumor (P-R-004) being monitored.</t>
  </si>
  <si>
    <t xml:space="preserve">None this week. PAM SOW expected to close by 5/2 without further escalation.</t>
  </si>
</sst>
</file>

<file path=xl/styles.xml><?xml version="1.0" encoding="utf-8"?>
<styleSheet xmlns="http://schemas.openxmlformats.org/spreadsheetml/2006/main">
  <numFmts count="7">
    <numFmt numFmtId="164" formatCode="General"/>
    <numFmt numFmtId="165" formatCode="0.0%"/>
    <numFmt numFmtId="166" formatCode="\$#,##0"/>
    <numFmt numFmtId="167" formatCode="\$#,##0;&quot;($&quot;#,##0\);\-"/>
    <numFmt numFmtId="168" formatCode="General"/>
    <numFmt numFmtId="169" formatCode="yyyy\-mm\-dd"/>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24"/>
      <color rgb="FF1F3864"/>
      <name val="Arial"/>
      <family val="2"/>
      <charset val="1"/>
    </font>
    <font>
      <i val="true"/>
      <sz val="12"/>
      <color rgb="FF595959"/>
      <name val="Arial"/>
      <family val="2"/>
      <charset val="1"/>
    </font>
    <font>
      <i val="true"/>
      <sz val="10"/>
      <color rgb="FF595959"/>
      <name val="Arial"/>
      <family val="2"/>
      <charset val="1"/>
    </font>
    <font>
      <b val="true"/>
      <sz val="12"/>
      <color rgb="FF1F3864"/>
      <name val="Arial"/>
      <family val="2"/>
      <charset val="1"/>
    </font>
    <font>
      <b val="true"/>
      <sz val="11"/>
      <color rgb="FF1F3864"/>
      <name val="Arial"/>
      <family val="2"/>
      <charset val="1"/>
    </font>
    <font>
      <sz val="11"/>
      <name val="Arial"/>
      <family val="2"/>
      <charset val="1"/>
    </font>
    <font>
      <b val="true"/>
      <sz val="14"/>
      <color rgb="FF1F3864"/>
      <name val="Arial"/>
      <family val="2"/>
      <charset val="1"/>
    </font>
    <font>
      <b val="true"/>
      <sz val="11"/>
      <color rgb="FFFFFFFF"/>
      <name val="Arial"/>
      <family val="2"/>
      <charset val="1"/>
    </font>
    <font>
      <b val="true"/>
      <sz val="11"/>
      <name val="Arial"/>
      <family val="2"/>
      <charset val="1"/>
    </font>
    <font>
      <i val="true"/>
      <sz val="11"/>
      <color rgb="FF595959"/>
      <name val="Arial"/>
      <family val="2"/>
      <charset val="1"/>
    </font>
    <font>
      <b val="true"/>
      <sz val="20"/>
      <color rgb="FF1F3864"/>
      <name val="Arial"/>
      <family val="2"/>
      <charset val="1"/>
    </font>
  </fonts>
  <fills count="8">
    <fill>
      <patternFill patternType="none"/>
    </fill>
    <fill>
      <patternFill patternType="gray125"/>
    </fill>
    <fill>
      <patternFill patternType="solid">
        <fgColor rgb="FFF2F2F2"/>
        <bgColor rgb="FFFFFFFF"/>
      </patternFill>
    </fill>
    <fill>
      <patternFill patternType="solid">
        <fgColor rgb="FF1F3864"/>
        <bgColor rgb="FF333333"/>
      </patternFill>
    </fill>
    <fill>
      <patternFill patternType="solid">
        <fgColor rgb="FFC6E0B4"/>
        <bgColor rgb="FFD9E2F3"/>
      </patternFill>
    </fill>
    <fill>
      <patternFill patternType="solid">
        <fgColor rgb="FFFFE699"/>
        <bgColor rgb="FFF8CBAD"/>
      </patternFill>
    </fill>
    <fill>
      <patternFill patternType="solid">
        <fgColor rgb="FFF8CBAD"/>
        <bgColor rgb="FFFFE699"/>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left" vertical="top" textRotation="0" wrapText="true" indent="0" shrinkToFit="false"/>
      <protection locked="true" hidden="false"/>
    </xf>
    <xf numFmtId="166" fontId="9" fillId="0" borderId="1" xfId="0" applyFont="true" applyBorder="true" applyAlignment="true" applyProtection="false">
      <alignment horizontal="left" vertical="top" textRotation="0" wrapText="true" indent="0" shrinkToFit="false"/>
      <protection locked="true" hidden="false"/>
    </xf>
    <xf numFmtId="167" fontId="9"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5" fontId="12" fillId="7" borderId="1" xfId="0" applyFont="true" applyBorder="true" applyAlignment="false" applyProtection="false">
      <alignment horizontal="general" vertical="bottom" textRotation="0" wrapText="false" indent="0" shrinkToFit="false"/>
      <protection locked="true" hidden="false"/>
    </xf>
    <xf numFmtId="166" fontId="12" fillId="7" borderId="1" xfId="0" applyFont="true" applyBorder="true" applyAlignment="false" applyProtection="false">
      <alignment horizontal="general" vertical="bottom" textRotation="0" wrapText="false" indent="0" shrinkToFit="false"/>
      <protection locked="true" hidden="false"/>
    </xf>
    <xf numFmtId="167" fontId="12" fillId="7"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left" vertical="center" textRotation="0" wrapText="false" indent="0" shrinkToFit="false"/>
      <protection locked="true" hidden="false"/>
    </xf>
    <xf numFmtId="165" fontId="12" fillId="0" borderId="1" xfId="0" applyFont="true" applyBorder="true" applyAlignment="true" applyProtection="false">
      <alignment horizontal="left" vertical="center" textRotation="0" wrapText="false" indent="0" shrinkToFit="false"/>
      <protection locked="true" hidden="false"/>
    </xf>
    <xf numFmtId="168" fontId="9" fillId="0" borderId="1" xfId="0" applyFont="true" applyBorder="true" applyAlignment="true" applyProtection="false">
      <alignment horizontal="center" vertical="top" textRotation="0" wrapText="false" indent="0" shrinkToFit="false"/>
      <protection locked="true" hidden="false"/>
    </xf>
    <xf numFmtId="169" fontId="9" fillId="0" borderId="1" xfId="0" applyFont="true" applyBorder="true" applyAlignment="true" applyProtection="false">
      <alignment horizontal="left" vertical="top" textRotation="0" wrapText="true" indent="0" shrinkToFit="false"/>
      <protection locked="true" hidden="false"/>
    </xf>
    <xf numFmtId="168" fontId="9" fillId="2" borderId="1" xfId="0" applyFont="true" applyBorder="true" applyAlignment="true" applyProtection="false">
      <alignment horizontal="center" vertical="top" textRotation="0" wrapText="false" indent="0" shrinkToFit="false"/>
      <protection locked="true" hidden="false"/>
    </xf>
    <xf numFmtId="169" fontId="9" fillId="2" borderId="1" xfId="0" applyFont="true" applyBorder="true" applyAlignment="true" applyProtection="false">
      <alignment horizontal="left"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left" vertical="center" textRotation="0" wrapText="true" indent="0" shrinkToFit="false"/>
      <protection locked="true" hidden="false"/>
    </xf>
    <xf numFmtId="169" fontId="9" fillId="0"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left" vertical="top" textRotation="0" wrapText="true" indent="0" shrinkToFit="false"/>
      <protection locked="true" hidden="false"/>
    </xf>
    <xf numFmtId="170" fontId="12" fillId="0" borderId="1" xfId="0" applyFont="true" applyBorder="true" applyAlignment="true" applyProtection="false">
      <alignment horizontal="left" vertical="top" textRotation="0" wrapText="true" indent="0" shrinkToFit="false"/>
      <protection locked="true" hidden="false"/>
    </xf>
    <xf numFmtId="166" fontId="9" fillId="2" borderId="1" xfId="0" applyFont="true" applyBorder="true" applyAlignment="true" applyProtection="false">
      <alignment horizontal="left"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7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0"/>
    <col collapsed="false" customWidth="true" hidden="false" outlineLevel="0" max="6" min="4" style="0" width="22"/>
  </cols>
  <sheetData>
    <row r="1" customFormat="false" ht="16.5" hidden="false" customHeight="true" outlineLevel="0" collapsed="false"/>
    <row r="2" customFormat="false" ht="33" hidden="false" customHeight="true" outlineLevel="0" collapsed="false">
      <c r="B2" s="1" t="s">
        <v>0</v>
      </c>
    </row>
    <row r="3" customFormat="false" ht="16.5" hidden="false" customHeight="true" outlineLevel="0" collapsed="false">
      <c r="B3" s="2" t="s">
        <v>1</v>
      </c>
    </row>
    <row r="4" customFormat="false" ht="16.5" hidden="false" customHeight="true" outlineLevel="0" collapsed="false">
      <c r="B4" s="3" t="s">
        <v>2</v>
      </c>
    </row>
    <row r="5" customFormat="false" ht="16.5" hidden="false" customHeight="true" outlineLevel="0" collapsed="false">
      <c r="B5" s="4" t="s">
        <v>3</v>
      </c>
    </row>
    <row r="6" customFormat="false" ht="16.5" hidden="false" customHeight="true" outlineLevel="0" collapsed="false"/>
    <row r="7" customFormat="false" ht="16.5" hidden="false" customHeight="true" outlineLevel="0" collapsed="false">
      <c r="B7" s="5" t="s">
        <v>4</v>
      </c>
      <c r="C7" s="6" t="s">
        <v>5</v>
      </c>
      <c r="D7" s="6"/>
      <c r="E7" s="6"/>
      <c r="F7" s="6"/>
    </row>
    <row r="8" customFormat="false" ht="16.5" hidden="false" customHeight="true" outlineLevel="0" collapsed="false">
      <c r="B8" s="5" t="s">
        <v>6</v>
      </c>
      <c r="C8" s="6" t="s">
        <v>7</v>
      </c>
      <c r="D8" s="6"/>
      <c r="E8" s="6"/>
      <c r="F8" s="6"/>
    </row>
    <row r="9" customFormat="false" ht="16.5" hidden="false" customHeight="true" outlineLevel="0" collapsed="false">
      <c r="B9" s="5" t="s">
        <v>8</v>
      </c>
      <c r="C9" s="6" t="s">
        <v>9</v>
      </c>
      <c r="D9" s="6"/>
      <c r="E9" s="6"/>
      <c r="F9" s="6"/>
    </row>
    <row r="10" customFormat="false" ht="16.5" hidden="false" customHeight="true" outlineLevel="0" collapsed="false">
      <c r="B10" s="5" t="s">
        <v>10</v>
      </c>
      <c r="C10" s="6" t="s">
        <v>11</v>
      </c>
      <c r="D10" s="6"/>
      <c r="E10" s="6"/>
      <c r="F10" s="6"/>
    </row>
    <row r="11" customFormat="false" ht="16.5" hidden="false" customHeight="true" outlineLevel="0" collapsed="false">
      <c r="B11" s="5" t="s">
        <v>12</v>
      </c>
      <c r="C11" s="6" t="s">
        <v>13</v>
      </c>
      <c r="D11" s="6"/>
      <c r="E11" s="6"/>
      <c r="F11" s="6"/>
    </row>
    <row r="12" customFormat="false" ht="16.5" hidden="false" customHeight="true" outlineLevel="0" collapsed="false">
      <c r="B12" s="5" t="s">
        <v>14</v>
      </c>
      <c r="C12" s="6" t="s">
        <v>15</v>
      </c>
      <c r="D12" s="6"/>
      <c r="E12" s="6"/>
      <c r="F12" s="6"/>
    </row>
    <row r="13" customFormat="false" ht="16.5" hidden="false" customHeight="true" outlineLevel="0" collapsed="false">
      <c r="B13" s="5" t="s">
        <v>16</v>
      </c>
      <c r="C13" s="6" t="s">
        <v>17</v>
      </c>
      <c r="D13" s="6"/>
      <c r="E13" s="6"/>
      <c r="F13" s="6"/>
    </row>
    <row r="14" customFormat="false" ht="16.5" hidden="false" customHeight="true" outlineLevel="0" collapsed="false">
      <c r="B14" s="5" t="s">
        <v>18</v>
      </c>
      <c r="C14" s="6" t="s">
        <v>19</v>
      </c>
      <c r="D14" s="6"/>
      <c r="E14" s="6"/>
      <c r="F14" s="6"/>
    </row>
    <row r="15" customFormat="false" ht="16.5" hidden="false" customHeight="true" outlineLevel="0" collapsed="false">
      <c r="B15" s="5" t="s">
        <v>20</v>
      </c>
      <c r="C15" s="6" t="s">
        <v>21</v>
      </c>
      <c r="D15" s="6"/>
      <c r="E15" s="6"/>
      <c r="F15" s="6"/>
    </row>
    <row r="16" customFormat="false" ht="16.5" hidden="false" customHeight="true" outlineLevel="0" collapsed="false">
      <c r="B16" s="5" t="s">
        <v>22</v>
      </c>
      <c r="C16" s="6" t="s">
        <v>23</v>
      </c>
      <c r="D16" s="6"/>
      <c r="E16" s="6"/>
      <c r="F16" s="6"/>
    </row>
    <row r="17" customFormat="false" ht="60" hidden="false" customHeight="true" outlineLevel="0" collapsed="false">
      <c r="B17" s="5" t="s">
        <v>24</v>
      </c>
      <c r="C17" s="6" t="s">
        <v>25</v>
      </c>
      <c r="D17" s="6"/>
      <c r="E17" s="6"/>
      <c r="F17" s="6"/>
    </row>
    <row r="18" customFormat="false" ht="16.5" hidden="false" customHeight="true" outlineLevel="0" collapsed="false">
      <c r="B18" s="5" t="s">
        <v>26</v>
      </c>
      <c r="C18" s="6" t="s">
        <v>27</v>
      </c>
      <c r="D18" s="6"/>
      <c r="E18" s="6"/>
      <c r="F18" s="6"/>
    </row>
    <row r="19" customFormat="false" ht="16.5" hidden="false" customHeight="true" outlineLevel="0" collapsed="false">
      <c r="B19" s="5" t="s">
        <v>28</v>
      </c>
      <c r="C19" s="6" t="s">
        <v>29</v>
      </c>
      <c r="D19" s="6"/>
      <c r="E19" s="6"/>
      <c r="F19" s="6"/>
    </row>
    <row r="20" customFormat="false" ht="16.5" hidden="false" customHeight="true" outlineLevel="0" collapsed="false">
      <c r="B20" s="5" t="s">
        <v>30</v>
      </c>
      <c r="C20" s="6" t="s">
        <v>31</v>
      </c>
      <c r="D20" s="6"/>
      <c r="E20" s="6"/>
      <c r="F20" s="6"/>
    </row>
    <row r="21" customFormat="false" ht="16.5" hidden="false" customHeight="true" outlineLevel="0" collapsed="false"/>
    <row r="22" customFormat="false" ht="16.5" hidden="false" customHeight="true" outlineLevel="0" collapsed="false">
      <c r="B22" s="7" t="s">
        <v>32</v>
      </c>
    </row>
    <row r="23" customFormat="false" ht="16.5" hidden="false" customHeight="true" outlineLevel="0" collapsed="false"/>
    <row r="24" customFormat="false" ht="27.75" hidden="false" customHeight="true" outlineLevel="0" collapsed="false">
      <c r="B24" s="8" t="s">
        <v>33</v>
      </c>
      <c r="C24" s="8" t="s">
        <v>34</v>
      </c>
    </row>
    <row r="25" customFormat="false" ht="60" hidden="false" customHeight="true" outlineLevel="0" collapsed="false">
      <c r="B25" s="9" t="s">
        <v>35</v>
      </c>
      <c r="C25" s="10" t="s">
        <v>36</v>
      </c>
      <c r="D25" s="10"/>
      <c r="E25" s="10"/>
      <c r="F25" s="10"/>
    </row>
    <row r="26" customFormat="false" ht="60" hidden="false" customHeight="true" outlineLevel="0" collapsed="false">
      <c r="B26" s="11" t="s">
        <v>23</v>
      </c>
      <c r="C26" s="10" t="s">
        <v>37</v>
      </c>
      <c r="D26" s="10"/>
      <c r="E26" s="10"/>
      <c r="F26" s="10"/>
    </row>
    <row r="27" customFormat="false" ht="60" hidden="false" customHeight="true" outlineLevel="0" collapsed="false">
      <c r="B27" s="12" t="s">
        <v>38</v>
      </c>
      <c r="C27" s="10" t="s">
        <v>39</v>
      </c>
      <c r="D27" s="10"/>
      <c r="E27" s="10"/>
      <c r="F27" s="10"/>
    </row>
    <row r="28" customFormat="false" ht="16.5" hidden="false" customHeight="true" outlineLevel="0" collapsed="false"/>
    <row r="29" customFormat="false" ht="39.75" hidden="false" customHeight="true" outlineLevel="0" collapsed="false">
      <c r="B29" s="13" t="s">
        <v>40</v>
      </c>
      <c r="C29" s="13"/>
      <c r="D29" s="13"/>
      <c r="E29" s="13"/>
      <c r="F29" s="13"/>
    </row>
    <row r="30" customFormat="false" ht="16.5" hidden="false" customHeight="true" outlineLevel="0" collapsed="false"/>
    <row r="31" customFormat="false" ht="16.5" hidden="false" customHeight="true" outlineLevel="0" collapsed="false"/>
    <row r="32" customFormat="false" ht="16.5" hidden="false" customHeight="true" outlineLevel="0" collapsed="false"/>
    <row r="33" customFormat="false" ht="16.5" hidden="false" customHeight="true" outlineLevel="0" collapsed="false">
      <c r="B33" s="7" t="s">
        <v>41</v>
      </c>
    </row>
    <row r="34" customFormat="false" ht="16.5" hidden="false" customHeight="true" outlineLevel="0" collapsed="false"/>
    <row r="35" customFormat="false" ht="27.75" hidden="false" customHeight="true" outlineLevel="0" collapsed="false">
      <c r="B35" s="8" t="s">
        <v>42</v>
      </c>
      <c r="C35" s="8" t="s">
        <v>43</v>
      </c>
      <c r="D35" s="8" t="s">
        <v>44</v>
      </c>
      <c r="E35" s="8" t="s">
        <v>45</v>
      </c>
    </row>
    <row r="36" customFormat="false" ht="31.5" hidden="false" customHeight="true" outlineLevel="0" collapsed="false">
      <c r="B36" s="10" t="s">
        <v>46</v>
      </c>
      <c r="C36" s="10" t="s">
        <v>47</v>
      </c>
      <c r="D36" s="10" t="s">
        <v>48</v>
      </c>
      <c r="E36" s="10" t="s">
        <v>49</v>
      </c>
    </row>
    <row r="37" customFormat="false" ht="48" hidden="false" customHeight="true" outlineLevel="0" collapsed="false">
      <c r="B37" s="14" t="s">
        <v>50</v>
      </c>
      <c r="C37" s="14" t="s">
        <v>51</v>
      </c>
      <c r="D37" s="14" t="s">
        <v>52</v>
      </c>
      <c r="E37" s="14" t="s">
        <v>53</v>
      </c>
    </row>
    <row r="38" customFormat="false" ht="48" hidden="false" customHeight="true" outlineLevel="0" collapsed="false">
      <c r="B38" s="10" t="s">
        <v>54</v>
      </c>
      <c r="C38" s="10" t="s">
        <v>55</v>
      </c>
      <c r="D38" s="10" t="s">
        <v>56</v>
      </c>
      <c r="E38" s="10" t="s">
        <v>57</v>
      </c>
    </row>
    <row r="39" customFormat="false" ht="31.5" hidden="false" customHeight="true" outlineLevel="0" collapsed="false">
      <c r="B39" s="14" t="s">
        <v>58</v>
      </c>
      <c r="C39" s="14" t="s">
        <v>59</v>
      </c>
      <c r="D39" s="14" t="s">
        <v>60</v>
      </c>
      <c r="E39" s="14" t="s">
        <v>57</v>
      </c>
    </row>
    <row r="40" customFormat="false" ht="31.5" hidden="false" customHeight="true" outlineLevel="0" collapsed="false">
      <c r="B40" s="10" t="s">
        <v>61</v>
      </c>
      <c r="C40" s="10" t="s">
        <v>62</v>
      </c>
      <c r="D40" s="10" t="s">
        <v>63</v>
      </c>
      <c r="E40" s="10" t="s">
        <v>64</v>
      </c>
    </row>
    <row r="41" customFormat="false" ht="48" hidden="false" customHeight="true" outlineLevel="0" collapsed="false">
      <c r="B41" s="14" t="s">
        <v>65</v>
      </c>
      <c r="C41" s="14" t="s">
        <v>66</v>
      </c>
      <c r="D41" s="14" t="s">
        <v>67</v>
      </c>
      <c r="E41" s="14" t="s">
        <v>68</v>
      </c>
    </row>
    <row r="42" customFormat="false" ht="31.5" hidden="false" customHeight="true" outlineLevel="0" collapsed="false">
      <c r="B42" s="10" t="s">
        <v>69</v>
      </c>
      <c r="C42" s="10" t="s">
        <v>70</v>
      </c>
      <c r="D42" s="10" t="s">
        <v>71</v>
      </c>
      <c r="E42" s="10" t="s">
        <v>72</v>
      </c>
    </row>
    <row r="43" customFormat="false" ht="31.5" hidden="false" customHeight="true" outlineLevel="0" collapsed="false">
      <c r="B43" s="14" t="s">
        <v>73</v>
      </c>
      <c r="C43" s="14" t="s">
        <v>74</v>
      </c>
      <c r="D43" s="14" t="s">
        <v>75</v>
      </c>
      <c r="E43" s="14" t="s">
        <v>76</v>
      </c>
    </row>
    <row r="44" customFormat="false" ht="48" hidden="false" customHeight="true" outlineLevel="0" collapsed="false">
      <c r="B44" s="10" t="s">
        <v>77</v>
      </c>
      <c r="C44" s="10" t="s">
        <v>78</v>
      </c>
      <c r="D44" s="10" t="s">
        <v>79</v>
      </c>
      <c r="E44" s="10" t="s">
        <v>57</v>
      </c>
    </row>
    <row r="45" customFormat="false" ht="48" hidden="false" customHeight="true" outlineLevel="0" collapsed="false">
      <c r="B45" s="14" t="s">
        <v>80</v>
      </c>
      <c r="C45" s="14" t="s">
        <v>81</v>
      </c>
      <c r="D45" s="14" t="s">
        <v>82</v>
      </c>
      <c r="E45" s="14" t="s">
        <v>83</v>
      </c>
    </row>
    <row r="46" customFormat="false" ht="31.5" hidden="false" customHeight="true" outlineLevel="0" collapsed="false">
      <c r="B46" s="10" t="s">
        <v>84</v>
      </c>
      <c r="C46" s="10" t="s">
        <v>85</v>
      </c>
      <c r="D46" s="10" t="s">
        <v>86</v>
      </c>
      <c r="E46" s="10" t="s">
        <v>87</v>
      </c>
    </row>
    <row r="47" customFormat="false" ht="31.5" hidden="false" customHeight="true" outlineLevel="0" collapsed="false">
      <c r="B47" s="14" t="s">
        <v>88</v>
      </c>
      <c r="C47" s="14" t="s">
        <v>89</v>
      </c>
      <c r="D47" s="14" t="s">
        <v>90</v>
      </c>
      <c r="E47" s="14" t="s">
        <v>91</v>
      </c>
    </row>
    <row r="48" customFormat="false" ht="16.5" hidden="false" customHeight="true" outlineLevel="0" collapsed="false"/>
    <row r="49" customFormat="false" ht="16.5" hidden="false" customHeight="true" outlineLevel="0" collapsed="false"/>
    <row r="50" customFormat="false" ht="16.5" hidden="false" customHeight="true" outlineLevel="0" collapsed="false"/>
    <row r="51" customFormat="false" ht="16.5" hidden="false" customHeight="true" outlineLevel="0" collapsed="false">
      <c r="B51" s="7" t="s">
        <v>92</v>
      </c>
    </row>
    <row r="52" customFormat="false" ht="16.5" hidden="false" customHeight="true" outlineLevel="0" collapsed="false"/>
    <row r="53" customFormat="false" ht="27.75" hidden="false" customHeight="true" outlineLevel="0" collapsed="false">
      <c r="B53" s="15" t="s">
        <v>93</v>
      </c>
      <c r="C53" s="15"/>
      <c r="D53" s="15"/>
      <c r="E53" s="15"/>
      <c r="F53" s="15"/>
    </row>
    <row r="54" customFormat="false" ht="27.75" hidden="false" customHeight="true" outlineLevel="0" collapsed="false">
      <c r="B54" s="15" t="s">
        <v>94</v>
      </c>
      <c r="C54" s="15"/>
      <c r="D54" s="15"/>
      <c r="E54" s="15"/>
      <c r="F54" s="15"/>
    </row>
    <row r="55" customFormat="false" ht="27.75" hidden="false" customHeight="true" outlineLevel="0" collapsed="false">
      <c r="B55" s="15" t="s">
        <v>95</v>
      </c>
      <c r="C55" s="15"/>
      <c r="D55" s="15"/>
      <c r="E55" s="15"/>
      <c r="F55" s="15"/>
    </row>
    <row r="56" customFormat="false" ht="31.5" hidden="false" customHeight="true" outlineLevel="0" collapsed="false">
      <c r="B56" s="15" t="s">
        <v>96</v>
      </c>
      <c r="C56" s="15"/>
      <c r="D56" s="15"/>
      <c r="E56" s="15"/>
      <c r="F56" s="15"/>
    </row>
    <row r="57" customFormat="false" ht="31.5" hidden="false" customHeight="true" outlineLevel="0" collapsed="false">
      <c r="B57" s="15" t="s">
        <v>97</v>
      </c>
      <c r="C57" s="15"/>
      <c r="D57" s="15"/>
      <c r="E57" s="15"/>
      <c r="F57" s="15"/>
    </row>
    <row r="58" customFormat="false" ht="16.5" hidden="false" customHeight="true" outlineLevel="0" collapsed="false"/>
    <row r="59" customFormat="false" ht="16.5" hidden="false" customHeight="true" outlineLevel="0" collapsed="false"/>
    <row r="60" customFormat="false" ht="16.5" hidden="false" customHeight="true" outlineLevel="0" collapsed="false">
      <c r="B60" s="7" t="s">
        <v>98</v>
      </c>
    </row>
    <row r="61" customFormat="false" ht="16.5" hidden="false" customHeight="true" outlineLevel="0" collapsed="false"/>
    <row r="62" customFormat="false" ht="21.75" hidden="false" customHeight="true" outlineLevel="0" collapsed="false">
      <c r="B62" s="15" t="s">
        <v>99</v>
      </c>
      <c r="C62" s="15"/>
      <c r="D62" s="15"/>
      <c r="E62" s="15"/>
      <c r="F62" s="15"/>
    </row>
    <row r="63" customFormat="false" ht="21.75" hidden="false" customHeight="true" outlineLevel="0" collapsed="false">
      <c r="B63" s="15" t="s">
        <v>100</v>
      </c>
      <c r="C63" s="15"/>
      <c r="D63" s="15"/>
      <c r="E63" s="15"/>
      <c r="F63" s="15"/>
    </row>
    <row r="64" customFormat="false" ht="21.75" hidden="false" customHeight="true" outlineLevel="0" collapsed="false">
      <c r="B64" s="15" t="s">
        <v>101</v>
      </c>
      <c r="C64" s="15"/>
      <c r="D64" s="15"/>
      <c r="E64" s="15"/>
      <c r="F64" s="15"/>
    </row>
    <row r="65" customFormat="false" ht="21.75" hidden="false" customHeight="true" outlineLevel="0" collapsed="false">
      <c r="B65" s="15" t="s">
        <v>102</v>
      </c>
      <c r="C65" s="15"/>
      <c r="D65" s="15"/>
      <c r="E65" s="15"/>
      <c r="F65" s="15"/>
    </row>
    <row r="66" customFormat="false" ht="21.75" hidden="false" customHeight="true" outlineLevel="0" collapsed="false">
      <c r="B66" s="15" t="s">
        <v>103</v>
      </c>
      <c r="C66" s="15"/>
      <c r="D66" s="15"/>
      <c r="E66" s="15"/>
      <c r="F66" s="15"/>
    </row>
    <row r="67" customFormat="false" ht="21.75" hidden="false" customHeight="true" outlineLevel="0" collapsed="false">
      <c r="B67" s="15" t="s">
        <v>104</v>
      </c>
      <c r="C67" s="15"/>
      <c r="D67" s="15"/>
      <c r="E67" s="15"/>
      <c r="F67" s="15"/>
    </row>
    <row r="68" customFormat="false" ht="21.75" hidden="false" customHeight="true" outlineLevel="0" collapsed="false">
      <c r="B68" s="15" t="s">
        <v>105</v>
      </c>
      <c r="C68" s="15"/>
      <c r="D68" s="15"/>
      <c r="E68" s="15"/>
      <c r="F68" s="15"/>
    </row>
    <row r="69" customFormat="false" ht="21.75" hidden="false" customHeight="true" outlineLevel="0" collapsed="false">
      <c r="B69" s="15" t="s">
        <v>106</v>
      </c>
      <c r="C69" s="15"/>
      <c r="D69" s="15"/>
      <c r="E69" s="15"/>
      <c r="F69" s="15"/>
    </row>
    <row r="70" customFormat="false" ht="21.75" hidden="false" customHeight="true" outlineLevel="0" collapsed="false">
      <c r="B70" s="15" t="s">
        <v>107</v>
      </c>
      <c r="C70" s="15"/>
      <c r="D70" s="15"/>
      <c r="E70" s="15"/>
      <c r="F70" s="15"/>
    </row>
    <row r="71" customFormat="false" ht="21.75" hidden="false" customHeight="true" outlineLevel="0" collapsed="false">
      <c r="B71" s="15" t="s">
        <v>108</v>
      </c>
      <c r="C71" s="15"/>
      <c r="D71" s="15"/>
      <c r="E71" s="15"/>
      <c r="F71" s="15"/>
    </row>
    <row r="72" customFormat="false" ht="16.5" hidden="false" customHeight="true" outlineLevel="0" collapsed="false"/>
    <row r="73" customFormat="false" ht="16.5" hidden="false" customHeight="true" outlineLevel="0" collapsed="false"/>
    <row r="74" customFormat="false" ht="16.5" hidden="false" customHeight="true" outlineLevel="0" collapsed="false">
      <c r="B74" s="7" t="s">
        <v>109</v>
      </c>
    </row>
    <row r="75" customFormat="false" ht="16.5" hidden="false" customHeight="true" outlineLevel="0" collapsed="false"/>
    <row r="76" customFormat="false" ht="27.75" hidden="false" customHeight="true" outlineLevel="0" collapsed="false">
      <c r="B76" s="15" t="s">
        <v>110</v>
      </c>
      <c r="C76" s="15"/>
      <c r="D76" s="15"/>
      <c r="E76" s="15"/>
      <c r="F76" s="15"/>
    </row>
    <row r="77" customFormat="false" ht="31.5" hidden="false" customHeight="true" outlineLevel="0" collapsed="false">
      <c r="B77" s="15" t="s">
        <v>111</v>
      </c>
      <c r="C77" s="15"/>
      <c r="D77" s="15"/>
      <c r="E77" s="15"/>
      <c r="F77" s="15"/>
    </row>
    <row r="78" customFormat="false" ht="31.5" hidden="false" customHeight="true" outlineLevel="0" collapsed="false">
      <c r="B78" s="15" t="s">
        <v>112</v>
      </c>
      <c r="C78" s="15"/>
      <c r="D78" s="15"/>
      <c r="E78" s="15"/>
      <c r="F78" s="15"/>
    </row>
    <row r="79" customFormat="false" ht="27.75" hidden="false" customHeight="true" outlineLevel="0" collapsed="false">
      <c r="B79" s="15" t="s">
        <v>113</v>
      </c>
      <c r="C79" s="15"/>
      <c r="D79" s="15"/>
      <c r="E79" s="15"/>
      <c r="F79" s="15"/>
    </row>
  </sheetData>
  <mergeCells count="37">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5:F25"/>
    <mergeCell ref="C26:F26"/>
    <mergeCell ref="C27:F27"/>
    <mergeCell ref="B29:F29"/>
    <mergeCell ref="B53:F53"/>
    <mergeCell ref="B54:F54"/>
    <mergeCell ref="B55:F55"/>
    <mergeCell ref="B56:F56"/>
    <mergeCell ref="B57:F57"/>
    <mergeCell ref="B62:F62"/>
    <mergeCell ref="B63:F63"/>
    <mergeCell ref="B64:F64"/>
    <mergeCell ref="B65:F65"/>
    <mergeCell ref="B66:F66"/>
    <mergeCell ref="B67:F67"/>
    <mergeCell ref="B68:F68"/>
    <mergeCell ref="B69:F69"/>
    <mergeCell ref="B70:F70"/>
    <mergeCell ref="B71:F71"/>
    <mergeCell ref="B76:F76"/>
    <mergeCell ref="B77:F77"/>
    <mergeCell ref="B78:F78"/>
    <mergeCell ref="B79:F79"/>
  </mergeCells>
  <conditionalFormatting sqref="C16">
    <cfRule type="expression" priority="2" aboveAverage="0" equalAverage="0" bottom="0" percent="0" rank="0" text="" dxfId="0">
      <formula>EXACT(C16,"Off-Track")</formula>
    </cfRule>
    <cfRule type="expression" priority="3" aboveAverage="0" equalAverage="0" bottom="0" percent="0" rank="0" text="" dxfId="1">
      <formula>EXACT(C16,"At-Risk")</formula>
    </cfRule>
    <cfRule type="expression" priority="4" aboveAverage="0" equalAverage="0" bottom="0" percent="0" rank="0" text="" dxfId="2">
      <formula>EXACT(C16,"On-Track")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6"/>
    <col collapsed="false" customWidth="true" hidden="false" outlineLevel="0" max="4" min="4" style="0" width="22"/>
    <col collapsed="false" customWidth="true" hidden="false" outlineLevel="0" max="5" min="5" style="0" width="12"/>
    <col collapsed="false" customWidth="true" hidden="false" outlineLevel="0" max="9" min="6" style="0" width="14"/>
    <col collapsed="false" customWidth="true" hidden="false" outlineLevel="0" max="10" min="10" style="0" width="18"/>
    <col collapsed="false" customWidth="true" hidden="false" outlineLevel="0" max="11" min="11" style="0" width="26"/>
    <col collapsed="false" customWidth="true" hidden="false" outlineLevel="0" max="12" min="12" style="0" width="30"/>
  </cols>
  <sheetData>
    <row r="1" customFormat="false" ht="16.5" hidden="false" customHeight="true" outlineLevel="0" collapsed="false"/>
    <row r="2" customFormat="false" ht="27.75" hidden="false" customHeight="true" outlineLevel="0" collapsed="false">
      <c r="B2" s="16" t="s">
        <v>114</v>
      </c>
    </row>
    <row r="3" customFormat="false" ht="16.5" hidden="false" customHeight="true" outlineLevel="0" collapsed="false">
      <c r="B3" s="17" t="s">
        <v>115</v>
      </c>
    </row>
    <row r="4" customFormat="false" ht="16.5" hidden="false" customHeight="true" outlineLevel="0" collapsed="false"/>
    <row r="5" customFormat="false" ht="36" hidden="false" customHeight="true" outlineLevel="0" collapsed="false">
      <c r="B5" s="8" t="s">
        <v>42</v>
      </c>
      <c r="C5" s="8" t="s">
        <v>116</v>
      </c>
      <c r="D5" s="8" t="s">
        <v>117</v>
      </c>
      <c r="E5" s="8" t="s">
        <v>118</v>
      </c>
      <c r="F5" s="8" t="s">
        <v>33</v>
      </c>
      <c r="G5" s="8" t="s">
        <v>119</v>
      </c>
      <c r="H5" s="8" t="s">
        <v>120</v>
      </c>
      <c r="I5" s="8" t="s">
        <v>121</v>
      </c>
      <c r="J5" s="8" t="s">
        <v>122</v>
      </c>
      <c r="K5" s="8" t="s">
        <v>123</v>
      </c>
      <c r="L5" s="8" t="s">
        <v>124</v>
      </c>
    </row>
    <row r="6" customFormat="false" ht="60" hidden="false" customHeight="true" outlineLevel="0" collapsed="false">
      <c r="B6" s="10" t="s">
        <v>46</v>
      </c>
      <c r="C6" s="10" t="s">
        <v>125</v>
      </c>
      <c r="D6" s="10" t="s">
        <v>126</v>
      </c>
      <c r="E6" s="10" t="s">
        <v>127</v>
      </c>
      <c r="F6" s="10" t="s">
        <v>35</v>
      </c>
      <c r="G6" s="18" t="n">
        <v>0.65</v>
      </c>
      <c r="H6" s="19" t="n">
        <v>1850000</v>
      </c>
      <c r="I6" s="19" t="n">
        <v>1200000</v>
      </c>
      <c r="J6" s="20" t="n">
        <f aca="false">H6-I6</f>
        <v>650000</v>
      </c>
      <c r="K6" s="10" t="s">
        <v>128</v>
      </c>
      <c r="L6" s="10" t="s">
        <v>129</v>
      </c>
    </row>
    <row r="7" customFormat="false" ht="63" hidden="false" customHeight="true" outlineLevel="0" collapsed="false">
      <c r="B7" s="10" t="s">
        <v>50</v>
      </c>
      <c r="C7" s="10" t="s">
        <v>130</v>
      </c>
      <c r="D7" s="10" t="s">
        <v>131</v>
      </c>
      <c r="E7" s="10" t="s">
        <v>127</v>
      </c>
      <c r="F7" s="10" t="s">
        <v>23</v>
      </c>
      <c r="G7" s="18" t="n">
        <v>0.45</v>
      </c>
      <c r="H7" s="19" t="n">
        <v>2100000</v>
      </c>
      <c r="I7" s="19" t="n">
        <v>1050000</v>
      </c>
      <c r="J7" s="20" t="n">
        <f aca="false">H7-I7</f>
        <v>1050000</v>
      </c>
      <c r="K7" s="10" t="s">
        <v>132</v>
      </c>
      <c r="L7" s="10" t="s">
        <v>133</v>
      </c>
    </row>
    <row r="8" customFormat="false" ht="60" hidden="false" customHeight="true" outlineLevel="0" collapsed="false">
      <c r="B8" s="10" t="s">
        <v>54</v>
      </c>
      <c r="C8" s="10" t="s">
        <v>134</v>
      </c>
      <c r="D8" s="10" t="s">
        <v>135</v>
      </c>
      <c r="E8" s="10" t="s">
        <v>136</v>
      </c>
      <c r="F8" s="10" t="s">
        <v>35</v>
      </c>
      <c r="G8" s="18" t="n">
        <v>0.2</v>
      </c>
      <c r="H8" s="19" t="n">
        <v>1600000</v>
      </c>
      <c r="I8" s="19" t="n">
        <v>280000</v>
      </c>
      <c r="J8" s="20" t="n">
        <f aca="false">H8-I8</f>
        <v>1320000</v>
      </c>
      <c r="K8" s="10" t="s">
        <v>137</v>
      </c>
      <c r="L8" s="10" t="s">
        <v>138</v>
      </c>
    </row>
    <row r="9" customFormat="false" ht="63" hidden="false" customHeight="true" outlineLevel="0" collapsed="false">
      <c r="B9" s="10" t="s">
        <v>58</v>
      </c>
      <c r="C9" s="10" t="s">
        <v>139</v>
      </c>
      <c r="D9" s="10" t="s">
        <v>140</v>
      </c>
      <c r="E9" s="10" t="s">
        <v>127</v>
      </c>
      <c r="F9" s="10" t="s">
        <v>38</v>
      </c>
      <c r="G9" s="18" t="n">
        <v>0.3</v>
      </c>
      <c r="H9" s="19" t="n">
        <v>1100000</v>
      </c>
      <c r="I9" s="19" t="n">
        <v>680000</v>
      </c>
      <c r="J9" s="20" t="n">
        <f aca="false">H9-I9</f>
        <v>420000</v>
      </c>
      <c r="K9" s="10" t="s">
        <v>141</v>
      </c>
      <c r="L9" s="10" t="s">
        <v>142</v>
      </c>
    </row>
    <row r="10" customFormat="false" ht="60" hidden="false" customHeight="true" outlineLevel="0" collapsed="false">
      <c r="B10" s="10" t="s">
        <v>61</v>
      </c>
      <c r="C10" s="10" t="s">
        <v>143</v>
      </c>
      <c r="D10" s="10" t="s">
        <v>144</v>
      </c>
      <c r="E10" s="10" t="s">
        <v>145</v>
      </c>
      <c r="F10" s="10" t="s">
        <v>35</v>
      </c>
      <c r="G10" s="18" t="n">
        <v>0.1</v>
      </c>
      <c r="H10" s="19" t="n">
        <v>750000</v>
      </c>
      <c r="I10" s="19" t="n">
        <v>35000</v>
      </c>
      <c r="J10" s="20" t="n">
        <f aca="false">H10-I10</f>
        <v>715000</v>
      </c>
      <c r="K10" s="10" t="s">
        <v>146</v>
      </c>
      <c r="L10" s="10" t="s">
        <v>147</v>
      </c>
    </row>
    <row r="11" customFormat="false" ht="27.75" hidden="false" customHeight="true" outlineLevel="0" collapsed="false">
      <c r="C11" s="21" t="s">
        <v>148</v>
      </c>
      <c r="G11" s="22" t="n">
        <f aca="false">SUMPRODUCT(G6:G10,H6:H10)/SUM(H6:H10)</f>
        <v>0.388175675675676</v>
      </c>
      <c r="H11" s="23" t="n">
        <f aca="false">SUM(H6:H10)</f>
        <v>7400000</v>
      </c>
      <c r="I11" s="23" t="n">
        <f aca="false">SUM(I6:I10)</f>
        <v>3245000</v>
      </c>
      <c r="J11" s="24" t="n">
        <f aca="false">H11-I11</f>
        <v>4155000</v>
      </c>
    </row>
    <row r="12" customFormat="false" ht="16.5" hidden="false" customHeight="true" outlineLevel="0" collapsed="false"/>
    <row r="13" customFormat="false" ht="16.5" hidden="false" customHeight="true" outlineLevel="0" collapsed="false"/>
    <row r="14" customFormat="false" ht="16.5" hidden="false" customHeight="true" outlineLevel="0" collapsed="false">
      <c r="B14" s="4" t="s">
        <v>149</v>
      </c>
    </row>
    <row r="15" customFormat="false" ht="49.5" hidden="false" customHeight="true" outlineLevel="0" collapsed="false">
      <c r="B15" s="13" t="s">
        <v>150</v>
      </c>
      <c r="C15" s="13"/>
      <c r="D15" s="13"/>
      <c r="E15" s="13"/>
      <c r="F15" s="13"/>
      <c r="G15" s="13"/>
      <c r="H15" s="13"/>
      <c r="I15" s="13"/>
      <c r="J15" s="13"/>
      <c r="K15" s="13"/>
      <c r="L15" s="13"/>
    </row>
    <row r="16" customFormat="false" ht="16.5" hidden="false" customHeight="true" outlineLevel="0" collapsed="false"/>
    <row r="17" customFormat="false" ht="16.5" hidden="false" customHeight="true" outlineLevel="0" collapsed="false">
      <c r="B17" s="4" t="s">
        <v>151</v>
      </c>
    </row>
    <row r="18" customFormat="false" ht="60" hidden="false" customHeight="true" outlineLevel="0" collapsed="false">
      <c r="B18" s="13" t="s">
        <v>152</v>
      </c>
      <c r="C18" s="13"/>
      <c r="D18" s="13"/>
      <c r="E18" s="13"/>
      <c r="F18" s="13"/>
      <c r="G18" s="13"/>
      <c r="H18" s="13"/>
      <c r="I18" s="13"/>
      <c r="J18" s="13"/>
      <c r="K18" s="13"/>
      <c r="L18" s="13"/>
    </row>
    <row r="19" customFormat="false" ht="16.5" hidden="false" customHeight="true" outlineLevel="0" collapsed="false"/>
    <row r="20" customFormat="false" ht="16.5" hidden="false" customHeight="true" outlineLevel="0" collapsed="false"/>
    <row r="21" customFormat="false" ht="16.5" hidden="false" customHeight="true" outlineLevel="0" collapsed="false">
      <c r="B21" s="4" t="s">
        <v>153</v>
      </c>
    </row>
    <row r="22" customFormat="false" ht="16.5" hidden="false" customHeight="true" outlineLevel="0" collapsed="false"/>
    <row r="23" customFormat="false" ht="21.75" hidden="false" customHeight="true" outlineLevel="0" collapsed="false">
      <c r="B23" s="5" t="s">
        <v>154</v>
      </c>
      <c r="C23" s="5"/>
      <c r="D23" s="25" t="n">
        <f aca="false">COUNTIF(F6:F10,"On-Track")</f>
        <v>3</v>
      </c>
    </row>
    <row r="24" customFormat="false" ht="21.75" hidden="false" customHeight="true" outlineLevel="0" collapsed="false">
      <c r="B24" s="5" t="s">
        <v>155</v>
      </c>
      <c r="C24" s="5"/>
      <c r="D24" s="25" t="n">
        <f aca="false">COUNTIF(F6:F10,"At-Risk")</f>
        <v>1</v>
      </c>
    </row>
    <row r="25" customFormat="false" ht="21.75" hidden="false" customHeight="true" outlineLevel="0" collapsed="false">
      <c r="B25" s="5" t="s">
        <v>156</v>
      </c>
      <c r="C25" s="5"/>
      <c r="D25" s="25" t="n">
        <f aca="false">COUNTIF(F6:F10,"Off-Track")</f>
        <v>1</v>
      </c>
    </row>
    <row r="26" customFormat="false" ht="21.75" hidden="false" customHeight="true" outlineLevel="0" collapsed="false">
      <c r="B26" s="5" t="s">
        <v>157</v>
      </c>
      <c r="C26" s="5"/>
      <c r="D26" s="26" t="n">
        <f aca="false">I11/H11</f>
        <v>0.438513513513514</v>
      </c>
    </row>
  </sheetData>
  <mergeCells count="6">
    <mergeCell ref="B15:L15"/>
    <mergeCell ref="B18:L18"/>
    <mergeCell ref="B23:C23"/>
    <mergeCell ref="B24:C24"/>
    <mergeCell ref="B25:C25"/>
    <mergeCell ref="B26:C26"/>
  </mergeCells>
  <conditionalFormatting sqref="F6:F10">
    <cfRule type="expression" priority="2" aboveAverage="0" equalAverage="0" bottom="0" percent="0" rank="0" text="" dxfId="0">
      <formula>EXACT(F6,"Off-Track")</formula>
    </cfRule>
    <cfRule type="expression" priority="3" aboveAverage="0" equalAverage="0" bottom="0" percent="0" rank="0" text="" dxfId="1">
      <formula>EXACT(F6,"At-Risk")</formula>
    </cfRule>
    <cfRule type="expression" priority="4" aboveAverage="0" equalAverage="0" bottom="0" percent="0" rank="0" text="" dxfId="2">
      <formula>EXACT(F6,"On-Track")</formula>
    </cfRule>
  </conditionalFormatting>
  <dataValidations count="2">
    <dataValidation allowBlank="true" errorStyle="stop" operator="between" showDropDown="false" showErrorMessage="false" showInputMessage="false" sqref="E6:E10" type="list">
      <formula1>"Initiate,Plan,Execute,Monitor &amp; Control,Close,On Hold"</formula1>
      <formula2>0</formula2>
    </dataValidation>
    <dataValidation allowBlank="true" errorStyle="stop" operator="between" showDropDown="false" showErrorMessage="false" showInputMessage="false" sqref="F6:F10" type="list">
      <formula1>"On-Track,At-Risk,Off-Track,Not Started,On Hold,Complete"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2"/>
    <col collapsed="false" customWidth="true" hidden="false" outlineLevel="0" max="4" min="4" style="0" width="36"/>
    <col collapsed="false" customWidth="true" hidden="false" outlineLevel="0" max="6" min="5" style="0" width="12"/>
    <col collapsed="false" customWidth="true" hidden="false" outlineLevel="0" max="7" min="7" style="0" width="10"/>
    <col collapsed="false" customWidth="true" hidden="false" outlineLevel="0" max="8" min="8" style="0" width="14"/>
    <col collapsed="false" customWidth="true" hidden="false" outlineLevel="0" max="9" min="9" style="0" width="18"/>
    <col collapsed="false" customWidth="true" hidden="false" outlineLevel="0" max="11" min="10" style="0" width="14"/>
    <col collapsed="false" customWidth="true" hidden="false" outlineLevel="0" max="12" min="12" style="0" width="30"/>
  </cols>
  <sheetData>
    <row r="1" customFormat="false" ht="16.5" hidden="false" customHeight="true" outlineLevel="0" collapsed="false"/>
    <row r="2" customFormat="false" ht="27.75" hidden="false" customHeight="true" outlineLevel="0" collapsed="false">
      <c r="B2" s="16" t="s">
        <v>158</v>
      </c>
    </row>
    <row r="3" customFormat="false" ht="16.5" hidden="false" customHeight="true" outlineLevel="0" collapsed="false">
      <c r="B3" s="17" t="s">
        <v>159</v>
      </c>
    </row>
    <row r="4" customFormat="false" ht="16.5" hidden="false" customHeight="true" outlineLevel="0" collapsed="false"/>
    <row r="5" customFormat="false" ht="36" hidden="false" customHeight="true" outlineLevel="0" collapsed="false">
      <c r="B5" s="8" t="s">
        <v>160</v>
      </c>
      <c r="C5" s="8" t="s">
        <v>161</v>
      </c>
      <c r="D5" s="8" t="s">
        <v>162</v>
      </c>
      <c r="E5" s="8" t="s">
        <v>163</v>
      </c>
      <c r="F5" s="8" t="s">
        <v>164</v>
      </c>
      <c r="G5" s="8" t="s">
        <v>165</v>
      </c>
      <c r="H5" s="8" t="s">
        <v>33</v>
      </c>
      <c r="I5" s="8" t="s">
        <v>166</v>
      </c>
      <c r="J5" s="8" t="s">
        <v>167</v>
      </c>
      <c r="K5" s="8" t="s">
        <v>168</v>
      </c>
      <c r="L5" s="8" t="s">
        <v>169</v>
      </c>
    </row>
    <row r="6" customFormat="false" ht="93.75" hidden="false" customHeight="true" outlineLevel="0" collapsed="false">
      <c r="B6" s="10" t="s">
        <v>170</v>
      </c>
      <c r="C6" s="10" t="s">
        <v>171</v>
      </c>
      <c r="D6" s="10" t="s">
        <v>172</v>
      </c>
      <c r="E6" s="10" t="s">
        <v>173</v>
      </c>
      <c r="F6" s="10" t="s">
        <v>173</v>
      </c>
      <c r="G6" s="27" t="n">
        <f aca="false">IF(OR(E6="—",F6="—",E6="",F6=""),"",(IF(E6="High",3,IF(E6="Medium",2,IF(E6="Low",1,0))))*(IF(F6="High",3,IF(F6="Medium",2,IF(F6="Low",1,0)))))</f>
        <v>9</v>
      </c>
      <c r="H6" s="10" t="s">
        <v>174</v>
      </c>
      <c r="I6" s="10" t="s">
        <v>140</v>
      </c>
      <c r="J6" s="28" t="s">
        <v>175</v>
      </c>
      <c r="K6" s="10" t="s">
        <v>176</v>
      </c>
      <c r="L6" s="10" t="s">
        <v>177</v>
      </c>
    </row>
    <row r="7" customFormat="false" ht="78.75" hidden="false" customHeight="true" outlineLevel="0" collapsed="false">
      <c r="B7" s="14" t="s">
        <v>178</v>
      </c>
      <c r="C7" s="14" t="s">
        <v>171</v>
      </c>
      <c r="D7" s="14" t="s">
        <v>179</v>
      </c>
      <c r="E7" s="14" t="s">
        <v>180</v>
      </c>
      <c r="F7" s="14" t="s">
        <v>173</v>
      </c>
      <c r="G7" s="29" t="n">
        <f aca="false">IF(OR(E7="—",F7="—",E7="",F7=""),"",(IF(E7="High",3,IF(E7="Medium",2,IF(E7="Low",1,0))))*(IF(F7="High",3,IF(F7="Medium",2,IF(F7="Low",1,0)))))</f>
        <v>6</v>
      </c>
      <c r="H7" s="14" t="s">
        <v>181</v>
      </c>
      <c r="I7" s="14" t="s">
        <v>126</v>
      </c>
      <c r="J7" s="30" t="s">
        <v>182</v>
      </c>
      <c r="K7" s="14" t="s">
        <v>183</v>
      </c>
      <c r="L7" s="14" t="s">
        <v>184</v>
      </c>
    </row>
    <row r="8" customFormat="false" ht="78.75" hidden="false" customHeight="true" outlineLevel="0" collapsed="false">
      <c r="B8" s="10" t="s">
        <v>185</v>
      </c>
      <c r="C8" s="10" t="s">
        <v>171</v>
      </c>
      <c r="D8" s="10" t="s">
        <v>186</v>
      </c>
      <c r="E8" s="10" t="s">
        <v>173</v>
      </c>
      <c r="F8" s="10" t="s">
        <v>180</v>
      </c>
      <c r="G8" s="27" t="n">
        <f aca="false">IF(OR(E8="—",F8="—",E8="",F8=""),"",(IF(E8="High",3,IF(E8="Medium",2,IF(E8="Low",1,0))))*(IF(F8="High",3,IF(F8="Medium",2,IF(F8="Low",1,0)))))</f>
        <v>6</v>
      </c>
      <c r="H8" s="10" t="s">
        <v>174</v>
      </c>
      <c r="I8" s="10" t="s">
        <v>187</v>
      </c>
      <c r="J8" s="28" t="s">
        <v>188</v>
      </c>
      <c r="K8" s="10" t="s">
        <v>189</v>
      </c>
      <c r="L8" s="10" t="s">
        <v>190</v>
      </c>
    </row>
    <row r="9" customFormat="false" ht="78.75" hidden="false" customHeight="true" outlineLevel="0" collapsed="false">
      <c r="B9" s="14" t="s">
        <v>191</v>
      </c>
      <c r="C9" s="14" t="s">
        <v>192</v>
      </c>
      <c r="D9" s="14" t="s">
        <v>193</v>
      </c>
      <c r="E9" s="14" t="s">
        <v>194</v>
      </c>
      <c r="F9" s="14" t="s">
        <v>194</v>
      </c>
      <c r="G9" s="29" t="str">
        <f aca="false">IF(OR(E9="—",F9="—",E9="",F9=""),"",(IF(E9="High",3,IF(E9="Medium",2,IF(E9="Low",1,0))))*(IF(F9="High",3,IF(F9="Medium",2,IF(F9="Low",1,0)))))</f>
        <v/>
      </c>
      <c r="H9" s="14" t="s">
        <v>174</v>
      </c>
      <c r="I9" s="14" t="s">
        <v>195</v>
      </c>
      <c r="J9" s="30" t="s">
        <v>196</v>
      </c>
      <c r="K9" s="14" t="s">
        <v>197</v>
      </c>
      <c r="L9" s="14" t="s">
        <v>198</v>
      </c>
    </row>
    <row r="10" customFormat="false" ht="75" hidden="false" customHeight="true" outlineLevel="0" collapsed="false">
      <c r="B10" s="10" t="s">
        <v>199</v>
      </c>
      <c r="C10" s="10" t="s">
        <v>200</v>
      </c>
      <c r="D10" s="10" t="s">
        <v>201</v>
      </c>
      <c r="E10" s="10" t="s">
        <v>194</v>
      </c>
      <c r="F10" s="10" t="s">
        <v>194</v>
      </c>
      <c r="G10" s="27" t="str">
        <f aca="false">IF(OR(E10="—",F10="—",E10="",F10=""),"",(IF(E10="High",3,IF(E10="Medium",2,IF(E10="Low",1,0))))*(IF(F10="High",3,IF(F10="Medium",2,IF(F10="Low",1,0)))))</f>
        <v/>
      </c>
      <c r="H10" s="10" t="s">
        <v>202</v>
      </c>
      <c r="I10" s="10" t="s">
        <v>203</v>
      </c>
      <c r="J10" s="28" t="s">
        <v>204</v>
      </c>
      <c r="K10" s="10" t="s">
        <v>205</v>
      </c>
      <c r="L10" s="10" t="s">
        <v>206</v>
      </c>
    </row>
    <row r="11" customFormat="false" ht="75" hidden="false" customHeight="true" outlineLevel="0" collapsed="false">
      <c r="B11" s="14" t="s">
        <v>207</v>
      </c>
      <c r="C11" s="14" t="s">
        <v>200</v>
      </c>
      <c r="D11" s="14" t="s">
        <v>208</v>
      </c>
      <c r="E11" s="14" t="s">
        <v>194</v>
      </c>
      <c r="F11" s="14" t="s">
        <v>194</v>
      </c>
      <c r="G11" s="29" t="str">
        <f aca="false">IF(OR(E11="—",F11="—",E11="",F11=""),"",(IF(E11="High",3,IF(E11="Medium",2,IF(E11="Low",1,0))))*(IF(F11="High",3,IF(F11="Medium",2,IF(F11="Low",1,0)))))</f>
        <v/>
      </c>
      <c r="H11" s="14" t="s">
        <v>202</v>
      </c>
      <c r="I11" s="14" t="s">
        <v>209</v>
      </c>
      <c r="J11" s="30" t="s">
        <v>210</v>
      </c>
      <c r="K11" s="14" t="s">
        <v>211</v>
      </c>
      <c r="L11" s="14" t="s">
        <v>212</v>
      </c>
    </row>
    <row r="12" customFormat="false" ht="78.75" hidden="false" customHeight="true" outlineLevel="0" collapsed="false">
      <c r="B12" s="10" t="s">
        <v>213</v>
      </c>
      <c r="C12" s="10" t="s">
        <v>214</v>
      </c>
      <c r="D12" s="10" t="s">
        <v>215</v>
      </c>
      <c r="E12" s="10" t="s">
        <v>194</v>
      </c>
      <c r="F12" s="10" t="s">
        <v>194</v>
      </c>
      <c r="G12" s="27" t="str">
        <f aca="false">IF(OR(E12="—",F12="—",E12="",F12=""),"",(IF(E12="High",3,IF(E12="Medium",2,IF(E12="Low",1,0))))*(IF(F12="High",3,IF(F12="Medium",2,IF(F12="Low",1,0)))))</f>
        <v/>
      </c>
      <c r="H12" s="10" t="s">
        <v>174</v>
      </c>
      <c r="I12" s="10" t="s">
        <v>216</v>
      </c>
      <c r="J12" s="28" t="s">
        <v>217</v>
      </c>
      <c r="K12" s="10" t="s">
        <v>218</v>
      </c>
      <c r="L12" s="10" t="s">
        <v>219</v>
      </c>
    </row>
    <row r="13" customFormat="false" ht="78.75" hidden="false" customHeight="true" outlineLevel="0" collapsed="false">
      <c r="B13" s="14" t="s">
        <v>220</v>
      </c>
      <c r="C13" s="14" t="s">
        <v>171</v>
      </c>
      <c r="D13" s="14" t="s">
        <v>221</v>
      </c>
      <c r="E13" s="14" t="s">
        <v>180</v>
      </c>
      <c r="F13" s="14" t="s">
        <v>173</v>
      </c>
      <c r="G13" s="29" t="n">
        <f aca="false">IF(OR(E13="—",F13="—",E13="",F13=""),"",(IF(E13="High",3,IF(E13="Medium",2,IF(E13="Low",1,0))))*(IF(F13="High",3,IF(F13="Medium",2,IF(F13="Low",1,0)))))</f>
        <v>6</v>
      </c>
      <c r="H13" s="14" t="s">
        <v>181</v>
      </c>
      <c r="I13" s="14" t="s">
        <v>222</v>
      </c>
      <c r="J13" s="30" t="s">
        <v>223</v>
      </c>
      <c r="K13" s="14" t="s">
        <v>224</v>
      </c>
      <c r="L13" s="14" t="s">
        <v>225</v>
      </c>
    </row>
    <row r="14" customFormat="false" ht="27.75" hidden="false" customHeight="true" outlineLevel="0" collapsed="false">
      <c r="B14" s="10"/>
      <c r="C14" s="10"/>
      <c r="D14" s="10"/>
      <c r="E14" s="10"/>
      <c r="F14" s="10"/>
      <c r="G14" s="10"/>
      <c r="H14" s="10"/>
      <c r="I14" s="10"/>
      <c r="J14" s="28"/>
      <c r="K14" s="10"/>
      <c r="L14" s="10"/>
    </row>
    <row r="15" customFormat="false" ht="27.75" hidden="false" customHeight="true" outlineLevel="0" collapsed="false">
      <c r="B15" s="10"/>
      <c r="C15" s="10"/>
      <c r="D15" s="10"/>
      <c r="E15" s="10"/>
      <c r="F15" s="10"/>
      <c r="G15" s="10"/>
      <c r="H15" s="10"/>
      <c r="I15" s="10"/>
      <c r="J15" s="28"/>
      <c r="K15" s="10"/>
      <c r="L15" s="10"/>
    </row>
    <row r="16" customFormat="false" ht="27.75" hidden="false" customHeight="true" outlineLevel="0" collapsed="false">
      <c r="B16" s="10"/>
      <c r="C16" s="10"/>
      <c r="D16" s="10"/>
      <c r="E16" s="10"/>
      <c r="F16" s="10"/>
      <c r="G16" s="10"/>
      <c r="H16" s="10"/>
      <c r="I16" s="10"/>
      <c r="J16" s="28"/>
      <c r="K16" s="10"/>
      <c r="L16" s="10"/>
    </row>
    <row r="17" customFormat="false" ht="27.75" hidden="false" customHeight="true" outlineLevel="0" collapsed="false">
      <c r="B17" s="10"/>
      <c r="C17" s="10"/>
      <c r="D17" s="10"/>
      <c r="E17" s="10"/>
      <c r="F17" s="10"/>
      <c r="G17" s="10"/>
      <c r="H17" s="10"/>
      <c r="I17" s="10"/>
      <c r="J17" s="28"/>
      <c r="K17" s="10"/>
      <c r="L17" s="10"/>
    </row>
    <row r="18" customFormat="false" ht="27.75" hidden="false" customHeight="true" outlineLevel="0" collapsed="false">
      <c r="B18" s="10"/>
      <c r="C18" s="10"/>
      <c r="D18" s="10"/>
      <c r="E18" s="10"/>
      <c r="F18" s="10"/>
      <c r="G18" s="10"/>
      <c r="H18" s="10"/>
      <c r="I18" s="10"/>
      <c r="J18" s="28"/>
      <c r="K18" s="10"/>
      <c r="L18" s="10"/>
    </row>
    <row r="19" customFormat="false" ht="27.75" hidden="false" customHeight="true" outlineLevel="0" collapsed="false">
      <c r="B19" s="10"/>
      <c r="C19" s="10"/>
      <c r="D19" s="10"/>
      <c r="E19" s="10"/>
      <c r="F19" s="10"/>
      <c r="G19" s="10"/>
      <c r="H19" s="10"/>
      <c r="I19" s="10"/>
      <c r="J19" s="28"/>
      <c r="K19" s="10"/>
      <c r="L19" s="10"/>
    </row>
    <row r="20" customFormat="false" ht="27.75" hidden="false" customHeight="true" outlineLevel="0" collapsed="false">
      <c r="B20" s="10"/>
      <c r="C20" s="10"/>
      <c r="D20" s="10"/>
      <c r="E20" s="10"/>
      <c r="F20" s="10"/>
      <c r="G20" s="10"/>
      <c r="H20" s="10"/>
      <c r="I20" s="10"/>
      <c r="J20" s="28"/>
      <c r="K20" s="10"/>
      <c r="L20" s="10"/>
    </row>
    <row r="21" customFormat="false" ht="27.75" hidden="false" customHeight="true" outlineLevel="0" collapsed="false">
      <c r="B21" s="10"/>
      <c r="C21" s="10"/>
      <c r="D21" s="10"/>
      <c r="E21" s="10"/>
      <c r="F21" s="10"/>
      <c r="G21" s="10"/>
      <c r="H21" s="10"/>
      <c r="I21" s="10"/>
      <c r="J21" s="28"/>
      <c r="K21" s="10"/>
      <c r="L21" s="10"/>
    </row>
    <row r="22" customFormat="false" ht="27.75" hidden="false" customHeight="true" outlineLevel="0" collapsed="false">
      <c r="B22" s="10"/>
      <c r="C22" s="10"/>
      <c r="D22" s="10"/>
      <c r="E22" s="10"/>
      <c r="F22" s="10"/>
      <c r="G22" s="10"/>
      <c r="H22" s="10"/>
      <c r="I22" s="10"/>
      <c r="J22" s="28"/>
      <c r="K22" s="10"/>
      <c r="L22" s="10"/>
    </row>
    <row r="23" customFormat="false" ht="27.75" hidden="false" customHeight="true" outlineLevel="0" collapsed="false">
      <c r="B23" s="10"/>
      <c r="C23" s="10"/>
      <c r="D23" s="10"/>
      <c r="E23" s="10"/>
      <c r="F23" s="10"/>
      <c r="G23" s="10"/>
      <c r="H23" s="10"/>
      <c r="I23" s="10"/>
      <c r="J23" s="28"/>
      <c r="K23" s="10"/>
      <c r="L23" s="10"/>
    </row>
    <row r="24" customFormat="false" ht="27.75" hidden="false" customHeight="true" outlineLevel="0" collapsed="false">
      <c r="B24" s="10"/>
      <c r="C24" s="10"/>
      <c r="D24" s="10"/>
      <c r="E24" s="10"/>
      <c r="F24" s="10"/>
      <c r="G24" s="10"/>
      <c r="H24" s="10"/>
      <c r="I24" s="10"/>
      <c r="J24" s="28"/>
      <c r="K24" s="10"/>
      <c r="L24" s="10"/>
    </row>
    <row r="25" customFormat="false" ht="27.75" hidden="false" customHeight="true" outlineLevel="0" collapsed="false">
      <c r="B25" s="10"/>
      <c r="C25" s="10"/>
      <c r="D25" s="10"/>
      <c r="E25" s="10"/>
      <c r="F25" s="10"/>
      <c r="G25" s="10"/>
      <c r="H25" s="10"/>
      <c r="I25" s="10"/>
      <c r="J25" s="28"/>
      <c r="K25" s="10"/>
      <c r="L25" s="10"/>
    </row>
    <row r="26" customFormat="false" ht="27.75" hidden="false" customHeight="true" outlineLevel="0" collapsed="false">
      <c r="B26" s="10"/>
      <c r="C26" s="10"/>
      <c r="D26" s="10"/>
      <c r="E26" s="10"/>
      <c r="F26" s="10"/>
      <c r="G26" s="10"/>
      <c r="H26" s="10"/>
      <c r="I26" s="10"/>
      <c r="J26" s="28"/>
      <c r="K26" s="10"/>
      <c r="L26" s="10"/>
    </row>
    <row r="27" customFormat="false" ht="27.75" hidden="false" customHeight="true" outlineLevel="0" collapsed="false">
      <c r="B27" s="10"/>
      <c r="C27" s="10"/>
      <c r="D27" s="10"/>
      <c r="E27" s="10"/>
      <c r="F27" s="10"/>
      <c r="G27" s="10"/>
      <c r="H27" s="10"/>
      <c r="I27" s="10"/>
      <c r="J27" s="28"/>
      <c r="K27" s="10"/>
      <c r="L27" s="10"/>
    </row>
    <row r="28" customFormat="false" ht="27.75" hidden="false" customHeight="true" outlineLevel="0" collapsed="false">
      <c r="B28" s="10"/>
      <c r="C28" s="10"/>
      <c r="D28" s="10"/>
      <c r="E28" s="10"/>
      <c r="F28" s="10"/>
      <c r="G28" s="10"/>
      <c r="H28" s="10"/>
      <c r="I28" s="10"/>
      <c r="J28" s="28"/>
      <c r="K28" s="10"/>
      <c r="L28" s="10"/>
    </row>
    <row r="29" customFormat="false" ht="16.5" hidden="false" customHeight="true" outlineLevel="0" collapsed="false">
      <c r="J29" s="31"/>
    </row>
  </sheetData>
  <conditionalFormatting sqref="G6:G28">
    <cfRule type="cellIs" priority="2" operator="greaterThanOrEqual" aboveAverage="0" equalAverage="0" bottom="0" percent="0" rank="0" text="" dxfId="0">
      <formula>6</formula>
    </cfRule>
    <cfRule type="cellIs" priority="3" operator="between" aboveAverage="0" equalAverage="0" bottom="0" percent="0" rank="0" text="" dxfId="1">
      <formula>3</formula>
      <formula>5</formula>
    </cfRule>
    <cfRule type="cellIs" priority="4" operator="between" aboveAverage="0" equalAverage="0" bottom="0" percent="0" rank="0" text="" dxfId="2">
      <formula>1</formula>
      <formula>2</formula>
    </cfRule>
  </conditionalFormatting>
  <dataValidations count="3">
    <dataValidation allowBlank="true" errorStyle="stop" operator="between" showDropDown="false" showErrorMessage="false" showInputMessage="false" sqref="C6:C29" type="list">
      <formula1>"Risk,Assumption,Issue,Dependency"</formula1>
      <formula2>0</formula2>
    </dataValidation>
    <dataValidation allowBlank="true" errorStyle="stop" operator="between" showDropDown="false" showErrorMessage="false" showInputMessage="false" sqref="E6:F29" type="list">
      <formula1>"High,Medium,Low,—"</formula1>
      <formula2>0</formula2>
    </dataValidation>
    <dataValidation allowBlank="true" errorStyle="stop" operator="between" showDropDown="false" showErrorMessage="false" showInputMessage="false" sqref="H6:H29" type="list">
      <formula1>"Open,Mitigating,Monitoring,Closed,Realized"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4" min="3" style="0" width="22"/>
    <col collapsed="false" customWidth="true" hidden="false" outlineLevel="0" max="5" min="5" style="0" width="28"/>
    <col collapsed="false" customWidth="true" hidden="false" outlineLevel="0" max="8" min="6" style="0" width="14"/>
    <col collapsed="false" customWidth="true" hidden="false" outlineLevel="0" max="9" min="9" style="0" width="18"/>
    <col collapsed="false" customWidth="true" hidden="false" outlineLevel="0" max="10" min="10" style="0" width="28"/>
  </cols>
  <sheetData>
    <row r="1" customFormat="false" ht="16.5" hidden="false" customHeight="true" outlineLevel="0" collapsed="false"/>
    <row r="2" customFormat="false" ht="27.75" hidden="false" customHeight="true" outlineLevel="0" collapsed="false">
      <c r="B2" s="16" t="s">
        <v>226</v>
      </c>
    </row>
    <row r="3" customFormat="false" ht="16.5" hidden="false" customHeight="true" outlineLevel="0" collapsed="false">
      <c r="B3" s="17" t="s">
        <v>227</v>
      </c>
    </row>
    <row r="4" customFormat="false" ht="16.5" hidden="false" customHeight="true" outlineLevel="0" collapsed="false"/>
    <row r="5" customFormat="false" ht="36" hidden="false" customHeight="true" outlineLevel="0" collapsed="false">
      <c r="B5" s="8" t="s">
        <v>160</v>
      </c>
      <c r="C5" s="8" t="s">
        <v>228</v>
      </c>
      <c r="D5" s="8" t="s">
        <v>229</v>
      </c>
      <c r="E5" s="8" t="s">
        <v>230</v>
      </c>
      <c r="F5" s="8" t="s">
        <v>231</v>
      </c>
      <c r="G5" s="8" t="s">
        <v>33</v>
      </c>
      <c r="H5" s="8" t="s">
        <v>171</v>
      </c>
      <c r="I5" s="8" t="s">
        <v>166</v>
      </c>
      <c r="J5" s="8" t="s">
        <v>124</v>
      </c>
    </row>
    <row r="6" customFormat="false" ht="69.75" hidden="false" customHeight="true" outlineLevel="0" collapsed="false">
      <c r="B6" s="10" t="s">
        <v>232</v>
      </c>
      <c r="C6" s="10" t="s">
        <v>233</v>
      </c>
      <c r="D6" s="10" t="s">
        <v>234</v>
      </c>
      <c r="E6" s="10" t="s">
        <v>235</v>
      </c>
      <c r="F6" s="28" t="s">
        <v>236</v>
      </c>
      <c r="G6" s="10" t="s">
        <v>35</v>
      </c>
      <c r="H6" s="10" t="s">
        <v>180</v>
      </c>
      <c r="I6" s="10" t="s">
        <v>126</v>
      </c>
      <c r="J6" s="10" t="s">
        <v>237</v>
      </c>
    </row>
    <row r="7" customFormat="false" ht="69.75" hidden="false" customHeight="true" outlineLevel="0" collapsed="false">
      <c r="B7" s="14" t="s">
        <v>238</v>
      </c>
      <c r="C7" s="14" t="s">
        <v>239</v>
      </c>
      <c r="D7" s="14" t="s">
        <v>234</v>
      </c>
      <c r="E7" s="14" t="s">
        <v>240</v>
      </c>
      <c r="F7" s="30" t="s">
        <v>205</v>
      </c>
      <c r="G7" s="14" t="s">
        <v>35</v>
      </c>
      <c r="H7" s="14" t="s">
        <v>241</v>
      </c>
      <c r="I7" s="14" t="s">
        <v>126</v>
      </c>
      <c r="J7" s="14" t="s">
        <v>242</v>
      </c>
    </row>
    <row r="8" customFormat="false" ht="69.75" hidden="false" customHeight="true" outlineLevel="0" collapsed="false">
      <c r="B8" s="10" t="s">
        <v>243</v>
      </c>
      <c r="C8" s="10" t="s">
        <v>239</v>
      </c>
      <c r="D8" s="10" t="s">
        <v>244</v>
      </c>
      <c r="E8" s="10" t="s">
        <v>245</v>
      </c>
      <c r="F8" s="28" t="s">
        <v>246</v>
      </c>
      <c r="G8" s="10" t="s">
        <v>23</v>
      </c>
      <c r="H8" s="10" t="s">
        <v>173</v>
      </c>
      <c r="I8" s="10" t="s">
        <v>135</v>
      </c>
      <c r="J8" s="10" t="s">
        <v>247</v>
      </c>
    </row>
    <row r="9" customFormat="false" ht="69.75" hidden="false" customHeight="true" outlineLevel="0" collapsed="false">
      <c r="B9" s="14" t="s">
        <v>248</v>
      </c>
      <c r="C9" s="14" t="s">
        <v>249</v>
      </c>
      <c r="D9" s="14" t="s">
        <v>234</v>
      </c>
      <c r="E9" s="14" t="s">
        <v>250</v>
      </c>
      <c r="F9" s="30" t="s">
        <v>189</v>
      </c>
      <c r="G9" s="14" t="s">
        <v>251</v>
      </c>
      <c r="H9" s="14" t="s">
        <v>194</v>
      </c>
      <c r="I9" s="14" t="s">
        <v>252</v>
      </c>
      <c r="J9" s="14" t="s">
        <v>253</v>
      </c>
    </row>
    <row r="10" customFormat="false" ht="69.75" hidden="false" customHeight="true" outlineLevel="0" collapsed="false">
      <c r="B10" s="10" t="s">
        <v>254</v>
      </c>
      <c r="C10" s="10" t="s">
        <v>233</v>
      </c>
      <c r="D10" s="10" t="s">
        <v>255</v>
      </c>
      <c r="E10" s="10" t="s">
        <v>256</v>
      </c>
      <c r="F10" s="28" t="s">
        <v>205</v>
      </c>
      <c r="G10" s="10" t="s">
        <v>23</v>
      </c>
      <c r="H10" s="10" t="s">
        <v>180</v>
      </c>
      <c r="I10" s="10" t="s">
        <v>257</v>
      </c>
      <c r="J10" s="10" t="s">
        <v>258</v>
      </c>
    </row>
    <row r="11" customFormat="false" ht="69.75" hidden="false" customHeight="true" outlineLevel="0" collapsed="false">
      <c r="B11" s="14" t="s">
        <v>259</v>
      </c>
      <c r="C11" s="14" t="s">
        <v>260</v>
      </c>
      <c r="D11" s="14" t="s">
        <v>249</v>
      </c>
      <c r="E11" s="14" t="s">
        <v>261</v>
      </c>
      <c r="F11" s="30" t="s">
        <v>183</v>
      </c>
      <c r="G11" s="14" t="s">
        <v>23</v>
      </c>
      <c r="H11" s="14" t="s">
        <v>173</v>
      </c>
      <c r="I11" s="14" t="s">
        <v>262</v>
      </c>
      <c r="J11" s="14" t="s">
        <v>263</v>
      </c>
    </row>
    <row r="12" customFormat="false" ht="27.75" hidden="false" customHeight="true" outlineLevel="0" collapsed="false">
      <c r="B12" s="10"/>
      <c r="C12" s="10"/>
      <c r="D12" s="10"/>
      <c r="E12" s="10"/>
      <c r="F12" s="28"/>
      <c r="G12" s="10"/>
      <c r="H12" s="10"/>
      <c r="I12" s="10"/>
      <c r="J12" s="10"/>
    </row>
    <row r="13" customFormat="false" ht="27.75" hidden="false" customHeight="true" outlineLevel="0" collapsed="false">
      <c r="B13" s="10"/>
      <c r="C13" s="10"/>
      <c r="D13" s="10"/>
      <c r="E13" s="10"/>
      <c r="F13" s="28"/>
      <c r="G13" s="10"/>
      <c r="H13" s="10"/>
      <c r="I13" s="10"/>
      <c r="J13" s="10"/>
    </row>
    <row r="14" customFormat="false" ht="27.75" hidden="false" customHeight="true" outlineLevel="0" collapsed="false">
      <c r="B14" s="10"/>
      <c r="C14" s="10"/>
      <c r="D14" s="10"/>
      <c r="E14" s="10"/>
      <c r="F14" s="28"/>
      <c r="G14" s="10"/>
      <c r="H14" s="10"/>
      <c r="I14" s="10"/>
      <c r="J14" s="10"/>
    </row>
    <row r="15" customFormat="false" ht="27.75" hidden="false" customHeight="true" outlineLevel="0" collapsed="false">
      <c r="B15" s="10"/>
      <c r="C15" s="10"/>
      <c r="D15" s="10"/>
      <c r="E15" s="10"/>
      <c r="F15" s="28"/>
      <c r="G15" s="10"/>
      <c r="H15" s="10"/>
      <c r="I15" s="10"/>
      <c r="J15" s="10"/>
    </row>
    <row r="16" customFormat="false" ht="27.75" hidden="false" customHeight="true" outlineLevel="0" collapsed="false">
      <c r="B16" s="10"/>
      <c r="C16" s="10"/>
      <c r="D16" s="10"/>
      <c r="E16" s="10"/>
      <c r="F16" s="28"/>
      <c r="G16" s="10"/>
      <c r="H16" s="10"/>
      <c r="I16" s="10"/>
      <c r="J16" s="10"/>
    </row>
    <row r="17" customFormat="false" ht="27.75" hidden="false" customHeight="true" outlineLevel="0" collapsed="false">
      <c r="B17" s="10"/>
      <c r="C17" s="10"/>
      <c r="D17" s="10"/>
      <c r="E17" s="10"/>
      <c r="F17" s="28"/>
      <c r="G17" s="10"/>
      <c r="H17" s="10"/>
      <c r="I17" s="10"/>
      <c r="J17" s="10"/>
    </row>
    <row r="18" customFormat="false" ht="27.75" hidden="false" customHeight="true" outlineLevel="0" collapsed="false">
      <c r="B18" s="10"/>
      <c r="C18" s="10"/>
      <c r="D18" s="10"/>
      <c r="E18" s="10"/>
      <c r="F18" s="28"/>
      <c r="G18" s="10"/>
      <c r="H18" s="10"/>
      <c r="I18" s="10"/>
      <c r="J18" s="10"/>
    </row>
    <row r="19" customFormat="false" ht="27.75" hidden="false" customHeight="true" outlineLevel="0" collapsed="false">
      <c r="B19" s="10"/>
      <c r="C19" s="10"/>
      <c r="D19" s="10"/>
      <c r="E19" s="10"/>
      <c r="F19" s="28"/>
      <c r="G19" s="10"/>
      <c r="H19" s="10"/>
      <c r="I19" s="10"/>
      <c r="J19" s="10"/>
    </row>
    <row r="20" customFormat="false" ht="27.75" hidden="false" customHeight="true" outlineLevel="0" collapsed="false">
      <c r="B20" s="10"/>
      <c r="C20" s="10"/>
      <c r="D20" s="10"/>
      <c r="E20" s="10"/>
      <c r="F20" s="28"/>
      <c r="G20" s="10"/>
      <c r="H20" s="10"/>
      <c r="I20" s="10"/>
      <c r="J20" s="10"/>
    </row>
    <row r="21" customFormat="false" ht="27.75" hidden="false" customHeight="true" outlineLevel="0" collapsed="false">
      <c r="B21" s="10"/>
      <c r="C21" s="10"/>
      <c r="D21" s="10"/>
      <c r="E21" s="10"/>
      <c r="F21" s="28"/>
      <c r="G21" s="10"/>
      <c r="H21" s="10"/>
      <c r="I21" s="10"/>
      <c r="J21" s="10"/>
    </row>
    <row r="22" customFormat="false" ht="16.5" hidden="false" customHeight="true" outlineLevel="0" collapsed="false">
      <c r="F22" s="31"/>
    </row>
  </sheetData>
  <conditionalFormatting sqref="G6:G22">
    <cfRule type="expression" priority="2" aboveAverage="0" equalAverage="0" bottom="0" percent="0" rank="0" text="" dxfId="2">
      <formula>EXACT(G6,"On-Track")</formula>
    </cfRule>
    <cfRule type="expression" priority="3" aboveAverage="0" equalAverage="0" bottom="0" percent="0" rank="0" text="" dxfId="1">
      <formula>EXACT(G6,"At-Risk")</formula>
    </cfRule>
    <cfRule type="expression" priority="4" aboveAverage="0" equalAverage="0" bottom="0" percent="0" rank="0" text="" dxfId="0">
      <formula>EXACT(G6,"Blocked")</formula>
    </cfRule>
    <cfRule type="expression" priority="5" aboveAverage="0" equalAverage="0" bottom="0" percent="0" rank="0" text="" dxfId="2">
      <formula>EXACT(G6,"Complete")</formula>
    </cfRule>
  </conditionalFormatting>
  <dataValidations count="2">
    <dataValidation allowBlank="true" errorStyle="stop" operator="between" showDropDown="false" showErrorMessage="false" showInputMessage="false" sqref="G6:G22" type="list">
      <formula1>"On-Track,At-Risk,Blocked,Complete,Cancelled"</formula1>
      <formula2>0</formula2>
    </dataValidation>
    <dataValidation allowBlank="true" errorStyle="stop" operator="between" showDropDown="false" showErrorMessage="false" showInputMessage="false" sqref="H6:H22"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36"/>
    <col collapsed="false" customWidth="true" hidden="false" outlineLevel="0" max="4" min="4" style="0" width="18"/>
    <col collapsed="false" customWidth="true" hidden="false" outlineLevel="0" max="8" min="5" style="0" width="14"/>
    <col collapsed="false" customWidth="true" hidden="false" outlineLevel="0" max="9" min="9" style="0" width="22"/>
    <col collapsed="false" customWidth="true" hidden="false" outlineLevel="0" max="10" min="10" style="0" width="28"/>
  </cols>
  <sheetData>
    <row r="1" customFormat="false" ht="16.5" hidden="false" customHeight="true" outlineLevel="0" collapsed="false"/>
    <row r="2" customFormat="false" ht="27.75" hidden="false" customHeight="true" outlineLevel="0" collapsed="false">
      <c r="B2" s="16" t="s">
        <v>264</v>
      </c>
    </row>
    <row r="3" customFormat="false" ht="16.5" hidden="false" customHeight="true" outlineLevel="0" collapsed="false">
      <c r="B3" s="17" t="s">
        <v>265</v>
      </c>
    </row>
    <row r="4" customFormat="false" ht="16.5" hidden="false" customHeight="true" outlineLevel="0" collapsed="false"/>
    <row r="5" customFormat="false" ht="36" hidden="false" customHeight="true" outlineLevel="0" collapsed="false">
      <c r="B5" s="8" t="s">
        <v>160</v>
      </c>
      <c r="C5" s="8" t="s">
        <v>266</v>
      </c>
      <c r="D5" s="8" t="s">
        <v>267</v>
      </c>
      <c r="E5" s="8" t="s">
        <v>118</v>
      </c>
      <c r="F5" s="8" t="s">
        <v>268</v>
      </c>
      <c r="G5" s="8" t="s">
        <v>269</v>
      </c>
      <c r="H5" s="8" t="s">
        <v>270</v>
      </c>
      <c r="I5" s="8" t="s">
        <v>33</v>
      </c>
      <c r="J5" s="8" t="s">
        <v>124</v>
      </c>
    </row>
    <row r="6" customFormat="false" ht="39.75" hidden="false" customHeight="true" outlineLevel="0" collapsed="false">
      <c r="B6" s="10" t="s">
        <v>271</v>
      </c>
      <c r="C6" s="10" t="s">
        <v>272</v>
      </c>
      <c r="D6" s="10" t="s">
        <v>273</v>
      </c>
      <c r="E6" s="10" t="s">
        <v>145</v>
      </c>
      <c r="F6" s="28" t="s">
        <v>15</v>
      </c>
      <c r="G6" s="28" t="s">
        <v>274</v>
      </c>
      <c r="H6" s="28" t="s">
        <v>274</v>
      </c>
      <c r="I6" s="10" t="s">
        <v>251</v>
      </c>
      <c r="J6" s="10"/>
    </row>
    <row r="7" customFormat="false" ht="39.75" hidden="false" customHeight="true" outlineLevel="0" collapsed="false">
      <c r="B7" s="14" t="s">
        <v>275</v>
      </c>
      <c r="C7" s="14" t="s">
        <v>276</v>
      </c>
      <c r="D7" s="14" t="s">
        <v>273</v>
      </c>
      <c r="E7" s="14" t="s">
        <v>145</v>
      </c>
      <c r="F7" s="30" t="s">
        <v>274</v>
      </c>
      <c r="G7" s="30" t="s">
        <v>277</v>
      </c>
      <c r="H7" s="30" t="s">
        <v>278</v>
      </c>
      <c r="I7" s="14" t="s">
        <v>251</v>
      </c>
      <c r="J7" s="14"/>
    </row>
    <row r="8" customFormat="false" ht="39.75" hidden="false" customHeight="true" outlineLevel="0" collapsed="false">
      <c r="B8" s="10" t="s">
        <v>279</v>
      </c>
      <c r="C8" s="10" t="s">
        <v>280</v>
      </c>
      <c r="D8" s="10" t="s">
        <v>281</v>
      </c>
      <c r="E8" s="10" t="s">
        <v>136</v>
      </c>
      <c r="F8" s="28" t="s">
        <v>282</v>
      </c>
      <c r="G8" s="28" t="s">
        <v>204</v>
      </c>
      <c r="H8" s="28" t="s">
        <v>283</v>
      </c>
      <c r="I8" s="10" t="s">
        <v>251</v>
      </c>
      <c r="J8" s="10"/>
    </row>
    <row r="9" customFormat="false" ht="39.75" hidden="false" customHeight="true" outlineLevel="0" collapsed="false">
      <c r="B9" s="14" t="s">
        <v>284</v>
      </c>
      <c r="C9" s="14" t="s">
        <v>285</v>
      </c>
      <c r="D9" s="14" t="s">
        <v>281</v>
      </c>
      <c r="E9" s="14" t="s">
        <v>136</v>
      </c>
      <c r="F9" s="30" t="s">
        <v>182</v>
      </c>
      <c r="G9" s="30" t="s">
        <v>175</v>
      </c>
      <c r="H9" s="30" t="s">
        <v>286</v>
      </c>
      <c r="I9" s="14" t="s">
        <v>251</v>
      </c>
      <c r="J9" s="14"/>
    </row>
    <row r="10" customFormat="false" ht="39.75" hidden="false" customHeight="true" outlineLevel="0" collapsed="false">
      <c r="B10" s="10" t="s">
        <v>287</v>
      </c>
      <c r="C10" s="10" t="s">
        <v>288</v>
      </c>
      <c r="D10" s="10" t="s">
        <v>281</v>
      </c>
      <c r="E10" s="10" t="s">
        <v>127</v>
      </c>
      <c r="F10" s="28" t="s">
        <v>289</v>
      </c>
      <c r="G10" s="28" t="s">
        <v>176</v>
      </c>
      <c r="H10" s="28"/>
      <c r="I10" s="10" t="s">
        <v>290</v>
      </c>
      <c r="J10" s="10" t="s">
        <v>291</v>
      </c>
    </row>
    <row r="11" customFormat="false" ht="39.75" hidden="false" customHeight="true" outlineLevel="0" collapsed="false">
      <c r="B11" s="14" t="s">
        <v>292</v>
      </c>
      <c r="C11" s="14" t="s">
        <v>293</v>
      </c>
      <c r="D11" s="14" t="s">
        <v>281</v>
      </c>
      <c r="E11" s="14" t="s">
        <v>127</v>
      </c>
      <c r="F11" s="30" t="s">
        <v>294</v>
      </c>
      <c r="G11" s="30" t="s">
        <v>183</v>
      </c>
      <c r="H11" s="30"/>
      <c r="I11" s="14" t="s">
        <v>295</v>
      </c>
      <c r="J11" s="14"/>
    </row>
    <row r="12" customFormat="false" ht="39.75" hidden="false" customHeight="true" outlineLevel="0" collapsed="false">
      <c r="B12" s="10" t="s">
        <v>296</v>
      </c>
      <c r="C12" s="10" t="s">
        <v>297</v>
      </c>
      <c r="D12" s="10" t="s">
        <v>298</v>
      </c>
      <c r="E12" s="10" t="s">
        <v>127</v>
      </c>
      <c r="F12" s="28" t="s">
        <v>210</v>
      </c>
      <c r="G12" s="28" t="s">
        <v>218</v>
      </c>
      <c r="H12" s="28"/>
      <c r="I12" s="10" t="s">
        <v>23</v>
      </c>
      <c r="J12" s="10" t="s">
        <v>299</v>
      </c>
    </row>
    <row r="13" customFormat="false" ht="39.75" hidden="false" customHeight="true" outlineLevel="0" collapsed="false">
      <c r="B13" s="14" t="s">
        <v>300</v>
      </c>
      <c r="C13" s="14" t="s">
        <v>301</v>
      </c>
      <c r="D13" s="14" t="s">
        <v>298</v>
      </c>
      <c r="E13" s="14" t="s">
        <v>127</v>
      </c>
      <c r="F13" s="30" t="s">
        <v>302</v>
      </c>
      <c r="G13" s="30" t="s">
        <v>303</v>
      </c>
      <c r="H13" s="30"/>
      <c r="I13" s="14" t="s">
        <v>295</v>
      </c>
      <c r="J13" s="14" t="s">
        <v>304</v>
      </c>
    </row>
    <row r="14" customFormat="false" ht="39.75" hidden="false" customHeight="true" outlineLevel="0" collapsed="false">
      <c r="B14" s="10" t="s">
        <v>305</v>
      </c>
      <c r="C14" s="10" t="s">
        <v>306</v>
      </c>
      <c r="D14" s="10" t="s">
        <v>298</v>
      </c>
      <c r="E14" s="10" t="s">
        <v>127</v>
      </c>
      <c r="F14" s="28" t="s">
        <v>307</v>
      </c>
      <c r="G14" s="28" t="s">
        <v>246</v>
      </c>
      <c r="H14" s="28"/>
      <c r="I14" s="10" t="s">
        <v>295</v>
      </c>
      <c r="J14" s="10"/>
    </row>
    <row r="15" customFormat="false" ht="39.75" hidden="false" customHeight="true" outlineLevel="0" collapsed="false">
      <c r="B15" s="14" t="s">
        <v>308</v>
      </c>
      <c r="C15" s="14" t="s">
        <v>309</v>
      </c>
      <c r="D15" s="14" t="s">
        <v>298</v>
      </c>
      <c r="E15" s="14" t="s">
        <v>127</v>
      </c>
      <c r="F15" s="30" t="s">
        <v>310</v>
      </c>
      <c r="G15" s="30" t="s">
        <v>311</v>
      </c>
      <c r="H15" s="30"/>
      <c r="I15" s="14" t="s">
        <v>295</v>
      </c>
      <c r="J15" s="14"/>
    </row>
    <row r="16" customFormat="false" ht="39.75" hidden="false" customHeight="true" outlineLevel="0" collapsed="false">
      <c r="B16" s="10" t="s">
        <v>312</v>
      </c>
      <c r="C16" s="10" t="s">
        <v>313</v>
      </c>
      <c r="D16" s="10" t="s">
        <v>314</v>
      </c>
      <c r="E16" s="10" t="s">
        <v>136</v>
      </c>
      <c r="F16" s="28" t="s">
        <v>315</v>
      </c>
      <c r="G16" s="28" t="s">
        <v>197</v>
      </c>
      <c r="H16" s="28"/>
      <c r="I16" s="10" t="s">
        <v>23</v>
      </c>
      <c r="J16" s="10" t="s">
        <v>316</v>
      </c>
    </row>
    <row r="17" customFormat="false" ht="39.75" hidden="false" customHeight="true" outlineLevel="0" collapsed="false">
      <c r="B17" s="14" t="s">
        <v>317</v>
      </c>
      <c r="C17" s="14" t="s">
        <v>318</v>
      </c>
      <c r="D17" s="14" t="s">
        <v>314</v>
      </c>
      <c r="E17" s="14" t="s">
        <v>127</v>
      </c>
      <c r="F17" s="30" t="s">
        <v>302</v>
      </c>
      <c r="G17" s="30" t="s">
        <v>205</v>
      </c>
      <c r="H17" s="30"/>
      <c r="I17" s="14" t="s">
        <v>295</v>
      </c>
      <c r="J17" s="14"/>
    </row>
    <row r="18" customFormat="false" ht="39.75" hidden="false" customHeight="true" outlineLevel="0" collapsed="false">
      <c r="B18" s="10" t="s">
        <v>319</v>
      </c>
      <c r="C18" s="10" t="s">
        <v>320</v>
      </c>
      <c r="D18" s="10" t="s">
        <v>314</v>
      </c>
      <c r="E18" s="10" t="s">
        <v>127</v>
      </c>
      <c r="F18" s="28" t="s">
        <v>321</v>
      </c>
      <c r="G18" s="28" t="s">
        <v>322</v>
      </c>
      <c r="H18" s="28"/>
      <c r="I18" s="10" t="s">
        <v>295</v>
      </c>
      <c r="J18" s="10"/>
    </row>
    <row r="19" customFormat="false" ht="39.75" hidden="false" customHeight="true" outlineLevel="0" collapsed="false">
      <c r="B19" s="14" t="s">
        <v>323</v>
      </c>
      <c r="C19" s="14" t="s">
        <v>324</v>
      </c>
      <c r="D19" s="14" t="s">
        <v>325</v>
      </c>
      <c r="E19" s="14" t="s">
        <v>136</v>
      </c>
      <c r="F19" s="30" t="s">
        <v>204</v>
      </c>
      <c r="G19" s="30" t="s">
        <v>175</v>
      </c>
      <c r="H19" s="30" t="s">
        <v>286</v>
      </c>
      <c r="I19" s="14" t="s">
        <v>251</v>
      </c>
      <c r="J19" s="14"/>
    </row>
    <row r="20" customFormat="false" ht="39.75" hidden="false" customHeight="true" outlineLevel="0" collapsed="false">
      <c r="B20" s="10" t="s">
        <v>326</v>
      </c>
      <c r="C20" s="10" t="s">
        <v>327</v>
      </c>
      <c r="D20" s="10" t="s">
        <v>325</v>
      </c>
      <c r="E20" s="10" t="s">
        <v>127</v>
      </c>
      <c r="F20" s="28" t="s">
        <v>315</v>
      </c>
      <c r="G20" s="28" t="s">
        <v>176</v>
      </c>
      <c r="H20" s="28"/>
      <c r="I20" s="10" t="s">
        <v>328</v>
      </c>
      <c r="J20" s="10" t="s">
        <v>329</v>
      </c>
    </row>
    <row r="21" customFormat="false" ht="39.75" hidden="false" customHeight="true" outlineLevel="0" collapsed="false">
      <c r="B21" s="14" t="s">
        <v>330</v>
      </c>
      <c r="C21" s="14" t="s">
        <v>331</v>
      </c>
      <c r="D21" s="14" t="s">
        <v>325</v>
      </c>
      <c r="E21" s="14" t="s">
        <v>127</v>
      </c>
      <c r="F21" s="30" t="s">
        <v>294</v>
      </c>
      <c r="G21" s="30" t="s">
        <v>303</v>
      </c>
      <c r="H21" s="30"/>
      <c r="I21" s="14" t="s">
        <v>23</v>
      </c>
      <c r="J21" s="14" t="s">
        <v>332</v>
      </c>
    </row>
    <row r="22" customFormat="false" ht="39.75" hidden="false" customHeight="true" outlineLevel="0" collapsed="false">
      <c r="B22" s="10" t="s">
        <v>333</v>
      </c>
      <c r="C22" s="10" t="s">
        <v>334</v>
      </c>
      <c r="D22" s="10" t="s">
        <v>325</v>
      </c>
      <c r="E22" s="10" t="s">
        <v>127</v>
      </c>
      <c r="F22" s="28" t="s">
        <v>307</v>
      </c>
      <c r="G22" s="28" t="s">
        <v>335</v>
      </c>
      <c r="H22" s="28"/>
      <c r="I22" s="10" t="s">
        <v>295</v>
      </c>
      <c r="J22" s="10"/>
    </row>
    <row r="23" customFormat="false" ht="39.75" hidden="false" customHeight="true" outlineLevel="0" collapsed="false">
      <c r="B23" s="14" t="s">
        <v>336</v>
      </c>
      <c r="C23" s="14" t="s">
        <v>337</v>
      </c>
      <c r="D23" s="14" t="s">
        <v>338</v>
      </c>
      <c r="E23" s="14" t="s">
        <v>136</v>
      </c>
      <c r="F23" s="30" t="s">
        <v>315</v>
      </c>
      <c r="G23" s="30" t="s">
        <v>302</v>
      </c>
      <c r="H23" s="30"/>
      <c r="I23" s="14" t="s">
        <v>290</v>
      </c>
      <c r="J23" s="14"/>
    </row>
    <row r="24" customFormat="false" ht="39.75" hidden="false" customHeight="true" outlineLevel="0" collapsed="false">
      <c r="B24" s="10" t="s">
        <v>339</v>
      </c>
      <c r="C24" s="10" t="s">
        <v>340</v>
      </c>
      <c r="D24" s="10" t="s">
        <v>338</v>
      </c>
      <c r="E24" s="10" t="s">
        <v>136</v>
      </c>
      <c r="F24" s="28" t="s">
        <v>302</v>
      </c>
      <c r="G24" s="28" t="s">
        <v>341</v>
      </c>
      <c r="H24" s="28"/>
      <c r="I24" s="10" t="s">
        <v>295</v>
      </c>
      <c r="J24" s="10"/>
    </row>
    <row r="25" customFormat="false" ht="39.75" hidden="false" customHeight="true" outlineLevel="0" collapsed="false">
      <c r="B25" s="14" t="s">
        <v>342</v>
      </c>
      <c r="C25" s="14" t="s">
        <v>343</v>
      </c>
      <c r="D25" s="14" t="s">
        <v>338</v>
      </c>
      <c r="E25" s="14" t="s">
        <v>127</v>
      </c>
      <c r="F25" s="30" t="s">
        <v>344</v>
      </c>
      <c r="G25" s="30" t="s">
        <v>345</v>
      </c>
      <c r="H25" s="30"/>
      <c r="I25" s="14" t="s">
        <v>295</v>
      </c>
      <c r="J25" s="14"/>
    </row>
    <row r="26" customFormat="false" ht="39.75" hidden="false" customHeight="true" outlineLevel="0" collapsed="false">
      <c r="B26" s="10" t="s">
        <v>346</v>
      </c>
      <c r="C26" s="10" t="s">
        <v>347</v>
      </c>
      <c r="D26" s="10" t="s">
        <v>273</v>
      </c>
      <c r="E26" s="10" t="s">
        <v>348</v>
      </c>
      <c r="F26" s="28" t="s">
        <v>349</v>
      </c>
      <c r="G26" s="28" t="s">
        <v>17</v>
      </c>
      <c r="H26" s="28"/>
      <c r="I26" s="10" t="s">
        <v>295</v>
      </c>
      <c r="J26" s="10"/>
    </row>
    <row r="27" customFormat="false" ht="27.75" hidden="false" customHeight="true" outlineLevel="0" collapsed="false">
      <c r="B27" s="10"/>
      <c r="C27" s="10"/>
      <c r="D27" s="10"/>
      <c r="E27" s="10"/>
      <c r="F27" s="28"/>
      <c r="G27" s="28"/>
      <c r="H27" s="28"/>
      <c r="I27" s="10"/>
      <c r="J27" s="10"/>
    </row>
    <row r="28" customFormat="false" ht="27.75" hidden="false" customHeight="true" outlineLevel="0" collapsed="false">
      <c r="B28" s="10"/>
      <c r="C28" s="10"/>
      <c r="D28" s="10"/>
      <c r="E28" s="10"/>
      <c r="F28" s="28"/>
      <c r="G28" s="28"/>
      <c r="H28" s="28"/>
      <c r="I28" s="10"/>
      <c r="J28" s="10"/>
    </row>
    <row r="29" customFormat="false" ht="27.75" hidden="false" customHeight="true" outlineLevel="0" collapsed="false">
      <c r="B29" s="10"/>
      <c r="C29" s="10"/>
      <c r="D29" s="10"/>
      <c r="E29" s="10"/>
      <c r="F29" s="28"/>
      <c r="G29" s="28"/>
      <c r="H29" s="28"/>
      <c r="I29" s="10"/>
      <c r="J29" s="10"/>
    </row>
    <row r="30" customFormat="false" ht="27.75" hidden="false" customHeight="true" outlineLevel="0" collapsed="false">
      <c r="B30" s="10"/>
      <c r="C30" s="10"/>
      <c r="D30" s="10"/>
      <c r="E30" s="10"/>
      <c r="F30" s="28"/>
      <c r="G30" s="28"/>
      <c r="H30" s="28"/>
      <c r="I30" s="10"/>
      <c r="J30" s="10"/>
    </row>
    <row r="31" customFormat="false" ht="27.75" hidden="false" customHeight="true" outlineLevel="0" collapsed="false">
      <c r="B31" s="10"/>
      <c r="C31" s="10"/>
      <c r="D31" s="10"/>
      <c r="E31" s="10"/>
      <c r="F31" s="28"/>
      <c r="G31" s="28"/>
      <c r="H31" s="28"/>
      <c r="I31" s="10"/>
      <c r="J31" s="10"/>
    </row>
    <row r="32" customFormat="false" ht="27.75" hidden="false" customHeight="true" outlineLevel="0" collapsed="false">
      <c r="B32" s="10"/>
      <c r="C32" s="10"/>
      <c r="D32" s="10"/>
      <c r="E32" s="10"/>
      <c r="F32" s="28"/>
      <c r="G32" s="28"/>
      <c r="H32" s="28"/>
      <c r="I32" s="10"/>
      <c r="J32" s="10"/>
    </row>
    <row r="33" customFormat="false" ht="27.75" hidden="false" customHeight="true" outlineLevel="0" collapsed="false">
      <c r="B33" s="10"/>
      <c r="C33" s="10"/>
      <c r="D33" s="10"/>
      <c r="E33" s="10"/>
      <c r="F33" s="28"/>
      <c r="G33" s="28"/>
      <c r="H33" s="28"/>
      <c r="I33" s="10"/>
      <c r="J33" s="10"/>
    </row>
    <row r="34" customFormat="false" ht="27.75" hidden="false" customHeight="true" outlineLevel="0" collapsed="false">
      <c r="B34" s="10"/>
      <c r="C34" s="10"/>
      <c r="D34" s="10"/>
      <c r="E34" s="10"/>
      <c r="F34" s="28"/>
      <c r="G34" s="28"/>
      <c r="H34" s="28"/>
      <c r="I34" s="10"/>
      <c r="J34" s="10"/>
    </row>
    <row r="35" customFormat="false" ht="27.75" hidden="false" customHeight="true" outlineLevel="0" collapsed="false">
      <c r="B35" s="10"/>
      <c r="C35" s="10"/>
      <c r="D35" s="10"/>
      <c r="E35" s="10"/>
      <c r="F35" s="28"/>
      <c r="G35" s="28"/>
      <c r="H35" s="28"/>
      <c r="I35" s="10"/>
      <c r="J35" s="10"/>
    </row>
    <row r="36" customFormat="false" ht="27.75" hidden="false" customHeight="true" outlineLevel="0" collapsed="false">
      <c r="B36" s="10"/>
      <c r="C36" s="10"/>
      <c r="D36" s="10"/>
      <c r="E36" s="10"/>
      <c r="F36" s="28"/>
      <c r="G36" s="28"/>
      <c r="H36" s="28"/>
      <c r="I36" s="10"/>
      <c r="J36" s="10"/>
    </row>
    <row r="37" customFormat="false" ht="16.5" hidden="false" customHeight="true" outlineLevel="0" collapsed="false">
      <c r="F37" s="31"/>
      <c r="G37" s="31"/>
      <c r="H37" s="31"/>
    </row>
  </sheetData>
  <conditionalFormatting sqref="I6:I37">
    <cfRule type="expression" priority="2" aboveAverage="0" equalAverage="0" bottom="0" percent="0" rank="0" text="" dxfId="2">
      <formula>EXACT(I6,"Complete")</formula>
    </cfRule>
    <cfRule type="expression" priority="3" aboveAverage="0" equalAverage="0" bottom="0" percent="0" rank="0" text="" dxfId="0">
      <formula>OR(EXACT(I6,"Delayed"),EXACT(I6,"At-Risk"),EXACT(I6,"Blocked"))</formula>
    </cfRule>
    <cfRule type="expression" priority="4" aboveAverage="0" equalAverage="0" bottom="0" percent="0" rank="0" text="" dxfId="1">
      <formula>EXACT(I6,"In Progress")</formula>
    </cfRule>
  </conditionalFormatting>
  <dataValidations count="3">
    <dataValidation allowBlank="true" errorStyle="stop" operator="between" showDropDown="false" showErrorMessage="false" showInputMessage="false" sqref="D6:D37" type="list">
      <formula1>"IdP Migration,ZTNA Rollout,PAM,MFA Hardening,Access Review,Program"</formula1>
      <formula2>0</formula2>
    </dataValidation>
    <dataValidation allowBlank="true" errorStyle="stop" operator="between" showDropDown="false" showErrorMessage="false" showInputMessage="false" sqref="E6:E37" type="list">
      <formula1>"Initiate,Plan,Execute,Monitor,Close"</formula1>
      <formula2>0</formula2>
    </dataValidation>
    <dataValidation allowBlank="true" errorStyle="stop" operator="between" showDropDown="false" showErrorMessage="false" showInputMessage="false" sqref="I6:I37" type="list">
      <formula1>"Not Started,In Progress,Complete,Delayed,At-Risk,Blocked"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6" min="3" style="0" width="16"/>
    <col collapsed="false" customWidth="true" hidden="false" outlineLevel="0" max="8" min="7" style="0" width="14"/>
    <col collapsed="false" customWidth="true" hidden="false" outlineLevel="0" max="9" min="9" style="0" width="26"/>
  </cols>
  <sheetData>
    <row r="1" customFormat="false" ht="16.5" hidden="false" customHeight="true" outlineLevel="0" collapsed="false"/>
    <row r="2" customFormat="false" ht="27.75" hidden="false" customHeight="true" outlineLevel="0" collapsed="false">
      <c r="B2" s="16" t="s">
        <v>350</v>
      </c>
    </row>
    <row r="3" customFormat="false" ht="16.5" hidden="false" customHeight="true" outlineLevel="0" collapsed="false">
      <c r="B3" s="17" t="s">
        <v>351</v>
      </c>
    </row>
    <row r="4" customFormat="false" ht="16.5" hidden="false" customHeight="true" outlineLevel="0" collapsed="false"/>
    <row r="5" customFormat="false" ht="31.5" hidden="false" customHeight="true" outlineLevel="0" collapsed="false">
      <c r="B5" s="5" t="s">
        <v>352</v>
      </c>
      <c r="C5" s="32" t="n">
        <v>8400000</v>
      </c>
      <c r="D5" s="5" t="s">
        <v>353</v>
      </c>
      <c r="E5" s="6" t="s">
        <v>354</v>
      </c>
      <c r="F5" s="5" t="s">
        <v>355</v>
      </c>
      <c r="G5" s="33" t="s">
        <v>27</v>
      </c>
    </row>
    <row r="6" customFormat="false" ht="16.5" hidden="false" customHeight="true" outlineLevel="0" collapsed="false"/>
    <row r="7" customFormat="false" ht="16.5" hidden="false" customHeight="true" outlineLevel="0" collapsed="false"/>
    <row r="8" customFormat="false" ht="31.5" hidden="false" customHeight="true" outlineLevel="0" collapsed="false">
      <c r="B8" s="8" t="s">
        <v>356</v>
      </c>
      <c r="C8" s="8" t="s">
        <v>357</v>
      </c>
      <c r="D8" s="8" t="s">
        <v>358</v>
      </c>
      <c r="E8" s="8" t="s">
        <v>359</v>
      </c>
      <c r="F8" s="8" t="s">
        <v>360</v>
      </c>
      <c r="G8" s="8" t="s">
        <v>361</v>
      </c>
      <c r="H8" s="8" t="s">
        <v>362</v>
      </c>
      <c r="I8" s="8" t="s">
        <v>124</v>
      </c>
    </row>
    <row r="9" customFormat="false" ht="31.5" hidden="false" customHeight="true" outlineLevel="0" collapsed="false">
      <c r="B9" s="10" t="s">
        <v>125</v>
      </c>
      <c r="C9" s="19" t="n">
        <v>1850000</v>
      </c>
      <c r="D9" s="19" t="n">
        <v>1500000</v>
      </c>
      <c r="E9" s="19" t="n">
        <v>1200000</v>
      </c>
      <c r="F9" s="20" t="n">
        <f aca="false">C9-E9</f>
        <v>650000</v>
      </c>
      <c r="G9" s="18" t="n">
        <f aca="false">IFERROR(E9/C9,0)</f>
        <v>0.648648648648649</v>
      </c>
      <c r="H9" s="19" t="n">
        <v>1820000</v>
      </c>
      <c r="I9" s="10" t="s">
        <v>363</v>
      </c>
    </row>
    <row r="10" customFormat="false" ht="31.5" hidden="false" customHeight="true" outlineLevel="0" collapsed="false">
      <c r="B10" s="10" t="s">
        <v>298</v>
      </c>
      <c r="C10" s="19" t="n">
        <v>2100000</v>
      </c>
      <c r="D10" s="19" t="n">
        <v>1700000</v>
      </c>
      <c r="E10" s="19" t="n">
        <v>1050000</v>
      </c>
      <c r="F10" s="20" t="n">
        <f aca="false">C10-E10</f>
        <v>1050000</v>
      </c>
      <c r="G10" s="18" t="n">
        <f aca="false">IFERROR(E10/C10,0)</f>
        <v>0.5</v>
      </c>
      <c r="H10" s="19" t="n">
        <v>2150000</v>
      </c>
      <c r="I10" s="10" t="s">
        <v>364</v>
      </c>
    </row>
    <row r="11" customFormat="false" ht="31.5" hidden="false" customHeight="true" outlineLevel="0" collapsed="false">
      <c r="B11" s="10" t="s">
        <v>134</v>
      </c>
      <c r="C11" s="19" t="n">
        <v>1600000</v>
      </c>
      <c r="D11" s="19" t="n">
        <v>120000</v>
      </c>
      <c r="E11" s="19" t="n">
        <v>280000</v>
      </c>
      <c r="F11" s="20" t="n">
        <f aca="false">C11-E11</f>
        <v>1320000</v>
      </c>
      <c r="G11" s="18" t="n">
        <f aca="false">IFERROR(E11/C11,0)</f>
        <v>0.175</v>
      </c>
      <c r="H11" s="19" t="n">
        <v>1650000</v>
      </c>
      <c r="I11" s="10" t="s">
        <v>365</v>
      </c>
    </row>
    <row r="12" customFormat="false" ht="31.5" hidden="false" customHeight="true" outlineLevel="0" collapsed="false">
      <c r="B12" s="10" t="s">
        <v>139</v>
      </c>
      <c r="C12" s="19" t="n">
        <v>1100000</v>
      </c>
      <c r="D12" s="19" t="n">
        <v>850000</v>
      </c>
      <c r="E12" s="19" t="n">
        <v>680000</v>
      </c>
      <c r="F12" s="20" t="n">
        <f aca="false">C12-E12</f>
        <v>420000</v>
      </c>
      <c r="G12" s="18" t="n">
        <f aca="false">IFERROR(E12/C12,0)</f>
        <v>0.618181818181818</v>
      </c>
      <c r="H12" s="19" t="n">
        <v>1180000</v>
      </c>
      <c r="I12" s="10" t="s">
        <v>366</v>
      </c>
    </row>
    <row r="13" customFormat="false" ht="31.5" hidden="false" customHeight="true" outlineLevel="0" collapsed="false">
      <c r="B13" s="10" t="s">
        <v>143</v>
      </c>
      <c r="C13" s="19" t="n">
        <v>750000</v>
      </c>
      <c r="D13" s="19" t="n">
        <v>80000</v>
      </c>
      <c r="E13" s="19" t="n">
        <v>35000</v>
      </c>
      <c r="F13" s="20" t="n">
        <f aca="false">C13-E13</f>
        <v>715000</v>
      </c>
      <c r="G13" s="18" t="n">
        <f aca="false">IFERROR(E13/C13,0)</f>
        <v>0.0466666666666667</v>
      </c>
      <c r="H13" s="19" t="n">
        <v>730000</v>
      </c>
      <c r="I13" s="10" t="s">
        <v>367</v>
      </c>
    </row>
    <row r="14" customFormat="false" ht="31.5" hidden="false" customHeight="true" outlineLevel="0" collapsed="false">
      <c r="B14" s="10" t="s">
        <v>368</v>
      </c>
      <c r="C14" s="19" t="n">
        <v>400000</v>
      </c>
      <c r="D14" s="19" t="n">
        <v>150000</v>
      </c>
      <c r="E14" s="19" t="n">
        <v>165000</v>
      </c>
      <c r="F14" s="20" t="n">
        <f aca="false">C14-E14</f>
        <v>235000</v>
      </c>
      <c r="G14" s="18" t="n">
        <f aca="false">IFERROR(E14/C14,0)</f>
        <v>0.4125</v>
      </c>
      <c r="H14" s="19" t="n">
        <v>390000</v>
      </c>
      <c r="I14" s="10" t="s">
        <v>369</v>
      </c>
    </row>
    <row r="15" customFormat="false" ht="31.5" hidden="false" customHeight="true" outlineLevel="0" collapsed="false">
      <c r="B15" s="10" t="s">
        <v>370</v>
      </c>
      <c r="C15" s="19" t="n">
        <v>600000</v>
      </c>
      <c r="D15" s="19" t="n">
        <v>0</v>
      </c>
      <c r="E15" s="19" t="n">
        <v>0</v>
      </c>
      <c r="F15" s="20" t="n">
        <f aca="false">C15-E15</f>
        <v>600000</v>
      </c>
      <c r="G15" s="18" t="n">
        <f aca="false">IFERROR(E15/C15,0)</f>
        <v>0</v>
      </c>
      <c r="H15" s="19" t="n">
        <v>500000</v>
      </c>
      <c r="I15" s="10" t="s">
        <v>371</v>
      </c>
    </row>
    <row r="16" customFormat="false" ht="16.5" hidden="false" customHeight="true" outlineLevel="0" collapsed="false">
      <c r="B16" s="34" t="s">
        <v>372</v>
      </c>
      <c r="C16" s="24" t="n">
        <f aca="false">SUM(C9:C15)</f>
        <v>8400000</v>
      </c>
      <c r="D16" s="24" t="n">
        <f aca="false">SUM(D9:D15)</f>
        <v>4400000</v>
      </c>
      <c r="E16" s="24" t="n">
        <f aca="false">SUM(E9:E15)</f>
        <v>3410000</v>
      </c>
      <c r="F16" s="24" t="n">
        <f aca="false">SUM(F9:F15)</f>
        <v>4990000</v>
      </c>
      <c r="G16" s="22" t="n">
        <f aca="false">IFERROR(E16/C16,0)</f>
        <v>0.405952380952381</v>
      </c>
      <c r="H16" s="23" t="n">
        <f aca="false">SUM(H9:H15)</f>
        <v>8420000</v>
      </c>
    </row>
    <row r="17" customFormat="false" ht="16.5" hidden="false" customHeight="true" outlineLevel="0" collapsed="false"/>
    <row r="18" customFormat="false" ht="16.5" hidden="false" customHeight="true" outlineLevel="0" collapsed="false"/>
    <row r="19" customFormat="false" ht="16.5" hidden="false" customHeight="true" outlineLevel="0" collapsed="false">
      <c r="B19" s="4" t="s">
        <v>373</v>
      </c>
    </row>
    <row r="20" customFormat="false" ht="16.5" hidden="false" customHeight="true" outlineLevel="0" collapsed="false"/>
    <row r="21" customFormat="false" ht="31.5" hidden="false" customHeight="true" outlineLevel="0" collapsed="false">
      <c r="B21" s="5" t="s">
        <v>374</v>
      </c>
      <c r="C21" s="35" t="n">
        <f aca="false">H16</f>
        <v>8420000</v>
      </c>
    </row>
    <row r="22" customFormat="false" ht="31.5" hidden="false" customHeight="true" outlineLevel="0" collapsed="false">
      <c r="B22" s="5" t="s">
        <v>375</v>
      </c>
      <c r="C22" s="35" t="n">
        <f aca="false">C16-H16</f>
        <v>-20000</v>
      </c>
    </row>
    <row r="23" customFormat="false" ht="31.5" hidden="false" customHeight="true" outlineLevel="0" collapsed="false">
      <c r="B23" s="5" t="s">
        <v>376</v>
      </c>
      <c r="C23" s="35" t="n">
        <f aca="false">600000-500000</f>
        <v>100000</v>
      </c>
    </row>
    <row r="24" customFormat="false" ht="16.5" hidden="false" customHeight="true" outlineLevel="0" collapsed="false">
      <c r="B24" s="5" t="s">
        <v>377</v>
      </c>
      <c r="C24" s="35" t="n">
        <f aca="false">E16/3</f>
        <v>1136666.66666667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3" min="2" style="0" width="22"/>
    <col collapsed="false" customWidth="true" hidden="false" outlineLevel="0" max="9" min="4" style="0" width="14"/>
    <col collapsed="false" customWidth="true" hidden="false" outlineLevel="0" max="11" min="10" style="0" width="28"/>
  </cols>
  <sheetData>
    <row r="1" customFormat="false" ht="16.5" hidden="false" customHeight="true" outlineLevel="0" collapsed="false"/>
    <row r="2" customFormat="false" ht="27.75" hidden="false" customHeight="true" outlineLevel="0" collapsed="false">
      <c r="B2" s="16" t="s">
        <v>378</v>
      </c>
    </row>
    <row r="3" customFormat="false" ht="16.5" hidden="false" customHeight="true" outlineLevel="0" collapsed="false">
      <c r="B3" s="17" t="s">
        <v>379</v>
      </c>
    </row>
    <row r="4" customFormat="false" ht="16.5" hidden="false" customHeight="true" outlineLevel="0" collapsed="false"/>
    <row r="5" customFormat="false" ht="31.5" hidden="false" customHeight="true" outlineLevel="0" collapsed="false">
      <c r="B5" s="8" t="s">
        <v>380</v>
      </c>
      <c r="C5" s="8" t="s">
        <v>381</v>
      </c>
      <c r="D5" s="8" t="s">
        <v>382</v>
      </c>
      <c r="E5" s="8" t="s">
        <v>383</v>
      </c>
      <c r="F5" s="8" t="s">
        <v>314</v>
      </c>
      <c r="G5" s="8" t="s">
        <v>384</v>
      </c>
      <c r="H5" s="8" t="s">
        <v>338</v>
      </c>
      <c r="I5" s="8" t="s">
        <v>273</v>
      </c>
      <c r="J5" s="8" t="s">
        <v>385</v>
      </c>
      <c r="K5" s="8" t="s">
        <v>124</v>
      </c>
    </row>
    <row r="6" customFormat="false" ht="27.75" hidden="false" customHeight="true" outlineLevel="0" collapsed="false">
      <c r="B6" s="10" t="s">
        <v>386</v>
      </c>
      <c r="C6" s="10" t="s">
        <v>387</v>
      </c>
      <c r="D6" s="36" t="n">
        <v>0.3</v>
      </c>
      <c r="E6" s="36" t="n">
        <v>0.3</v>
      </c>
      <c r="F6" s="36" t="n">
        <v>0.2</v>
      </c>
      <c r="G6" s="36" t="n">
        <v>0.1</v>
      </c>
      <c r="H6" s="36" t="n">
        <v>0</v>
      </c>
      <c r="I6" s="36" t="n">
        <v>0</v>
      </c>
      <c r="J6" s="37" t="n">
        <f aca="false">SUM(D6:I6)</f>
        <v>0.9</v>
      </c>
      <c r="K6" s="10"/>
    </row>
    <row r="7" customFormat="false" ht="27.75" hidden="false" customHeight="true" outlineLevel="0" collapsed="false">
      <c r="B7" s="10" t="s">
        <v>388</v>
      </c>
      <c r="C7" s="10" t="s">
        <v>389</v>
      </c>
      <c r="D7" s="36" t="n">
        <v>0.6</v>
      </c>
      <c r="E7" s="36" t="n">
        <v>0.2</v>
      </c>
      <c r="F7" s="36" t="n">
        <v>0</v>
      </c>
      <c r="G7" s="36" t="n">
        <v>0.2</v>
      </c>
      <c r="H7" s="36" t="n">
        <v>0</v>
      </c>
      <c r="I7" s="36" t="n">
        <v>0</v>
      </c>
      <c r="J7" s="37" t="n">
        <f aca="false">SUM(D7:I7)</f>
        <v>1</v>
      </c>
      <c r="K7" s="10"/>
    </row>
    <row r="8" customFormat="false" ht="27.75" hidden="false" customHeight="true" outlineLevel="0" collapsed="false">
      <c r="B8" s="10" t="s">
        <v>390</v>
      </c>
      <c r="C8" s="10" t="s">
        <v>391</v>
      </c>
      <c r="D8" s="36" t="n">
        <v>0.1</v>
      </c>
      <c r="E8" s="36" t="n">
        <v>0.5</v>
      </c>
      <c r="F8" s="36" t="n">
        <v>0</v>
      </c>
      <c r="G8" s="36" t="n">
        <v>0</v>
      </c>
      <c r="H8" s="36" t="n">
        <v>0</v>
      </c>
      <c r="I8" s="36" t="n">
        <v>0</v>
      </c>
      <c r="J8" s="37" t="n">
        <f aca="false">SUM(D8:I8)</f>
        <v>0.6</v>
      </c>
      <c r="K8" s="10"/>
    </row>
    <row r="9" customFormat="false" ht="27.75" hidden="false" customHeight="true" outlineLevel="0" collapsed="false">
      <c r="B9" s="10" t="s">
        <v>392</v>
      </c>
      <c r="C9" s="10" t="s">
        <v>393</v>
      </c>
      <c r="D9" s="36" t="n">
        <v>0.1</v>
      </c>
      <c r="E9" s="36" t="n">
        <v>0.1</v>
      </c>
      <c r="F9" s="36" t="n">
        <v>0.2</v>
      </c>
      <c r="G9" s="36" t="n">
        <v>0.2</v>
      </c>
      <c r="H9" s="36" t="n">
        <v>0.3</v>
      </c>
      <c r="I9" s="36" t="n">
        <v>0.1</v>
      </c>
      <c r="J9" s="37" t="n">
        <f aca="false">SUM(D9:I9)</f>
        <v>1</v>
      </c>
      <c r="K9" s="10"/>
    </row>
    <row r="10" customFormat="false" ht="27.75" hidden="false" customHeight="true" outlineLevel="0" collapsed="false">
      <c r="B10" s="10" t="s">
        <v>394</v>
      </c>
      <c r="C10" s="10" t="s">
        <v>395</v>
      </c>
      <c r="D10" s="36" t="n">
        <v>0</v>
      </c>
      <c r="E10" s="36" t="n">
        <v>0.2</v>
      </c>
      <c r="F10" s="36" t="n">
        <v>0.4</v>
      </c>
      <c r="G10" s="36" t="n">
        <v>0.3</v>
      </c>
      <c r="H10" s="36" t="n">
        <v>0</v>
      </c>
      <c r="I10" s="36" t="n">
        <v>0</v>
      </c>
      <c r="J10" s="37" t="n">
        <f aca="false">SUM(D10:I10)</f>
        <v>0.9</v>
      </c>
      <c r="K10" s="10"/>
    </row>
    <row r="11" customFormat="false" ht="27.75" hidden="false" customHeight="true" outlineLevel="0" collapsed="false">
      <c r="B11" s="10" t="s">
        <v>396</v>
      </c>
      <c r="C11" s="10" t="s">
        <v>397</v>
      </c>
      <c r="D11" s="36" t="n">
        <v>0.2</v>
      </c>
      <c r="E11" s="36" t="n">
        <v>0.3</v>
      </c>
      <c r="F11" s="36" t="n">
        <v>0.4</v>
      </c>
      <c r="G11" s="36" t="n">
        <v>0.2</v>
      </c>
      <c r="H11" s="36" t="n">
        <v>0</v>
      </c>
      <c r="I11" s="36" t="n">
        <v>0</v>
      </c>
      <c r="J11" s="37" t="n">
        <f aca="false">SUM(D11:I11)</f>
        <v>1.1</v>
      </c>
      <c r="K11" s="10"/>
    </row>
    <row r="12" customFormat="false" ht="27.75" hidden="false" customHeight="true" outlineLevel="0" collapsed="false">
      <c r="B12" s="10" t="s">
        <v>398</v>
      </c>
      <c r="C12" s="10" t="s">
        <v>399</v>
      </c>
      <c r="D12" s="36" t="n">
        <v>0.2</v>
      </c>
      <c r="E12" s="36" t="n">
        <v>0.2</v>
      </c>
      <c r="F12" s="36" t="n">
        <v>0.2</v>
      </c>
      <c r="G12" s="36" t="n">
        <v>0.2</v>
      </c>
      <c r="H12" s="36" t="n">
        <v>0.1</v>
      </c>
      <c r="I12" s="36" t="n">
        <v>0</v>
      </c>
      <c r="J12" s="37" t="n">
        <f aca="false">SUM(D12:I12)</f>
        <v>0.9</v>
      </c>
      <c r="K12" s="10"/>
    </row>
    <row r="13" customFormat="false" ht="27.75" hidden="false" customHeight="true" outlineLevel="0" collapsed="false">
      <c r="B13" s="10" t="s">
        <v>400</v>
      </c>
      <c r="C13" s="10" t="s">
        <v>401</v>
      </c>
      <c r="D13" s="36" t="n">
        <v>0.1</v>
      </c>
      <c r="E13" s="36" t="n">
        <v>0.1</v>
      </c>
      <c r="F13" s="36" t="n">
        <v>0.1</v>
      </c>
      <c r="G13" s="36" t="n">
        <v>0.15</v>
      </c>
      <c r="H13" s="36" t="n">
        <v>0.05</v>
      </c>
      <c r="I13" s="36" t="n">
        <v>0.5</v>
      </c>
      <c r="J13" s="37" t="n">
        <f aca="false">SUM(D13:I13)</f>
        <v>1</v>
      </c>
      <c r="K13" s="10"/>
    </row>
    <row r="14" customFormat="false" ht="27.75" hidden="false" customHeight="true" outlineLevel="0" collapsed="false">
      <c r="B14" s="10"/>
      <c r="C14" s="10"/>
      <c r="D14" s="36"/>
      <c r="E14" s="36"/>
      <c r="F14" s="36"/>
      <c r="G14" s="36"/>
      <c r="H14" s="36"/>
      <c r="I14" s="36"/>
      <c r="J14" s="37" t="n">
        <f aca="false">SUM(D14:I14)</f>
        <v>0</v>
      </c>
      <c r="K14" s="10"/>
    </row>
    <row r="15" customFormat="false" ht="27.75" hidden="false" customHeight="true" outlineLevel="0" collapsed="false">
      <c r="B15" s="10"/>
      <c r="C15" s="10"/>
      <c r="D15" s="36"/>
      <c r="E15" s="36"/>
      <c r="F15" s="36"/>
      <c r="G15" s="36"/>
      <c r="H15" s="36"/>
      <c r="I15" s="36"/>
      <c r="J15" s="37" t="n">
        <f aca="false">SUM(D15:I15)</f>
        <v>0</v>
      </c>
      <c r="K15" s="10"/>
    </row>
    <row r="16" customFormat="false" ht="27.75" hidden="false" customHeight="true" outlineLevel="0" collapsed="false">
      <c r="B16" s="10"/>
      <c r="C16" s="10"/>
      <c r="D16" s="36"/>
      <c r="E16" s="36"/>
      <c r="F16" s="36"/>
      <c r="G16" s="36"/>
      <c r="H16" s="36"/>
      <c r="I16" s="36"/>
      <c r="J16" s="37" t="n">
        <f aca="false">SUM(D16:I16)</f>
        <v>0</v>
      </c>
      <c r="K16" s="10"/>
    </row>
    <row r="17" customFormat="false" ht="27.75" hidden="false" customHeight="true" outlineLevel="0" collapsed="false">
      <c r="B17" s="10"/>
      <c r="C17" s="10"/>
      <c r="D17" s="36"/>
      <c r="E17" s="36"/>
      <c r="F17" s="36"/>
      <c r="G17" s="36"/>
      <c r="H17" s="36"/>
      <c r="I17" s="36"/>
      <c r="J17" s="37" t="n">
        <f aca="false">SUM(D17:I17)</f>
        <v>0</v>
      </c>
      <c r="K17" s="10"/>
    </row>
    <row r="18" customFormat="false" ht="27.75" hidden="false" customHeight="true" outlineLevel="0" collapsed="false">
      <c r="B18" s="10"/>
      <c r="C18" s="10"/>
      <c r="D18" s="36"/>
      <c r="E18" s="36"/>
      <c r="F18" s="36"/>
      <c r="G18" s="36"/>
      <c r="H18" s="36"/>
      <c r="I18" s="36"/>
      <c r="J18" s="37" t="n">
        <f aca="false">SUM(D18:I18)</f>
        <v>0</v>
      </c>
      <c r="K18" s="10"/>
    </row>
    <row r="19" customFormat="false" ht="27.75" hidden="false" customHeight="true" outlineLevel="0" collapsed="false">
      <c r="B19" s="10"/>
      <c r="C19" s="10"/>
      <c r="D19" s="36"/>
      <c r="E19" s="36"/>
      <c r="F19" s="36"/>
      <c r="G19" s="36"/>
      <c r="H19" s="36"/>
      <c r="I19" s="36"/>
      <c r="J19" s="37" t="n">
        <f aca="false">SUM(D19:I19)</f>
        <v>0</v>
      </c>
      <c r="K19" s="10"/>
    </row>
    <row r="20" customFormat="false" ht="27.75" hidden="false" customHeight="true" outlineLevel="0" collapsed="false">
      <c r="B20" s="10"/>
      <c r="C20" s="10"/>
      <c r="D20" s="36"/>
      <c r="E20" s="36"/>
      <c r="F20" s="36"/>
      <c r="G20" s="36"/>
      <c r="H20" s="36"/>
      <c r="I20" s="36"/>
      <c r="J20" s="37" t="n">
        <f aca="false">SUM(D20:I20)</f>
        <v>0</v>
      </c>
      <c r="K20" s="10"/>
    </row>
    <row r="21" customFormat="false" ht="27.75" hidden="false" customHeight="true" outlineLevel="0" collapsed="false">
      <c r="B21" s="10"/>
      <c r="C21" s="10"/>
      <c r="D21" s="36"/>
      <c r="E21" s="36"/>
      <c r="F21" s="36"/>
      <c r="G21" s="36"/>
      <c r="H21" s="36"/>
      <c r="I21" s="36"/>
      <c r="J21" s="37" t="n">
        <f aca="false">SUM(D21:I21)</f>
        <v>0</v>
      </c>
      <c r="K21" s="10"/>
    </row>
    <row r="22" customFormat="false" ht="16.5" hidden="false" customHeight="true" outlineLevel="0" collapsed="false">
      <c r="B22" s="4" t="s">
        <v>402</v>
      </c>
    </row>
    <row r="23" customFormat="false" ht="60" hidden="false" customHeight="true" outlineLevel="0" collapsed="false">
      <c r="B23" s="13" t="s">
        <v>403</v>
      </c>
      <c r="C23" s="13"/>
      <c r="D23" s="13"/>
      <c r="E23" s="13"/>
      <c r="F23" s="13"/>
      <c r="G23" s="13"/>
      <c r="H23" s="13"/>
      <c r="I23" s="13"/>
      <c r="J23" s="13"/>
      <c r="K23" s="13"/>
    </row>
  </sheetData>
  <mergeCells count="1">
    <mergeCell ref="B23:K23"/>
  </mergeCells>
  <conditionalFormatting sqref="J6:J21">
    <cfRule type="cellIs" priority="2" operator="greaterThan" aboveAverage="0" equalAverage="0" bottom="0" percent="0" rank="0" text="" dxfId="0">
      <formula>1</formula>
    </cfRule>
    <cfRule type="cellIs" priority="3" operator="between" aboveAverage="0" equalAverage="0" bottom="0" percent="0" rank="0" text="" dxfId="1">
      <formula>0.9</formula>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4"/>
    <col collapsed="false" customWidth="true" hidden="false" outlineLevel="0" max="4" min="4" style="0" width="26"/>
    <col collapsed="false" customWidth="true" hidden="false" outlineLevel="0" max="6" min="5" style="0" width="32"/>
    <col collapsed="false" customWidth="true" hidden="false" outlineLevel="0" max="7" min="7" style="0" width="18"/>
    <col collapsed="false" customWidth="true" hidden="false" outlineLevel="0" max="8" min="8" style="0" width="22"/>
    <col collapsed="false" customWidth="true" hidden="false" outlineLevel="0" max="9" min="9" style="0" width="14"/>
  </cols>
  <sheetData>
    <row r="1" customFormat="false" ht="16.5" hidden="false" customHeight="true" outlineLevel="0" collapsed="false"/>
    <row r="2" customFormat="false" ht="27.75" hidden="false" customHeight="true" outlineLevel="0" collapsed="false">
      <c r="B2" s="16" t="s">
        <v>404</v>
      </c>
    </row>
    <row r="3" customFormat="false" ht="16.5" hidden="false" customHeight="true" outlineLevel="0" collapsed="false">
      <c r="B3" s="17" t="s">
        <v>405</v>
      </c>
    </row>
    <row r="4" customFormat="false" ht="16.5" hidden="false" customHeight="true" outlineLevel="0" collapsed="false"/>
    <row r="5" customFormat="false" ht="31.5" hidden="false" customHeight="true" outlineLevel="0" collapsed="false">
      <c r="B5" s="8" t="s">
        <v>160</v>
      </c>
      <c r="C5" s="8" t="s">
        <v>406</v>
      </c>
      <c r="D5" s="8" t="s">
        <v>161</v>
      </c>
      <c r="E5" s="8" t="s">
        <v>162</v>
      </c>
      <c r="F5" s="8" t="s">
        <v>407</v>
      </c>
      <c r="G5" s="8" t="s">
        <v>408</v>
      </c>
      <c r="H5" s="8" t="s">
        <v>409</v>
      </c>
      <c r="I5" s="8" t="s">
        <v>33</v>
      </c>
    </row>
    <row r="6" customFormat="false" ht="108.75" hidden="false" customHeight="true" outlineLevel="0" collapsed="false">
      <c r="B6" s="10" t="s">
        <v>410</v>
      </c>
      <c r="C6" s="28" t="s">
        <v>278</v>
      </c>
      <c r="D6" s="10" t="s">
        <v>411</v>
      </c>
      <c r="E6" s="10" t="s">
        <v>412</v>
      </c>
      <c r="F6" s="10" t="s">
        <v>413</v>
      </c>
      <c r="G6" s="10" t="s">
        <v>414</v>
      </c>
      <c r="H6" s="10" t="s">
        <v>415</v>
      </c>
      <c r="I6" s="10" t="s">
        <v>416</v>
      </c>
    </row>
    <row r="7" customFormat="false" ht="90" hidden="false" customHeight="true" outlineLevel="0" collapsed="false">
      <c r="B7" s="14" t="s">
        <v>417</v>
      </c>
      <c r="C7" s="30" t="s">
        <v>204</v>
      </c>
      <c r="D7" s="14" t="s">
        <v>418</v>
      </c>
      <c r="E7" s="14" t="s">
        <v>419</v>
      </c>
      <c r="F7" s="14" t="s">
        <v>420</v>
      </c>
      <c r="G7" s="14" t="s">
        <v>421</v>
      </c>
      <c r="H7" s="14" t="s">
        <v>422</v>
      </c>
      <c r="I7" s="14" t="s">
        <v>423</v>
      </c>
    </row>
    <row r="8" customFormat="false" ht="93.75" hidden="false" customHeight="true" outlineLevel="0" collapsed="false">
      <c r="B8" s="10" t="s">
        <v>424</v>
      </c>
      <c r="C8" s="28" t="s">
        <v>286</v>
      </c>
      <c r="D8" s="10" t="s">
        <v>411</v>
      </c>
      <c r="E8" s="10" t="s">
        <v>425</v>
      </c>
      <c r="F8" s="10" t="s">
        <v>426</v>
      </c>
      <c r="G8" s="10" t="s">
        <v>421</v>
      </c>
      <c r="H8" s="10" t="s">
        <v>427</v>
      </c>
      <c r="I8" s="10" t="s">
        <v>416</v>
      </c>
    </row>
    <row r="9" customFormat="false" ht="90" hidden="false" customHeight="true" outlineLevel="0" collapsed="false">
      <c r="B9" s="14" t="s">
        <v>428</v>
      </c>
      <c r="C9" s="30" t="s">
        <v>217</v>
      </c>
      <c r="D9" s="14" t="s">
        <v>429</v>
      </c>
      <c r="E9" s="14" t="s">
        <v>430</v>
      </c>
      <c r="F9" s="14" t="s">
        <v>431</v>
      </c>
      <c r="G9" s="14" t="s">
        <v>421</v>
      </c>
      <c r="H9" s="14" t="s">
        <v>432</v>
      </c>
      <c r="I9" s="14" t="s">
        <v>423</v>
      </c>
    </row>
    <row r="10" customFormat="false" ht="124.5" hidden="false" customHeight="true" outlineLevel="0" collapsed="false">
      <c r="B10" s="10" t="s">
        <v>433</v>
      </c>
      <c r="C10" s="28" t="s">
        <v>196</v>
      </c>
      <c r="D10" s="10" t="s">
        <v>411</v>
      </c>
      <c r="E10" s="10" t="s">
        <v>434</v>
      </c>
      <c r="F10" s="10" t="s">
        <v>435</v>
      </c>
      <c r="G10" s="10" t="s">
        <v>421</v>
      </c>
      <c r="H10" s="10" t="s">
        <v>436</v>
      </c>
      <c r="I10" s="10" t="s">
        <v>416</v>
      </c>
    </row>
    <row r="11" customFormat="false" ht="90" hidden="false" customHeight="true" outlineLevel="0" collapsed="false">
      <c r="B11" s="14" t="s">
        <v>437</v>
      </c>
      <c r="C11" s="30" t="s">
        <v>27</v>
      </c>
      <c r="D11" s="14" t="s">
        <v>438</v>
      </c>
      <c r="E11" s="14" t="s">
        <v>439</v>
      </c>
      <c r="F11" s="14" t="s">
        <v>440</v>
      </c>
      <c r="G11" s="14" t="s">
        <v>441</v>
      </c>
      <c r="H11" s="14" t="s">
        <v>442</v>
      </c>
      <c r="I11" s="14" t="s">
        <v>423</v>
      </c>
    </row>
    <row r="12" customFormat="false" ht="93.75" hidden="false" customHeight="true" outlineLevel="0" collapsed="false">
      <c r="B12" s="10" t="s">
        <v>443</v>
      </c>
      <c r="C12" s="28" t="s">
        <v>315</v>
      </c>
      <c r="D12" s="10" t="s">
        <v>418</v>
      </c>
      <c r="E12" s="10" t="s">
        <v>444</v>
      </c>
      <c r="F12" s="10" t="s">
        <v>445</v>
      </c>
      <c r="G12" s="10" t="s">
        <v>421</v>
      </c>
      <c r="H12" s="10" t="s">
        <v>446</v>
      </c>
      <c r="I12" s="10" t="s">
        <v>423</v>
      </c>
    </row>
    <row r="13" customFormat="false" ht="27.75" hidden="false" customHeight="true" outlineLevel="0" collapsed="false">
      <c r="B13" s="10"/>
      <c r="C13" s="28"/>
      <c r="D13" s="10"/>
      <c r="E13" s="10"/>
      <c r="F13" s="10"/>
      <c r="G13" s="10"/>
      <c r="H13" s="10"/>
      <c r="I13" s="10"/>
    </row>
    <row r="14" customFormat="false" ht="27.75" hidden="false" customHeight="true" outlineLevel="0" collapsed="false">
      <c r="B14" s="10"/>
      <c r="C14" s="28"/>
      <c r="D14" s="10"/>
      <c r="E14" s="10"/>
      <c r="F14" s="10"/>
      <c r="G14" s="10"/>
      <c r="H14" s="10"/>
      <c r="I14" s="10"/>
    </row>
    <row r="15" customFormat="false" ht="27.75" hidden="false" customHeight="true" outlineLevel="0" collapsed="false">
      <c r="B15" s="10"/>
      <c r="C15" s="28"/>
      <c r="D15" s="10"/>
      <c r="E15" s="10"/>
      <c r="F15" s="10"/>
      <c r="G15" s="10"/>
      <c r="H15" s="10"/>
      <c r="I15" s="10"/>
    </row>
    <row r="16" customFormat="false" ht="27.75" hidden="false" customHeight="true" outlineLevel="0" collapsed="false">
      <c r="B16" s="10"/>
      <c r="C16" s="28"/>
      <c r="D16" s="10"/>
      <c r="E16" s="10"/>
      <c r="F16" s="10"/>
      <c r="G16" s="10"/>
      <c r="H16" s="10"/>
      <c r="I16" s="10"/>
    </row>
    <row r="17" customFormat="false" ht="27.75" hidden="false" customHeight="true" outlineLevel="0" collapsed="false">
      <c r="B17" s="10"/>
      <c r="C17" s="28"/>
      <c r="D17" s="10"/>
      <c r="E17" s="10"/>
      <c r="F17" s="10"/>
      <c r="G17" s="10"/>
      <c r="H17" s="10"/>
      <c r="I17" s="10"/>
    </row>
    <row r="18" customFormat="false" ht="27.75" hidden="false" customHeight="true" outlineLevel="0" collapsed="false">
      <c r="B18" s="10"/>
      <c r="C18" s="28"/>
      <c r="D18" s="10"/>
      <c r="E18" s="10"/>
      <c r="F18" s="10"/>
      <c r="G18" s="10"/>
      <c r="H18" s="10"/>
      <c r="I18" s="10"/>
    </row>
    <row r="19" customFormat="false" ht="27.75" hidden="false" customHeight="true" outlineLevel="0" collapsed="false">
      <c r="B19" s="10"/>
      <c r="C19" s="28"/>
      <c r="D19" s="10"/>
      <c r="E19" s="10"/>
      <c r="F19" s="10"/>
      <c r="G19" s="10"/>
      <c r="H19" s="10"/>
      <c r="I19" s="10"/>
    </row>
    <row r="20" customFormat="false" ht="27.75" hidden="false" customHeight="true" outlineLevel="0" collapsed="false">
      <c r="B20" s="10"/>
      <c r="C20" s="28"/>
      <c r="D20" s="10"/>
      <c r="E20" s="10"/>
      <c r="F20" s="10"/>
      <c r="G20" s="10"/>
      <c r="H20" s="10"/>
      <c r="I20" s="10"/>
    </row>
    <row r="21" customFormat="false" ht="27.75" hidden="false" customHeight="true" outlineLevel="0" collapsed="false">
      <c r="B21" s="10"/>
      <c r="C21" s="28"/>
      <c r="D21" s="10"/>
      <c r="E21" s="10"/>
      <c r="F21" s="10"/>
      <c r="G21" s="10"/>
      <c r="H21" s="10"/>
      <c r="I21" s="10"/>
    </row>
    <row r="22" customFormat="false" ht="27.75" hidden="false" customHeight="true" outlineLevel="0" collapsed="false">
      <c r="B22" s="10"/>
      <c r="C22" s="28"/>
      <c r="D22" s="10"/>
      <c r="E22" s="10"/>
      <c r="F22" s="10"/>
      <c r="G22" s="10"/>
      <c r="H22" s="10"/>
      <c r="I22" s="10"/>
    </row>
    <row r="23" customFormat="false" ht="16.5" hidden="false" customHeight="true" outlineLevel="0" collapsed="false">
      <c r="C23" s="31"/>
    </row>
  </sheetData>
  <dataValidations count="2">
    <dataValidation allowBlank="true" errorStyle="stop" operator="between" showDropDown="false" showErrorMessage="false" showInputMessage="false" sqref="D6:D23" type="list">
      <formula1>"Decision,Change Request — Scope,Change Request — Schedule,Change Request — Budget,Change Request — Resources,Multiple"</formula1>
      <formula2>0</formula2>
    </dataValidation>
    <dataValidation allowBlank="true" errorStyle="stop" operator="between" showDropDown="false" showErrorMessage="false" showInputMessage="false" sqref="I6:I23" type="list">
      <formula1>"Active,Superseded,Reversed,Submitted,Under Review,Approved,Rejected,Implemented"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4"/>
    <col collapsed="false" customWidth="true" hidden="false" outlineLevel="0" max="4" min="4" style="0" width="22"/>
    <col collapsed="false" customWidth="true" hidden="false" outlineLevel="0" max="5" min="5" style="0" width="36"/>
    <col collapsed="false" customWidth="true" hidden="false" outlineLevel="0" max="6" min="6" style="0" width="18"/>
    <col collapsed="false" customWidth="true" hidden="false" outlineLevel="0" max="8" min="7" style="0" width="14"/>
    <col collapsed="false" customWidth="true" hidden="false" outlineLevel="0" max="9" min="9" style="0" width="18"/>
    <col collapsed="false" customWidth="true" hidden="false" outlineLevel="0" max="10" min="10" style="0" width="28"/>
  </cols>
  <sheetData>
    <row r="1" customFormat="false" ht="16.5" hidden="false" customHeight="true" outlineLevel="0" collapsed="false"/>
    <row r="2" customFormat="false" ht="27.75" hidden="false" customHeight="true" outlineLevel="0" collapsed="false">
      <c r="B2" s="16" t="s">
        <v>447</v>
      </c>
    </row>
    <row r="3" customFormat="false" ht="16.5" hidden="false" customHeight="true" outlineLevel="0" collapsed="false">
      <c r="B3" s="17" t="s">
        <v>448</v>
      </c>
    </row>
    <row r="4" customFormat="false" ht="16.5" hidden="false" customHeight="true" outlineLevel="0" collapsed="false"/>
    <row r="5" customFormat="false" ht="31.5" hidden="false" customHeight="true" outlineLevel="0" collapsed="false">
      <c r="B5" s="8" t="s">
        <v>160</v>
      </c>
      <c r="C5" s="8" t="s">
        <v>167</v>
      </c>
      <c r="D5" s="8" t="s">
        <v>449</v>
      </c>
      <c r="E5" s="8" t="s">
        <v>162</v>
      </c>
      <c r="F5" s="8" t="s">
        <v>166</v>
      </c>
      <c r="G5" s="8" t="s">
        <v>450</v>
      </c>
      <c r="H5" s="8" t="s">
        <v>451</v>
      </c>
      <c r="I5" s="8" t="s">
        <v>33</v>
      </c>
      <c r="J5" s="8" t="s">
        <v>124</v>
      </c>
    </row>
    <row r="6" customFormat="false" ht="54.75" hidden="false" customHeight="true" outlineLevel="0" collapsed="false">
      <c r="B6" s="10" t="s">
        <v>452</v>
      </c>
      <c r="C6" s="28" t="s">
        <v>453</v>
      </c>
      <c r="D6" s="10" t="s">
        <v>454</v>
      </c>
      <c r="E6" s="10" t="s">
        <v>455</v>
      </c>
      <c r="F6" s="10" t="s">
        <v>126</v>
      </c>
      <c r="G6" s="28" t="s">
        <v>315</v>
      </c>
      <c r="H6" s="10" t="s">
        <v>173</v>
      </c>
      <c r="I6" s="10" t="s">
        <v>456</v>
      </c>
      <c r="J6" s="10" t="s">
        <v>457</v>
      </c>
    </row>
    <row r="7" customFormat="false" ht="54.75" hidden="false" customHeight="true" outlineLevel="0" collapsed="false">
      <c r="B7" s="14" t="s">
        <v>458</v>
      </c>
      <c r="C7" s="30" t="s">
        <v>453</v>
      </c>
      <c r="D7" s="14" t="s">
        <v>454</v>
      </c>
      <c r="E7" s="14" t="s">
        <v>459</v>
      </c>
      <c r="F7" s="14" t="s">
        <v>131</v>
      </c>
      <c r="G7" s="30" t="s">
        <v>460</v>
      </c>
      <c r="H7" s="14" t="s">
        <v>173</v>
      </c>
      <c r="I7" s="14" t="s">
        <v>456</v>
      </c>
      <c r="J7" s="14" t="s">
        <v>461</v>
      </c>
    </row>
    <row r="8" customFormat="false" ht="54.75" hidden="false" customHeight="true" outlineLevel="0" collapsed="false">
      <c r="B8" s="10" t="s">
        <v>462</v>
      </c>
      <c r="C8" s="28" t="s">
        <v>315</v>
      </c>
      <c r="D8" s="10" t="s">
        <v>463</v>
      </c>
      <c r="E8" s="10" t="s">
        <v>464</v>
      </c>
      <c r="F8" s="10" t="s">
        <v>400</v>
      </c>
      <c r="G8" s="28" t="s">
        <v>465</v>
      </c>
      <c r="H8" s="10" t="s">
        <v>180</v>
      </c>
      <c r="I8" s="10" t="s">
        <v>456</v>
      </c>
      <c r="J8" s="10" t="s">
        <v>466</v>
      </c>
    </row>
    <row r="9" customFormat="false" ht="54.75" hidden="false" customHeight="true" outlineLevel="0" collapsed="false">
      <c r="B9" s="14" t="s">
        <v>467</v>
      </c>
      <c r="C9" s="30" t="s">
        <v>315</v>
      </c>
      <c r="D9" s="14" t="s">
        <v>468</v>
      </c>
      <c r="E9" s="14" t="s">
        <v>469</v>
      </c>
      <c r="F9" s="14" t="s">
        <v>187</v>
      </c>
      <c r="G9" s="30" t="s">
        <v>470</v>
      </c>
      <c r="H9" s="14" t="s">
        <v>180</v>
      </c>
      <c r="I9" s="14" t="s">
        <v>290</v>
      </c>
      <c r="J9" s="14" t="s">
        <v>471</v>
      </c>
    </row>
    <row r="10" customFormat="false" ht="54.75" hidden="false" customHeight="true" outlineLevel="0" collapsed="false">
      <c r="B10" s="10" t="s">
        <v>472</v>
      </c>
      <c r="C10" s="28" t="s">
        <v>27</v>
      </c>
      <c r="D10" s="10" t="s">
        <v>454</v>
      </c>
      <c r="E10" s="10" t="s">
        <v>473</v>
      </c>
      <c r="F10" s="10" t="s">
        <v>140</v>
      </c>
      <c r="G10" s="28" t="s">
        <v>474</v>
      </c>
      <c r="H10" s="10" t="s">
        <v>173</v>
      </c>
      <c r="I10" s="10" t="s">
        <v>290</v>
      </c>
      <c r="J10" s="10" t="s">
        <v>475</v>
      </c>
    </row>
    <row r="11" customFormat="false" ht="54.75" hidden="false" customHeight="true" outlineLevel="0" collapsed="false">
      <c r="B11" s="14" t="s">
        <v>476</v>
      </c>
      <c r="C11" s="30" t="s">
        <v>27</v>
      </c>
      <c r="D11" s="14" t="s">
        <v>477</v>
      </c>
      <c r="E11" s="14" t="s">
        <v>478</v>
      </c>
      <c r="F11" s="14" t="s">
        <v>400</v>
      </c>
      <c r="G11" s="30" t="s">
        <v>479</v>
      </c>
      <c r="H11" s="14" t="s">
        <v>173</v>
      </c>
      <c r="I11" s="14" t="s">
        <v>202</v>
      </c>
      <c r="J11" s="14" t="s">
        <v>480</v>
      </c>
    </row>
    <row r="12" customFormat="false" ht="54.75" hidden="false" customHeight="true" outlineLevel="0" collapsed="false">
      <c r="B12" s="10" t="s">
        <v>481</v>
      </c>
      <c r="C12" s="28" t="s">
        <v>27</v>
      </c>
      <c r="D12" s="10" t="s">
        <v>454</v>
      </c>
      <c r="E12" s="10" t="s">
        <v>482</v>
      </c>
      <c r="F12" s="10" t="s">
        <v>144</v>
      </c>
      <c r="G12" s="28" t="s">
        <v>483</v>
      </c>
      <c r="H12" s="10" t="s">
        <v>180</v>
      </c>
      <c r="I12" s="10" t="s">
        <v>202</v>
      </c>
      <c r="J12" s="10"/>
    </row>
    <row r="13" customFormat="false" ht="27.75" hidden="false" customHeight="true" outlineLevel="0" collapsed="false">
      <c r="B13" s="10"/>
      <c r="C13" s="28"/>
      <c r="D13" s="10"/>
      <c r="E13" s="10"/>
      <c r="F13" s="10"/>
      <c r="G13" s="28"/>
      <c r="H13" s="10"/>
      <c r="I13" s="10"/>
      <c r="J13" s="10"/>
    </row>
    <row r="14" customFormat="false" ht="27.75" hidden="false" customHeight="true" outlineLevel="0" collapsed="false">
      <c r="B14" s="10"/>
      <c r="C14" s="28"/>
      <c r="D14" s="10"/>
      <c r="E14" s="10"/>
      <c r="F14" s="10"/>
      <c r="G14" s="28"/>
      <c r="H14" s="10"/>
      <c r="I14" s="10"/>
      <c r="J14" s="10"/>
    </row>
    <row r="15" customFormat="false" ht="27.75" hidden="false" customHeight="true" outlineLevel="0" collapsed="false">
      <c r="B15" s="10"/>
      <c r="C15" s="28"/>
      <c r="D15" s="10"/>
      <c r="E15" s="10"/>
      <c r="F15" s="10"/>
      <c r="G15" s="28"/>
      <c r="H15" s="10"/>
      <c r="I15" s="10"/>
      <c r="J15" s="10"/>
    </row>
    <row r="16" customFormat="false" ht="27.75" hidden="false" customHeight="true" outlineLevel="0" collapsed="false">
      <c r="B16" s="10"/>
      <c r="C16" s="28"/>
      <c r="D16" s="10"/>
      <c r="E16" s="10"/>
      <c r="F16" s="10"/>
      <c r="G16" s="28"/>
      <c r="H16" s="10"/>
      <c r="I16" s="10"/>
      <c r="J16" s="10"/>
    </row>
    <row r="17" customFormat="false" ht="27.75" hidden="false" customHeight="true" outlineLevel="0" collapsed="false">
      <c r="B17" s="10"/>
      <c r="C17" s="28"/>
      <c r="D17" s="10"/>
      <c r="E17" s="10"/>
      <c r="F17" s="10"/>
      <c r="G17" s="28"/>
      <c r="H17" s="10"/>
      <c r="I17" s="10"/>
      <c r="J17" s="10"/>
    </row>
    <row r="18" customFormat="false" ht="27.75" hidden="false" customHeight="true" outlineLevel="0" collapsed="false">
      <c r="B18" s="10"/>
      <c r="C18" s="28"/>
      <c r="D18" s="10"/>
      <c r="E18" s="10"/>
      <c r="F18" s="10"/>
      <c r="G18" s="28"/>
      <c r="H18" s="10"/>
      <c r="I18" s="10"/>
      <c r="J18" s="10"/>
    </row>
    <row r="19" customFormat="false" ht="27.75" hidden="false" customHeight="true" outlineLevel="0" collapsed="false">
      <c r="B19" s="10"/>
      <c r="C19" s="28"/>
      <c r="D19" s="10"/>
      <c r="E19" s="10"/>
      <c r="F19" s="10"/>
      <c r="G19" s="28"/>
      <c r="H19" s="10"/>
      <c r="I19" s="10"/>
      <c r="J19" s="10"/>
    </row>
    <row r="20" customFormat="false" ht="27.75" hidden="false" customHeight="true" outlineLevel="0" collapsed="false">
      <c r="B20" s="10"/>
      <c r="C20" s="28"/>
      <c r="D20" s="10"/>
      <c r="E20" s="10"/>
      <c r="F20" s="10"/>
      <c r="G20" s="28"/>
      <c r="H20" s="10"/>
      <c r="I20" s="10"/>
      <c r="J20" s="10"/>
    </row>
    <row r="21" customFormat="false" ht="27.75" hidden="false" customHeight="true" outlineLevel="0" collapsed="false">
      <c r="B21" s="10"/>
      <c r="C21" s="28"/>
      <c r="D21" s="10"/>
      <c r="E21" s="10"/>
      <c r="F21" s="10"/>
      <c r="G21" s="28"/>
      <c r="H21" s="10"/>
      <c r="I21" s="10"/>
      <c r="J21" s="10"/>
    </row>
    <row r="22" customFormat="false" ht="27.75" hidden="false" customHeight="true" outlineLevel="0" collapsed="false">
      <c r="B22" s="10"/>
      <c r="C22" s="28"/>
      <c r="D22" s="10"/>
      <c r="E22" s="10"/>
      <c r="F22" s="10"/>
      <c r="G22" s="28"/>
      <c r="H22" s="10"/>
      <c r="I22" s="10"/>
      <c r="J22" s="10"/>
    </row>
    <row r="23" customFormat="false" ht="27.75" hidden="false" customHeight="true" outlineLevel="0" collapsed="false">
      <c r="B23" s="10"/>
      <c r="C23" s="28"/>
      <c r="D23" s="10"/>
      <c r="E23" s="10"/>
      <c r="F23" s="10"/>
      <c r="G23" s="28"/>
      <c r="H23" s="10"/>
      <c r="I23" s="10"/>
      <c r="J23" s="10"/>
    </row>
    <row r="24" customFormat="false" ht="27.75" hidden="false" customHeight="true" outlineLevel="0" collapsed="false">
      <c r="B24" s="10"/>
      <c r="C24" s="28"/>
      <c r="D24" s="10"/>
      <c r="E24" s="10"/>
      <c r="F24" s="10"/>
      <c r="G24" s="28"/>
      <c r="H24" s="10"/>
      <c r="I24" s="10"/>
      <c r="J24" s="10"/>
    </row>
    <row r="25" customFormat="false" ht="27.75" hidden="false" customHeight="true" outlineLevel="0" collapsed="false">
      <c r="B25" s="10"/>
      <c r="C25" s="28"/>
      <c r="D25" s="10"/>
      <c r="E25" s="10"/>
      <c r="F25" s="10"/>
      <c r="G25" s="28"/>
      <c r="H25" s="10"/>
      <c r="I25" s="10"/>
      <c r="J25" s="10"/>
    </row>
    <row r="26" customFormat="false" ht="27.75" hidden="false" customHeight="true" outlineLevel="0" collapsed="false">
      <c r="B26" s="10"/>
      <c r="C26" s="28"/>
      <c r="D26" s="10"/>
      <c r="E26" s="10"/>
      <c r="F26" s="10"/>
      <c r="G26" s="28"/>
      <c r="H26" s="10"/>
      <c r="I26" s="10"/>
      <c r="J26" s="10"/>
    </row>
    <row r="27" customFormat="false" ht="27.75" hidden="false" customHeight="true" outlineLevel="0" collapsed="false">
      <c r="B27" s="10"/>
      <c r="C27" s="28"/>
      <c r="D27" s="10"/>
      <c r="E27" s="10"/>
      <c r="F27" s="10"/>
      <c r="G27" s="28"/>
      <c r="H27" s="10"/>
      <c r="I27" s="10"/>
      <c r="J27" s="10"/>
    </row>
    <row r="28" customFormat="false" ht="16.5" hidden="false" customHeight="true" outlineLevel="0" collapsed="false">
      <c r="C28" s="31"/>
      <c r="G28" s="31"/>
    </row>
    <row r="29" customFormat="false" ht="16.5" hidden="false" customHeight="true" outlineLevel="0" collapsed="false"/>
    <row r="30" customFormat="false" ht="16.5" hidden="false" customHeight="true" outlineLevel="0" collapsed="false"/>
    <row r="31" customFormat="false" ht="16.5" hidden="false" customHeight="true" outlineLevel="0" collapsed="false">
      <c r="B31" s="4" t="s">
        <v>153</v>
      </c>
    </row>
    <row r="32" customFormat="false" ht="16.5" hidden="false" customHeight="true" outlineLevel="0" collapsed="false"/>
    <row r="33" customFormat="false" ht="16.5" hidden="false" customHeight="true" outlineLevel="0" collapsed="false">
      <c r="B33" s="5" t="s">
        <v>484</v>
      </c>
      <c r="C33" s="5"/>
      <c r="D33" s="25" t="n">
        <f aca="false">COUNTIF(I6:I28,"Open")+COUNTIF(I6:I28,"In Progress")</f>
        <v>4</v>
      </c>
    </row>
    <row r="34" customFormat="false" ht="16.5" hidden="false" customHeight="true" outlineLevel="0" collapsed="false">
      <c r="B34" s="5" t="s">
        <v>456</v>
      </c>
      <c r="C34" s="5"/>
      <c r="D34" s="25" t="n">
        <f aca="false">COUNTIF(I6:I28,"Done")</f>
        <v>3</v>
      </c>
    </row>
    <row r="35" customFormat="false" ht="16.5" hidden="false" customHeight="true" outlineLevel="0" collapsed="false">
      <c r="B35" s="5" t="s">
        <v>485</v>
      </c>
      <c r="C35" s="5"/>
      <c r="D35" s="25" t="n">
        <f aca="false">COUNTIF(I6:I28,"Blocked")</f>
        <v>0</v>
      </c>
    </row>
    <row r="36" customFormat="false" ht="16.5" hidden="false" customHeight="true" outlineLevel="0" collapsed="false">
      <c r="B36" s="5" t="s">
        <v>486</v>
      </c>
      <c r="C36" s="5"/>
      <c r="D36" s="25" t="n">
        <f aca="false">COUNTIF(I6:I28,"Carried Over")</f>
        <v>0</v>
      </c>
    </row>
  </sheetData>
  <mergeCells count="4">
    <mergeCell ref="B33:C33"/>
    <mergeCell ref="B34:C34"/>
    <mergeCell ref="B35:C35"/>
    <mergeCell ref="B36:C36"/>
  </mergeCells>
  <conditionalFormatting sqref="I6:I28">
    <cfRule type="expression" priority="2" aboveAverage="0" equalAverage="0" bottom="0" percent="0" rank="0" text="" dxfId="2">
      <formula>EXACT(I6,"Done")</formula>
    </cfRule>
    <cfRule type="expression" priority="3" aboveAverage="0" equalAverage="0" bottom="0" percent="0" rank="0" text="" dxfId="0">
      <formula>EXACT(I6,"Blocked")</formula>
    </cfRule>
    <cfRule type="expression" priority="4" aboveAverage="0" equalAverage="0" bottom="0" percent="0" rank="0" text="" dxfId="1">
      <formula>OR(EXACT(I6,"In Progress"),EXACT(I6,"Carried Over"))</formula>
    </cfRule>
  </conditionalFormatting>
  <dataValidations count="2">
    <dataValidation allowBlank="true" errorStyle="stop" operator="between" showDropDown="false" showErrorMessage="false" showInputMessage="false" sqref="H6:H28" type="list">
      <formula1>"High,Medium,Low"</formula1>
      <formula2>0</formula2>
    </dataValidation>
    <dataValidation allowBlank="true" errorStyle="stop" operator="between" showDropDown="false" showErrorMessage="false" showInputMessage="false" sqref="I6:I28" type="list">
      <formula1>"Open,In Progress,Done,Blocked,Cancelled,Carried Over"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4" min="2" style="0" width="18"/>
    <col collapsed="false" customWidth="true" hidden="false" outlineLevel="0" max="6" min="5" style="0" width="14"/>
    <col collapsed="false" customWidth="true" hidden="false" outlineLevel="0" max="7" min="7" style="0" width="16"/>
    <col collapsed="false" customWidth="true" hidden="false" outlineLevel="0" max="8" min="8" style="0" width="14"/>
    <col collapsed="false" customWidth="true" hidden="false" outlineLevel="0" max="10" min="9" style="0" width="16"/>
    <col collapsed="false" customWidth="true" hidden="false" outlineLevel="0" max="11" min="11" style="0" width="22"/>
  </cols>
  <sheetData>
    <row r="1" customFormat="false" ht="16.5" hidden="false" customHeight="true" outlineLevel="0" collapsed="false"/>
    <row r="2" customFormat="false" ht="27.75" hidden="false" customHeight="true" outlineLevel="0" collapsed="false">
      <c r="B2" s="16" t="s">
        <v>487</v>
      </c>
    </row>
    <row r="3" customFormat="false" ht="16.5" hidden="false" customHeight="true" outlineLevel="0" collapsed="false">
      <c r="B3" s="17" t="s">
        <v>488</v>
      </c>
    </row>
    <row r="4" customFormat="false" ht="16.5" hidden="false" customHeight="true" outlineLevel="0" collapsed="false"/>
    <row r="5" customFormat="false" ht="36" hidden="false" customHeight="true" outlineLevel="0" collapsed="false">
      <c r="B5" s="8" t="s">
        <v>489</v>
      </c>
      <c r="C5" s="8" t="s">
        <v>490</v>
      </c>
      <c r="D5" s="8" t="s">
        <v>491</v>
      </c>
      <c r="E5" s="8" t="s">
        <v>492</v>
      </c>
      <c r="F5" s="8" t="s">
        <v>493</v>
      </c>
      <c r="G5" s="8" t="s">
        <v>494</v>
      </c>
      <c r="H5" s="8" t="s">
        <v>495</v>
      </c>
      <c r="I5" s="8" t="s">
        <v>496</v>
      </c>
      <c r="J5" s="8" t="s">
        <v>497</v>
      </c>
      <c r="K5" s="8" t="s">
        <v>498</v>
      </c>
    </row>
    <row r="6" customFormat="false" ht="64.5" hidden="false" customHeight="true" outlineLevel="0" collapsed="false">
      <c r="B6" s="10" t="s">
        <v>499</v>
      </c>
      <c r="C6" s="10" t="s">
        <v>500</v>
      </c>
      <c r="D6" s="10" t="s">
        <v>281</v>
      </c>
      <c r="E6" s="28" t="s">
        <v>501</v>
      </c>
      <c r="F6" s="19" t="n">
        <v>480000</v>
      </c>
      <c r="G6" s="10" t="s">
        <v>35</v>
      </c>
      <c r="H6" s="10" t="s">
        <v>502</v>
      </c>
      <c r="I6" s="28" t="s">
        <v>503</v>
      </c>
      <c r="J6" s="10" t="s">
        <v>504</v>
      </c>
      <c r="K6" s="10" t="s">
        <v>505</v>
      </c>
    </row>
    <row r="7" customFormat="false" ht="64.5" hidden="false" customHeight="true" outlineLevel="0" collapsed="false">
      <c r="B7" s="14" t="s">
        <v>506</v>
      </c>
      <c r="C7" s="14" t="s">
        <v>507</v>
      </c>
      <c r="D7" s="14" t="s">
        <v>298</v>
      </c>
      <c r="E7" s="30" t="s">
        <v>508</v>
      </c>
      <c r="F7" s="38" t="n">
        <v>720000</v>
      </c>
      <c r="G7" s="14" t="s">
        <v>23</v>
      </c>
      <c r="H7" s="14" t="s">
        <v>509</v>
      </c>
      <c r="I7" s="30" t="s">
        <v>175</v>
      </c>
      <c r="J7" s="14" t="s">
        <v>510</v>
      </c>
      <c r="K7" s="14" t="s">
        <v>511</v>
      </c>
    </row>
    <row r="8" customFormat="false" ht="64.5" hidden="false" customHeight="true" outlineLevel="0" collapsed="false">
      <c r="B8" s="10" t="s">
        <v>512</v>
      </c>
      <c r="C8" s="10" t="s">
        <v>513</v>
      </c>
      <c r="D8" s="10" t="s">
        <v>314</v>
      </c>
      <c r="E8" s="28" t="s">
        <v>514</v>
      </c>
      <c r="F8" s="19" t="n">
        <v>540000</v>
      </c>
      <c r="G8" s="10" t="s">
        <v>35</v>
      </c>
      <c r="H8" s="10" t="s">
        <v>515</v>
      </c>
      <c r="I8" s="28" t="s">
        <v>516</v>
      </c>
      <c r="J8" s="10" t="s">
        <v>517</v>
      </c>
      <c r="K8" s="10" t="s">
        <v>518</v>
      </c>
    </row>
    <row r="9" customFormat="false" ht="64.5" hidden="false" customHeight="true" outlineLevel="0" collapsed="false">
      <c r="B9" s="14" t="s">
        <v>519</v>
      </c>
      <c r="C9" s="14" t="s">
        <v>520</v>
      </c>
      <c r="D9" s="14" t="s">
        <v>325</v>
      </c>
      <c r="E9" s="30" t="s">
        <v>521</v>
      </c>
      <c r="F9" s="38" t="n">
        <v>180000</v>
      </c>
      <c r="G9" s="14" t="s">
        <v>38</v>
      </c>
      <c r="H9" s="14" t="s">
        <v>522</v>
      </c>
      <c r="I9" s="30" t="s">
        <v>289</v>
      </c>
      <c r="J9" s="14" t="s">
        <v>523</v>
      </c>
      <c r="K9" s="14" t="s">
        <v>524</v>
      </c>
    </row>
    <row r="10" customFormat="false" ht="64.5" hidden="false" customHeight="true" outlineLevel="0" collapsed="false">
      <c r="B10" s="10" t="s">
        <v>525</v>
      </c>
      <c r="C10" s="10" t="s">
        <v>526</v>
      </c>
      <c r="D10" s="10" t="s">
        <v>143</v>
      </c>
      <c r="E10" s="28" t="s">
        <v>527</v>
      </c>
      <c r="F10" s="19" t="n">
        <v>0</v>
      </c>
      <c r="G10" s="10" t="s">
        <v>194</v>
      </c>
      <c r="H10" s="10" t="s">
        <v>194</v>
      </c>
      <c r="I10" s="28" t="s">
        <v>194</v>
      </c>
      <c r="J10" s="10" t="s">
        <v>528</v>
      </c>
      <c r="K10" s="10" t="s">
        <v>529</v>
      </c>
    </row>
    <row r="11" customFormat="false" ht="64.5" hidden="false" customHeight="true" outlineLevel="0" collapsed="false">
      <c r="B11" s="14" t="s">
        <v>530</v>
      </c>
      <c r="C11" s="14" t="s">
        <v>531</v>
      </c>
      <c r="D11" s="14" t="s">
        <v>532</v>
      </c>
      <c r="E11" s="30" t="s">
        <v>521</v>
      </c>
      <c r="F11" s="38" t="n">
        <v>450000</v>
      </c>
      <c r="G11" s="14" t="s">
        <v>35</v>
      </c>
      <c r="H11" s="14" t="s">
        <v>502</v>
      </c>
      <c r="I11" s="30" t="s">
        <v>533</v>
      </c>
      <c r="J11" s="14" t="s">
        <v>534</v>
      </c>
      <c r="K11" s="14" t="s">
        <v>535</v>
      </c>
    </row>
    <row r="12" customFormat="false" ht="27.75" hidden="false" customHeight="true" outlineLevel="0" collapsed="false">
      <c r="B12" s="10"/>
      <c r="C12" s="10"/>
      <c r="D12" s="10"/>
      <c r="E12" s="28"/>
      <c r="F12" s="19"/>
      <c r="G12" s="10"/>
      <c r="H12" s="10"/>
      <c r="I12" s="28"/>
      <c r="J12" s="10"/>
      <c r="K12" s="10"/>
    </row>
    <row r="13" customFormat="false" ht="27.75" hidden="false" customHeight="true" outlineLevel="0" collapsed="false">
      <c r="B13" s="10"/>
      <c r="C13" s="10"/>
      <c r="D13" s="10"/>
      <c r="E13" s="28"/>
      <c r="F13" s="19"/>
      <c r="G13" s="10"/>
      <c r="H13" s="10"/>
      <c r="I13" s="28"/>
      <c r="J13" s="10"/>
      <c r="K13" s="10"/>
    </row>
    <row r="14" customFormat="false" ht="27.75" hidden="false" customHeight="true" outlineLevel="0" collapsed="false">
      <c r="B14" s="10"/>
      <c r="C14" s="10"/>
      <c r="D14" s="10"/>
      <c r="E14" s="28"/>
      <c r="F14" s="19"/>
      <c r="G14" s="10"/>
      <c r="H14" s="10"/>
      <c r="I14" s="28"/>
      <c r="J14" s="10"/>
      <c r="K14" s="10"/>
    </row>
    <row r="15" customFormat="false" ht="27.75" hidden="false" customHeight="true" outlineLevel="0" collapsed="false">
      <c r="B15" s="10"/>
      <c r="C15" s="10"/>
      <c r="D15" s="10"/>
      <c r="E15" s="28"/>
      <c r="F15" s="19"/>
      <c r="G15" s="10"/>
      <c r="H15" s="10"/>
      <c r="I15" s="28"/>
      <c r="J15" s="10"/>
      <c r="K15" s="10"/>
    </row>
    <row r="16" customFormat="false" ht="27.75" hidden="false" customHeight="true" outlineLevel="0" collapsed="false">
      <c r="B16" s="10"/>
      <c r="C16" s="10"/>
      <c r="D16" s="10"/>
      <c r="E16" s="28"/>
      <c r="F16" s="19"/>
      <c r="G16" s="10"/>
      <c r="H16" s="10"/>
      <c r="I16" s="28"/>
      <c r="J16" s="10"/>
      <c r="K16" s="10"/>
    </row>
    <row r="17" customFormat="false" ht="27.75" hidden="false" customHeight="true" outlineLevel="0" collapsed="false">
      <c r="B17" s="10"/>
      <c r="C17" s="10"/>
      <c r="D17" s="10"/>
      <c r="E17" s="28"/>
      <c r="F17" s="19"/>
      <c r="G17" s="10"/>
      <c r="H17" s="10"/>
      <c r="I17" s="28"/>
      <c r="J17" s="10"/>
      <c r="K17" s="10"/>
    </row>
    <row r="18" customFormat="false" ht="27.75" hidden="false" customHeight="true" outlineLevel="0" collapsed="false">
      <c r="B18" s="10"/>
      <c r="C18" s="10"/>
      <c r="D18" s="10"/>
      <c r="E18" s="28"/>
      <c r="F18" s="19"/>
      <c r="G18" s="10"/>
      <c r="H18" s="10"/>
      <c r="I18" s="28"/>
      <c r="J18" s="10"/>
      <c r="K18" s="10"/>
    </row>
    <row r="19" customFormat="false" ht="27.75" hidden="false" customHeight="true" outlineLevel="0" collapsed="false">
      <c r="B19" s="10"/>
      <c r="C19" s="10"/>
      <c r="D19" s="10"/>
      <c r="E19" s="28"/>
      <c r="F19" s="19"/>
      <c r="G19" s="10"/>
      <c r="H19" s="10"/>
      <c r="I19" s="28"/>
      <c r="J19" s="10"/>
      <c r="K19" s="10"/>
    </row>
    <row r="20" customFormat="false" ht="27.75" hidden="false" customHeight="true" outlineLevel="0" collapsed="false">
      <c r="B20" s="10"/>
      <c r="C20" s="10"/>
      <c r="D20" s="10"/>
      <c r="E20" s="28"/>
      <c r="F20" s="19"/>
      <c r="G20" s="10"/>
      <c r="H20" s="10"/>
      <c r="I20" s="28"/>
      <c r="J20" s="10"/>
      <c r="K20" s="10"/>
    </row>
    <row r="21" customFormat="false" ht="27.75" hidden="false" customHeight="true" outlineLevel="0" collapsed="false">
      <c r="B21" s="10"/>
      <c r="C21" s="10"/>
      <c r="D21" s="10"/>
      <c r="E21" s="28"/>
      <c r="F21" s="19"/>
      <c r="G21" s="10"/>
      <c r="H21" s="10"/>
      <c r="I21" s="28"/>
      <c r="J21" s="10"/>
      <c r="K21" s="10"/>
    </row>
    <row r="22" customFormat="false" ht="16.5" hidden="false" customHeight="true" outlineLevel="0" collapsed="false">
      <c r="E22" s="31"/>
      <c r="F22" s="39"/>
      <c r="I22" s="31"/>
    </row>
    <row r="23" customFormat="false" ht="16.5" hidden="false" customHeight="true" outlineLevel="0" collapsed="false"/>
    <row r="24" customFormat="false" ht="16.5" hidden="false" customHeight="true" outlineLevel="0" collapsed="false"/>
    <row r="25" customFormat="false" ht="16.5" hidden="false" customHeight="true" outlineLevel="0" collapsed="false">
      <c r="B25" s="4" t="s">
        <v>153</v>
      </c>
    </row>
    <row r="26" customFormat="false" ht="16.5" hidden="false" customHeight="true" outlineLevel="0" collapsed="false"/>
    <row r="27" customFormat="false" ht="16.5" hidden="false" customHeight="true" outlineLevel="0" collapsed="false">
      <c r="B27" s="5" t="s">
        <v>536</v>
      </c>
      <c r="C27" s="5"/>
      <c r="D27" s="40" t="n">
        <f aca="false">SUM(F6:F22)</f>
        <v>2370000</v>
      </c>
    </row>
    <row r="28" customFormat="false" ht="16.5" hidden="false" customHeight="true" outlineLevel="0" collapsed="false">
      <c r="B28" s="5" t="s">
        <v>537</v>
      </c>
      <c r="C28" s="5"/>
      <c r="D28" s="25" t="n">
        <f aca="false">COUNTIF(H6:H22,"&lt;&gt;0")-COUNTIF(H6:H22,"—")</f>
        <v>14</v>
      </c>
    </row>
    <row r="29" customFormat="false" ht="16.5" hidden="false" customHeight="true" outlineLevel="0" collapsed="false"/>
    <row r="30" customFormat="false" ht="16.5" hidden="false" customHeight="true" outlineLevel="0" collapsed="false"/>
    <row r="31" customFormat="false" ht="16.5" hidden="false" customHeight="true" outlineLevel="0" collapsed="false">
      <c r="B31" s="4" t="s">
        <v>538</v>
      </c>
    </row>
    <row r="32" customFormat="false" ht="39.75" hidden="false" customHeight="true" outlineLevel="0" collapsed="false">
      <c r="B32" s="13" t="s">
        <v>539</v>
      </c>
      <c r="C32" s="13"/>
      <c r="D32" s="13"/>
      <c r="E32" s="13"/>
      <c r="F32" s="13"/>
      <c r="G32" s="13"/>
      <c r="H32" s="13"/>
      <c r="I32" s="13"/>
      <c r="J32" s="13"/>
      <c r="K32" s="13"/>
      <c r="L32" s="13"/>
    </row>
  </sheetData>
  <mergeCells count="3">
    <mergeCell ref="B27:C27"/>
    <mergeCell ref="B28:C28"/>
    <mergeCell ref="B32:L32"/>
  </mergeCells>
  <conditionalFormatting sqref="G6:G22">
    <cfRule type="expression" priority="2" aboveAverage="0" equalAverage="0" bottom="0" percent="0" rank="0" text="" dxfId="2">
      <formula>EXACT(G6,"On-Track")</formula>
    </cfRule>
    <cfRule type="expression" priority="3" aboveAverage="0" equalAverage="0" bottom="0" percent="0" rank="0" text="" dxfId="1">
      <formula>EXACT(G6,"At-Risk")</formula>
    </cfRule>
    <cfRule type="expression" priority="4" aboveAverage="0" equalAverage="0" bottom="0" percent="0" rank="0" text="" dxfId="0">
      <formula>EXACT(G6,"Off-Track")</formula>
    </cfRule>
  </conditionalFormatting>
  <dataValidations count="1">
    <dataValidation allowBlank="true" errorStyle="stop" operator="between" showDropDown="false" showErrorMessage="false" showInputMessage="false" sqref="G6:G22" type="list">
      <formula1>"On-Track,At-Risk,Off-Track,—"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2"/>
    <col collapsed="false" customWidth="true" hidden="false" outlineLevel="0" max="4" min="4" style="0" width="18"/>
    <col collapsed="false" customWidth="true" hidden="false" outlineLevel="0" max="7" min="5" style="0" width="22"/>
    <col collapsed="false" customWidth="true" hidden="false" outlineLevel="0" max="8" min="8" style="0" width="28"/>
  </cols>
  <sheetData>
    <row r="1" customFormat="false" ht="16.5" hidden="false" customHeight="true" outlineLevel="0" collapsed="false"/>
    <row r="2" customFormat="false" ht="27.75" hidden="false" customHeight="true" outlineLevel="0" collapsed="false">
      <c r="B2" s="16" t="s">
        <v>540</v>
      </c>
    </row>
    <row r="3" customFormat="false" ht="16.5" hidden="false" customHeight="true" outlineLevel="0" collapsed="false">
      <c r="B3" s="17" t="s">
        <v>541</v>
      </c>
    </row>
    <row r="4" customFormat="false" ht="16.5" hidden="false" customHeight="true" outlineLevel="0" collapsed="false"/>
    <row r="5" customFormat="false" ht="36" hidden="false" customHeight="true" outlineLevel="0" collapsed="false">
      <c r="B5" s="8" t="s">
        <v>542</v>
      </c>
      <c r="C5" s="8" t="s">
        <v>543</v>
      </c>
      <c r="D5" s="8" t="s">
        <v>544</v>
      </c>
      <c r="E5" s="8" t="s">
        <v>545</v>
      </c>
      <c r="F5" s="8" t="s">
        <v>546</v>
      </c>
      <c r="G5" s="8" t="s">
        <v>547</v>
      </c>
      <c r="H5" s="8" t="s">
        <v>124</v>
      </c>
    </row>
    <row r="6" customFormat="false" ht="79.5" hidden="false" customHeight="true" outlineLevel="0" collapsed="false">
      <c r="B6" s="10" t="s">
        <v>548</v>
      </c>
      <c r="C6" s="10" t="s">
        <v>233</v>
      </c>
      <c r="D6" s="10" t="s">
        <v>549</v>
      </c>
      <c r="E6" s="10" t="s">
        <v>550</v>
      </c>
      <c r="F6" s="10" t="s">
        <v>551</v>
      </c>
      <c r="G6" s="10" t="s">
        <v>552</v>
      </c>
      <c r="H6" s="10" t="s">
        <v>553</v>
      </c>
    </row>
    <row r="7" customFormat="false" ht="79.5" hidden="false" customHeight="true" outlineLevel="0" collapsed="false">
      <c r="B7" s="14" t="s">
        <v>554</v>
      </c>
      <c r="C7" s="14" t="s">
        <v>555</v>
      </c>
      <c r="D7" s="14" t="s">
        <v>556</v>
      </c>
      <c r="E7" s="14" t="s">
        <v>557</v>
      </c>
      <c r="F7" s="14" t="s">
        <v>558</v>
      </c>
      <c r="G7" s="14" t="s">
        <v>559</v>
      </c>
      <c r="H7" s="14" t="s">
        <v>560</v>
      </c>
    </row>
    <row r="8" customFormat="false" ht="79.5" hidden="false" customHeight="true" outlineLevel="0" collapsed="false">
      <c r="B8" s="10" t="s">
        <v>561</v>
      </c>
      <c r="C8" s="10" t="s">
        <v>239</v>
      </c>
      <c r="D8" s="10" t="s">
        <v>562</v>
      </c>
      <c r="E8" s="10" t="s">
        <v>563</v>
      </c>
      <c r="F8" s="10" t="s">
        <v>564</v>
      </c>
      <c r="G8" s="10" t="s">
        <v>552</v>
      </c>
      <c r="H8" s="10" t="s">
        <v>565</v>
      </c>
    </row>
    <row r="9" customFormat="false" ht="79.5" hidden="false" customHeight="true" outlineLevel="0" collapsed="false">
      <c r="B9" s="14" t="s">
        <v>566</v>
      </c>
      <c r="C9" s="14" t="s">
        <v>567</v>
      </c>
      <c r="D9" s="14" t="s">
        <v>568</v>
      </c>
      <c r="E9" s="14" t="s">
        <v>569</v>
      </c>
      <c r="F9" s="14" t="s">
        <v>570</v>
      </c>
      <c r="G9" s="14" t="s">
        <v>571</v>
      </c>
      <c r="H9" s="14" t="s">
        <v>572</v>
      </c>
    </row>
    <row r="10" customFormat="false" ht="79.5" hidden="false" customHeight="true" outlineLevel="0" collapsed="false">
      <c r="B10" s="10" t="s">
        <v>573</v>
      </c>
      <c r="C10" s="10" t="s">
        <v>574</v>
      </c>
      <c r="D10" s="10" t="s">
        <v>575</v>
      </c>
      <c r="E10" s="10" t="s">
        <v>576</v>
      </c>
      <c r="F10" s="10" t="s">
        <v>577</v>
      </c>
      <c r="G10" s="10" t="s">
        <v>578</v>
      </c>
      <c r="H10" s="10" t="s">
        <v>579</v>
      </c>
    </row>
    <row r="11" customFormat="false" ht="79.5" hidden="false" customHeight="true" outlineLevel="0" collapsed="false">
      <c r="B11" s="14" t="s">
        <v>580</v>
      </c>
      <c r="C11" s="14" t="s">
        <v>581</v>
      </c>
      <c r="D11" s="14" t="s">
        <v>582</v>
      </c>
      <c r="E11" s="14" t="s">
        <v>583</v>
      </c>
      <c r="F11" s="14" t="s">
        <v>584</v>
      </c>
      <c r="G11" s="14" t="s">
        <v>585</v>
      </c>
      <c r="H11" s="14" t="s">
        <v>586</v>
      </c>
    </row>
    <row r="12" customFormat="false" ht="79.5" hidden="false" customHeight="true" outlineLevel="0" collapsed="false">
      <c r="B12" s="10" t="s">
        <v>587</v>
      </c>
      <c r="C12" s="10" t="s">
        <v>233</v>
      </c>
      <c r="D12" s="10" t="s">
        <v>588</v>
      </c>
      <c r="E12" s="10" t="s">
        <v>589</v>
      </c>
      <c r="F12" s="10" t="s">
        <v>590</v>
      </c>
      <c r="G12" s="10" t="s">
        <v>591</v>
      </c>
      <c r="H12" s="10" t="s">
        <v>592</v>
      </c>
    </row>
  </sheetData>
  <dataValidations count="1">
    <dataValidation allowBlank="true" errorStyle="stop" operator="between" showDropDown="false" showErrorMessage="false" showInputMessage="false" sqref="D6:D20" type="list">
      <formula1>"On launch,On launch + 3 mo,6 months post-launch,12 months post-launch,On Phase 1 completion,On Phase 2 completion,Multiple,Other"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4" min="2" style="0" width="14"/>
    <col collapsed="false" customWidth="true" hidden="false" outlineLevel="0" max="5" min="5" style="0" width="12"/>
    <col collapsed="false" customWidth="true" hidden="false" outlineLevel="0" max="9" min="6" style="0" width="32"/>
  </cols>
  <sheetData>
    <row r="1" customFormat="false" ht="16.5" hidden="false" customHeight="true" outlineLevel="0" collapsed="false"/>
    <row r="2" customFormat="false" ht="27.75" hidden="false" customHeight="true" outlineLevel="0" collapsed="false">
      <c r="B2" s="16" t="s">
        <v>593</v>
      </c>
    </row>
    <row r="3" customFormat="false" ht="16.5" hidden="false" customHeight="true" outlineLevel="0" collapsed="false">
      <c r="B3" s="17" t="s">
        <v>594</v>
      </c>
    </row>
    <row r="4" customFormat="false" ht="16.5" hidden="false" customHeight="true" outlineLevel="0" collapsed="false"/>
    <row r="5" customFormat="false" ht="36" hidden="false" customHeight="true" outlineLevel="0" collapsed="false">
      <c r="B5" s="8" t="s">
        <v>595</v>
      </c>
      <c r="C5" s="8" t="s">
        <v>596</v>
      </c>
      <c r="D5" s="8" t="s">
        <v>597</v>
      </c>
      <c r="E5" s="8" t="s">
        <v>598</v>
      </c>
      <c r="F5" s="8" t="s">
        <v>599</v>
      </c>
      <c r="G5" s="8" t="s">
        <v>600</v>
      </c>
      <c r="H5" s="8" t="s">
        <v>601</v>
      </c>
      <c r="I5" s="8" t="s">
        <v>602</v>
      </c>
    </row>
    <row r="6" customFormat="false" ht="109.5" hidden="false" customHeight="true" outlineLevel="0" collapsed="false">
      <c r="B6" s="28" t="s">
        <v>603</v>
      </c>
      <c r="C6" s="10" t="s">
        <v>604</v>
      </c>
      <c r="D6" s="10" t="s">
        <v>400</v>
      </c>
      <c r="E6" s="10" t="s">
        <v>23</v>
      </c>
      <c r="F6" s="10" t="s">
        <v>605</v>
      </c>
      <c r="G6" s="10" t="s">
        <v>606</v>
      </c>
      <c r="H6" s="10" t="s">
        <v>607</v>
      </c>
      <c r="I6" s="10" t="s">
        <v>608</v>
      </c>
    </row>
    <row r="7" customFormat="false" ht="109.5" hidden="false" customHeight="true" outlineLevel="0" collapsed="false">
      <c r="B7" s="30" t="s">
        <v>609</v>
      </c>
      <c r="C7" s="14" t="s">
        <v>610</v>
      </c>
      <c r="D7" s="14" t="s">
        <v>400</v>
      </c>
      <c r="E7" s="14" t="s">
        <v>23</v>
      </c>
      <c r="F7" s="14" t="s">
        <v>611</v>
      </c>
      <c r="G7" s="14" t="s">
        <v>612</v>
      </c>
      <c r="H7" s="14" t="s">
        <v>613</v>
      </c>
      <c r="I7" s="14" t="s">
        <v>614</v>
      </c>
    </row>
    <row r="8" customFormat="false" ht="124.5" hidden="false" customHeight="true" outlineLevel="0" collapsed="false">
      <c r="B8" s="28" t="s">
        <v>27</v>
      </c>
      <c r="C8" s="10" t="s">
        <v>615</v>
      </c>
      <c r="D8" s="10" t="s">
        <v>400</v>
      </c>
      <c r="E8" s="10" t="s">
        <v>23</v>
      </c>
      <c r="F8" s="10" t="s">
        <v>616</v>
      </c>
      <c r="G8" s="10" t="s">
        <v>617</v>
      </c>
      <c r="H8" s="10" t="s">
        <v>618</v>
      </c>
      <c r="I8" s="10" t="s">
        <v>619</v>
      </c>
    </row>
    <row r="9" customFormat="false" ht="60" hidden="false" customHeight="true" outlineLevel="0" collapsed="false">
      <c r="B9" s="28"/>
      <c r="C9" s="10"/>
      <c r="D9" s="10"/>
      <c r="E9" s="10"/>
      <c r="F9" s="10"/>
      <c r="G9" s="10"/>
      <c r="H9" s="10"/>
      <c r="I9" s="10"/>
    </row>
    <row r="10" customFormat="false" ht="60" hidden="false" customHeight="true" outlineLevel="0" collapsed="false">
      <c r="B10" s="28"/>
      <c r="C10" s="10"/>
      <c r="D10" s="10"/>
      <c r="E10" s="10"/>
      <c r="F10" s="10"/>
      <c r="G10" s="10"/>
      <c r="H10" s="10"/>
      <c r="I10" s="10"/>
    </row>
    <row r="11" customFormat="false" ht="60" hidden="false" customHeight="true" outlineLevel="0" collapsed="false">
      <c r="B11" s="28"/>
      <c r="C11" s="10"/>
      <c r="D11" s="10"/>
      <c r="E11" s="10"/>
      <c r="F11" s="10"/>
      <c r="G11" s="10"/>
      <c r="H11" s="10"/>
      <c r="I11" s="10"/>
    </row>
    <row r="12" customFormat="false" ht="60" hidden="false" customHeight="true" outlineLevel="0" collapsed="false">
      <c r="B12" s="28"/>
      <c r="C12" s="10"/>
      <c r="D12" s="10"/>
      <c r="E12" s="10"/>
      <c r="F12" s="10"/>
      <c r="G12" s="10"/>
      <c r="H12" s="10"/>
      <c r="I12" s="10"/>
    </row>
    <row r="13" customFormat="false" ht="60" hidden="false" customHeight="true" outlineLevel="0" collapsed="false">
      <c r="B13" s="28"/>
      <c r="C13" s="10"/>
      <c r="D13" s="10"/>
      <c r="E13" s="10"/>
      <c r="F13" s="10"/>
      <c r="G13" s="10"/>
      <c r="H13" s="10"/>
      <c r="I13" s="10"/>
    </row>
    <row r="14" customFormat="false" ht="60" hidden="false" customHeight="true" outlineLevel="0" collapsed="false">
      <c r="B14" s="28"/>
      <c r="C14" s="10"/>
      <c r="D14" s="10"/>
      <c r="E14" s="10"/>
      <c r="F14" s="10"/>
      <c r="G14" s="10"/>
      <c r="H14" s="10"/>
      <c r="I14" s="10"/>
    </row>
    <row r="15" customFormat="false" ht="60" hidden="false" customHeight="true" outlineLevel="0" collapsed="false">
      <c r="B15" s="28"/>
      <c r="C15" s="10"/>
      <c r="D15" s="10"/>
      <c r="E15" s="10"/>
      <c r="F15" s="10"/>
      <c r="G15" s="10"/>
      <c r="H15" s="10"/>
      <c r="I15" s="10"/>
    </row>
    <row r="16" customFormat="false" ht="60" hidden="false" customHeight="true" outlineLevel="0" collapsed="false">
      <c r="B16" s="28"/>
      <c r="C16" s="10"/>
      <c r="D16" s="10"/>
      <c r="E16" s="10"/>
      <c r="F16" s="10"/>
      <c r="G16" s="10"/>
      <c r="H16" s="10"/>
      <c r="I16" s="10"/>
    </row>
    <row r="17" customFormat="false" ht="60" hidden="false" customHeight="true" outlineLevel="0" collapsed="false">
      <c r="B17" s="28"/>
      <c r="C17" s="10"/>
      <c r="D17" s="10"/>
      <c r="E17" s="10"/>
      <c r="F17" s="10"/>
      <c r="G17" s="10"/>
      <c r="H17" s="10"/>
      <c r="I17" s="10"/>
    </row>
    <row r="18" customFormat="false" ht="60" hidden="false" customHeight="true" outlineLevel="0" collapsed="false">
      <c r="B18" s="28"/>
      <c r="C18" s="10"/>
      <c r="D18" s="10"/>
      <c r="E18" s="10"/>
      <c r="F18" s="10"/>
      <c r="G18" s="10"/>
      <c r="H18" s="10"/>
      <c r="I18" s="10"/>
    </row>
    <row r="19" customFormat="false" ht="60" hidden="false" customHeight="true" outlineLevel="0" collapsed="false">
      <c r="B19" s="28"/>
      <c r="C19" s="10"/>
      <c r="D19" s="10"/>
      <c r="E19" s="10"/>
      <c r="F19" s="10"/>
      <c r="G19" s="10"/>
      <c r="H19" s="10"/>
      <c r="I19" s="10"/>
    </row>
    <row r="20" customFormat="false" ht="60" hidden="false" customHeight="true" outlineLevel="0" collapsed="false">
      <c r="B20" s="28"/>
      <c r="C20" s="10"/>
      <c r="D20" s="10"/>
      <c r="E20" s="10"/>
      <c r="F20" s="10"/>
      <c r="G20" s="10"/>
      <c r="H20" s="10"/>
      <c r="I20" s="10"/>
    </row>
    <row r="21" customFormat="false" ht="60" hidden="false" customHeight="true" outlineLevel="0" collapsed="false">
      <c r="B21" s="31"/>
    </row>
  </sheetData>
  <conditionalFormatting sqref="E6:E21">
    <cfRule type="expression" priority="2" aboveAverage="0" equalAverage="0" bottom="0" percent="0" rank="0" text="" dxfId="0">
      <formula>EXACT(E6,"Off-Track")</formula>
    </cfRule>
    <cfRule type="expression" priority="3" aboveAverage="0" equalAverage="0" bottom="0" percent="0" rank="0" text="" dxfId="1">
      <formula>EXACT(E6,"At-Risk")</formula>
    </cfRule>
    <cfRule type="expression" priority="4" aboveAverage="0" equalAverage="0" bottom="0" percent="0" rank="0" text="" dxfId="2">
      <formula>EXACT(E6,"On-Track")</formula>
    </cfRule>
  </conditionalFormatting>
  <dataValidations count="1">
    <dataValidation allowBlank="true" errorStyle="stop" operator="between" showDropDown="false" showErrorMessage="false" showInputMessage="false" sqref="E6:E21" type="list">
      <formula1>"On-Track,At-Risk,Off-Track"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2026-04-28T01:50:12Z</dcterms:created>
  <dc:creator/>
  <dc:description/>
  <dc:language>en-US</dc:language>
  <cp:lastModifiedBy>Candice Williams</cp:lastModifiedBy>
  <dcterms:modified xsi:type="dcterms:W3CDTF">2026-07-27T00:18:12Z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