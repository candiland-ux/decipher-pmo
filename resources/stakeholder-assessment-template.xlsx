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ocument Control" sheetId="1" state="visible" r:id="rId3"/>
    <sheet name="Instructions" sheetId="2" state="visible" r:id="rId4"/>
    <sheet name="Reference Data" sheetId="3" state="visible" r:id="rId5"/>
    <sheet name="Stakeholder Register" sheetId="4" state="visible" r:id="rId6"/>
    <sheet name="Stakeholder Assessment" sheetId="5" state="visible" r:id="rId7"/>
    <sheet name="Engagement Strategy" sheetId="6" state="visible" r:id="rId8"/>
    <sheet name="Sponsor Coalition" sheetId="7" state="visible" r:id="rId9"/>
    <sheet name="Summary Dashboard" sheetId="8" state="visible" r:id="rId10"/>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xdr="http://schemas.openxmlformats.org/drawingml/2006/spreadsheetDrawing">
  <authors>
    <author>Unknown Author</author>
  </authors>
  <commentList>
    <comment ref="B2" authorId="0">
      <text>
        <r>
          <rPr>
            <sz val="10"/>
            <rFont val="Arial"/>
            <family val="2"/>
          </rPr>
          <t xml:space="preserve">Sponsor tiers:
Executive — owns the outcome; sets direction and lends visible authority to the program.
Cascading — leaders who carry the message through their organizations and hold their teams to the asks.
Local — closest to affected teams; reinforces day to day and surfaces resistance early.</t>
        </r>
      </text>
    </comment>
  </commentList>
</comments>
</file>

<file path=xl/sharedStrings.xml><?xml version="1.0" encoding="utf-8"?>
<sst xmlns="http://schemas.openxmlformats.org/spreadsheetml/2006/main" count="171" uniqueCount="147">
  <si>
    <t xml:space="preserve">Stakeholder Assessment — Document Control</t>
  </si>
  <si>
    <t xml:space="preserve">Program</t>
  </si>
  <si>
    <t xml:space="preserve">[Program name]</t>
  </si>
  <si>
    <t xml:space="preserve">Artifact</t>
  </si>
  <si>
    <t xml:space="preserve">Stakeholder Assessment</t>
  </si>
  <si>
    <t xml:space="preserve">Version</t>
  </si>
  <si>
    <t xml:space="preserve">v1.0 — Final template for OCM team use</t>
  </si>
  <si>
    <t xml:space="preserve">Owner</t>
  </si>
  <si>
    <t xml:space="preserve">OCM Lead</t>
  </si>
  <si>
    <t xml:space="preserve">Reviewers</t>
  </si>
  <si>
    <t xml:space="preserve">Program Manager; Communications Lead</t>
  </si>
  <si>
    <t xml:space="preserve">Approver</t>
  </si>
  <si>
    <t xml:space="preserve">Program Sponsor</t>
  </si>
  <si>
    <t xml:space="preserve">Last revised</t>
  </si>
  <si>
    <t xml:space="preserve">[date]</t>
  </si>
  <si>
    <t xml:space="preserve">Refresh cadence</t>
  </si>
  <si>
    <t xml:space="preserve">Reassess support levels at each program phase and before every readiness gate; a stakeholder assessment done once is a snapshot, not a strategy.</t>
  </si>
  <si>
    <t xml:space="preserve">Confidentiality</t>
  </si>
  <si>
    <t xml:space="preserve">Support-level ratings are working judgments for the OCM team. Restrict distribution; never publish individual ratings outside the program office.</t>
  </si>
  <si>
    <t xml:space="preserve">Linked artifacts</t>
  </si>
  <si>
    <t xml:space="preserve">Communications Plan — the seven audiences here mirror the plan; engagement channels align to the plan's calendar</t>
  </si>
  <si>
    <t xml:space="preserve">Message House (Safer / Simpler / Ready) — the Primary Message Pillar column ties each stakeholder's engagement to the pillar that answers their concern</t>
  </si>
  <si>
    <t xml:space="preserve">Sponsor Action Roadmap — Sponsor Coalition Say / Attend / Sign columns feed the roadmap directly</t>
  </si>
  <si>
    <t xml:space="preserve">Change Impact Assessment workbook — Audience IDs are keyed to its Audience Inventory</t>
  </si>
  <si>
    <t xml:space="preserve">Stakeholder Assessment — Instructions &amp; Method</t>
  </si>
  <si>
    <t xml:space="preserve">Purpose</t>
  </si>
  <si>
    <t xml:space="preserve">This workbook identifies the individuals whose influence and support determine adoption, assesses where each stands today versus where the program needs them, and converts the gap into an engagement strategy and a working sponsor coalition.</t>
  </si>
  <si>
    <t xml:space="preserve">Alignment to the Communications Plan</t>
  </si>
  <si>
    <t xml:space="preserve">Every stakeholder is keyed to one of the seven Communications Plan audiences via Audience ID. Engagement channels and frequency should align to the plan's calendar so stakeholders hear one coordinated program voice, with 1:1 engagement layered on top for Critical and High priority individuals. The Primary Message Pillar column ties each stakeholder's talking points to the Message House pillar — Safer, Simpler, or Ready — that best answers their concern.</t>
  </si>
  <si>
    <t xml:space="preserve">How the tabs connect</t>
  </si>
  <si>
    <t xml:space="preserve">1. Stakeholder Register — one row per named individual, keyed to an Audience ID from the Change Impact Assessment workbook.</t>
  </si>
  <si>
    <t xml:space="preserve">2. Stakeholder Assessment — rate influence and impact, then record current and desired engagement. Engagement Gap, Engagement Priority, and Quadrant calculate automatically.</t>
  </si>
  <si>
    <t xml:space="preserve">3. Engagement Strategy — concerns, what they gain, message pillar, channel, frequency, owner, and a dated next action per stakeholder. The Quadrant column pulls from the assessment to set the default posture.</t>
  </si>
  <si>
    <t xml:space="preserve">4. Sponsor Coalition — the sponsor cascade with Say / Attend / Sign actions per sponsor, feeding the Sponsor Action Roadmap in the Communications Plan. Sponsor Follow-Through tracks delivery of those commitments — action, not attitude.</t>
  </si>
  <si>
    <t xml:space="preserve">5. Summary Dashboard — automatic counts by engagement level, engagement priority, and quadrant for status reporting and gate reviews.</t>
  </si>
  <si>
    <t xml:space="preserve">6. Reference Data — scoring scales used by the formulas. Do not edit.</t>
  </si>
  <si>
    <t xml:space="preserve">Scales</t>
  </si>
  <si>
    <t xml:space="preserve">Influence: weight in decisions, budgets, and opinion-shaping. Impact on Stakeholder: how much the change affects their world — align to the Change Impact Assessment rating for their audience group. Engagement: Disengaged, Neutral, Engaged, Advocating, scored 1 to 4. Engagement Gap = where you need them minus where they are today; a positive number means this person needs deliberate engagement to move.</t>
  </si>
  <si>
    <t xml:space="preserve">Engagement Priority: Critical = high influence with any positive gap. High = high influence, or a gap of two or more levels. Medium = any other positive gap. Maintain = no gap; keep support from eroding.</t>
  </si>
  <si>
    <t xml:space="preserve">Quadrant (influence by impact): Manage Closely, Keep Satisfied, Keep Informed, Monitor. The quadrant is the default posture; the Engagement Strategy tab is where you tailor it.</t>
  </si>
  <si>
    <t xml:space="preserve">Operating rhythm</t>
  </si>
  <si>
    <t xml:space="preserve">Build the register at program kickoff from the Audience Inventory — every audience needs at least one named stakeholder. Reassess engagement at each phase and before every readiness gate. Bring the Summary Dashboard and the Critical list to sponsor check-ins. Resistance is information: record the concern in Engagement Strategy and answer it — an unanswered objection does more damage than a voiced one.</t>
  </si>
  <si>
    <t xml:space="preserve">Quality bar</t>
  </si>
  <si>
    <t xml:space="preserve">Every Critical or High priority stakeholder has a named engagement owner and a dated next action. Every audience group has at least one stakeholder in the register. Every Disengaged stakeholder with high influence has a Sponsor Coalition entry.</t>
  </si>
  <si>
    <t xml:space="preserve">Legend</t>
  </si>
  <si>
    <t xml:space="preserve">White cell = enter data  |  Grey cell = formula, do not edit  |  Red / Amber / Green = attention / watch / healthy  |  Italic row = worked example, replace with real data</t>
  </si>
  <si>
    <t xml:space="preserve">Reference Data — scales used by formulas (do not edit)</t>
  </si>
  <si>
    <t xml:space="preserve">Engagement Level</t>
  </si>
  <si>
    <t xml:space="preserve">Score</t>
  </si>
  <si>
    <t xml:space="preserve">Definition</t>
  </si>
  <si>
    <t xml:space="preserve">Disengaged</t>
  </si>
  <si>
    <t xml:space="preserve">Not paying attention or actively opposed; raises objections or works around the change.</t>
  </si>
  <si>
    <t xml:space="preserve">Neutral</t>
  </si>
  <si>
    <t xml:space="preserve">Aware but uncommitted; complies passively without advocating.</t>
  </si>
  <si>
    <t xml:space="preserve">Engaged</t>
  </si>
  <si>
    <t xml:space="preserve">Participates willingly and speaks positively about the change when asked.</t>
  </si>
  <si>
    <t xml:space="preserve">Advocating</t>
  </si>
  <si>
    <t xml:space="preserve">Actively promotes the change, removes barriers, and influences others toward adoption.</t>
  </si>
  <si>
    <t xml:space="preserve">Audience ID</t>
  </si>
  <si>
    <t xml:space="preserve">Audience Group (mirrors the Communications Plan and Change Impact Assessment)</t>
  </si>
  <si>
    <t xml:space="preserve">AUD-01</t>
  </si>
  <si>
    <t xml:space="preserve">Executive Leadership</t>
  </si>
  <si>
    <t xml:space="preserve">AUD-02</t>
  </si>
  <si>
    <t xml:space="preserve">People Leaders</t>
  </si>
  <si>
    <t xml:space="preserve">AUD-03</t>
  </si>
  <si>
    <t xml:space="preserve">Frontline Staff</t>
  </si>
  <si>
    <t xml:space="preserve">AUD-04</t>
  </si>
  <si>
    <t xml:space="preserve">General Workforce</t>
  </si>
  <si>
    <t xml:space="preserve">AUD-05</t>
  </si>
  <si>
    <t xml:space="preserve">IT &amp; Application Owners</t>
  </si>
  <si>
    <t xml:space="preserve">AUD-06</t>
  </si>
  <si>
    <t xml:space="preserve">Help Desk Teams</t>
  </si>
  <si>
    <t xml:space="preserve">AUD-07</t>
  </si>
  <si>
    <t xml:space="preserve">External Partners</t>
  </si>
  <si>
    <t xml:space="preserve">Stakeholder Register — one row per named individual, keyed to a Communications Plan audience</t>
  </si>
  <si>
    <t xml:space="preserve">Stakeholder ID</t>
  </si>
  <si>
    <t xml:space="preserve">Name</t>
  </si>
  <si>
    <t xml:space="preserve">Title / Role</t>
  </si>
  <si>
    <t xml:space="preserve">Organization / Team</t>
  </si>
  <si>
    <t xml:space="preserve">Audience Group</t>
  </si>
  <si>
    <t xml:space="preserve">Relationship Owner</t>
  </si>
  <si>
    <t xml:space="preserve">Notes</t>
  </si>
  <si>
    <t xml:space="preserve">STK-01</t>
  </si>
  <si>
    <t xml:space="preserve">J. Chen</t>
  </si>
  <si>
    <t xml:space="preserve">Director, Applications</t>
  </si>
  <si>
    <t xml:space="preserve">IT</t>
  </si>
  <si>
    <t xml:space="preserve">Program Manager</t>
  </si>
  <si>
    <t xml:space="preserve">Chairs the app-owner council; trusted voice with operational leadership.</t>
  </si>
  <si>
    <t xml:space="preserve">Stakeholder Assessment — influence, impact, and the engagement gap that drives priority</t>
  </si>
  <si>
    <t xml:space="preserve">Influence</t>
  </si>
  <si>
    <t xml:space="preserve">Impact on Stakeholder</t>
  </si>
  <si>
    <t xml:space="preserve">Current Engagement</t>
  </si>
  <si>
    <t xml:space="preserve">Desired Engagement</t>
  </si>
  <si>
    <t xml:space="preserve">Engagement Gap</t>
  </si>
  <si>
    <t xml:space="preserve">Engagement Priority</t>
  </si>
  <si>
    <t xml:space="preserve">Quadrant</t>
  </si>
  <si>
    <t xml:space="preserve">High</t>
  </si>
  <si>
    <t xml:space="preserve">Engagement Strategy — tailored plan per stakeholder; pillar ties talking points to the Message House</t>
  </si>
  <si>
    <t xml:space="preserve">Quadrant (auto)</t>
  </si>
  <si>
    <t xml:space="preserve">Key Concerns</t>
  </si>
  <si>
    <t xml:space="preserve">What They Gain</t>
  </si>
  <si>
    <t xml:space="preserve">Primary Message Pillar</t>
  </si>
  <si>
    <t xml:space="preserve">Preferred Channel</t>
  </si>
  <si>
    <t xml:space="preserve">Frequency</t>
  </si>
  <si>
    <t xml:space="preserve">Engagement Owner</t>
  </si>
  <si>
    <t xml:space="preserve">Next Action</t>
  </si>
  <si>
    <t xml:space="preserve">Next Action Date</t>
  </si>
  <si>
    <t xml:space="preserve">Status</t>
  </si>
  <si>
    <t xml:space="preserve">Testing load on app owners during a competing upgrade window; fears service disruption at cutover.</t>
  </si>
  <si>
    <t xml:space="preserve">Single access model reduces owner support tickets; earlier visibility into wave schedules.</t>
  </si>
  <si>
    <t xml:space="preserve">Simpler</t>
  </si>
  <si>
    <t xml:space="preserve">1:1 meeting</t>
  </si>
  <si>
    <t xml:space="preserve">Biweekly</t>
  </si>
  <si>
    <t xml:space="preserve">Walk through the Wave 1 test calendar and agree the validation deadline.</t>
  </si>
  <si>
    <t xml:space="preserve">[YYYY-MM-DD]</t>
  </si>
  <si>
    <t xml:space="preserve">Open</t>
  </si>
  <si>
    <t xml:space="preserve">Sponsor Coalition — the sponsor cascade; Say / Attend / Sign feeds the Sponsor Action Roadmap</t>
  </si>
  <si>
    <t xml:space="preserve">Sponsor Name</t>
  </si>
  <si>
    <t xml:space="preserve">Sponsor Level</t>
  </si>
  <si>
    <t xml:space="preserve">Audience Groups Covered</t>
  </si>
  <si>
    <t xml:space="preserve">Say (messages the sponsor delivers)</t>
  </si>
  <si>
    <t xml:space="preserve">Attend (moments the sponsor shows up)</t>
  </si>
  <si>
    <t xml:space="preserve">Sign (approvals and recognitions the sponsor owns)</t>
  </si>
  <si>
    <t xml:space="preserve">Timing / Phase</t>
  </si>
  <si>
    <t xml:space="preserve">Sponsor Follow-Through</t>
  </si>
  <si>
    <t xml:space="preserve">Coaching Needs</t>
  </si>
  <si>
    <t xml:space="preserve">Coalition Owner</t>
  </si>
  <si>
    <t xml:space="preserve">M. Okafor</t>
  </si>
  <si>
    <t xml:space="preserve">Cascading</t>
  </si>
  <si>
    <t xml:space="preserve">Opens the Wave 1 briefing; reinforces the validation deadline at the monthly leaders meeting.</t>
  </si>
  <si>
    <t xml:space="preserve">Wave readiness review; first go-live morning check-in.</t>
  </si>
  <si>
    <t xml:space="preserve">Signs the wave validation certificate; recognizes completed app owners by name.</t>
  </si>
  <si>
    <t xml:space="preserve">[Wave 1 window]</t>
  </si>
  <si>
    <t xml:space="preserve">Consistent</t>
  </si>
  <si>
    <t xml:space="preserve">Talking points and a one-page wave summary before each leaders meeting.</t>
  </si>
  <si>
    <t xml:space="preserve">Summary Dashboard — automatic counts for status reporting and gate reviews</t>
  </si>
  <si>
    <t xml:space="preserve">Current Engagement Level</t>
  </si>
  <si>
    <t xml:space="preserve">Critical</t>
  </si>
  <si>
    <t xml:space="preserve">Medium</t>
  </si>
  <si>
    <t xml:space="preserve">Maintain</t>
  </si>
  <si>
    <t xml:space="preserve">Manage Closely</t>
  </si>
  <si>
    <t xml:space="preserve">Keep Satisfied</t>
  </si>
  <si>
    <t xml:space="preserve">Keep Informed</t>
  </si>
  <si>
    <t xml:space="preserve">Monitor</t>
  </si>
  <si>
    <t xml:space="preserve">Open Next Actions</t>
  </si>
  <si>
    <t xml:space="preserve">In Progress</t>
  </si>
  <si>
    <t xml:space="preserve">Counts include worked example rows until they are replaced with real data.</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</si>
</sst>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name val="Arial"/>
      <family val="0"/>
      <charset val="1"/>
    </font>
    <font>
      <sz val="10"/>
      <name val="Arial"/>
      <family val="0"/>
      <charset val="1"/>
    </font>
    <font>
      <b val="true"/>
      <sz val="11"/>
      <color rgb="FF1F3864"/>
      <name val="Arial"/>
      <family val="0"/>
      <charset val="1"/>
    </font>
    <font>
      <b val="true"/>
      <sz val="10"/>
      <color rgb="FFFFFFFF"/>
      <name val="Arial"/>
      <family val="0"/>
      <charset val="1"/>
    </font>
    <font>
      <i val="true"/>
      <sz val="10"/>
      <color rgb="FF595959"/>
      <name val="Arial"/>
      <family val="0"/>
      <charset val="1"/>
    </font>
    <font>
      <sz val="10"/>
      <name val="Arial"/>
      <family val="2"/>
    </font>
    <font>
      <i val="true"/>
      <sz val="9"/>
      <color rgb="FF595959"/>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5" fontId="6" fillId="4"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4CCCC"/>
        </patternFill>
      </fill>
    </dxf>
    <dxf>
      <fill>
        <patternFill>
          <bgColor rgb="FFFCE5CD"/>
        </patternFill>
      </fill>
    </dxf>
    <dxf>
      <fill>
        <patternFill>
          <bgColor rgb="FFE2EFDA"/>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5CD"/>
      <rgbColor rgb="FFE2EFD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D9EAD3"/>
      <rgbColor rgb="FFFFFF99"/>
      <rgbColor rgb="FF99CCFF"/>
      <rgbColor rgb="FFFF99CC"/>
      <rgbColor rgb="FFCC99FF"/>
      <rgbColor rgb="FFF4CCCC"/>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0"/>
    <col collapsed="false" customWidth="true" hidden="false" outlineLevel="0" max="3" min="3" style="1" width="84"/>
  </cols>
  <sheetData>
    <row r="1" customFormat="false" ht="25.5" hidden="false" customHeight="true" outlineLevel="0" collapsed="false">
      <c r="A1" s="2" t="s">
        <v>0</v>
      </c>
      <c r="B1" s="2"/>
      <c r="C1" s="2"/>
    </row>
    <row r="3" customFormat="false" ht="15" hidden="false" customHeight="true" outlineLevel="0" collapsed="false">
      <c r="B3" s="3" t="s">
        <v>1</v>
      </c>
      <c r="C3" s="4" t="s">
        <v>2</v>
      </c>
    </row>
    <row r="4" customFormat="false" ht="15" hidden="false" customHeight="true" outlineLevel="0" collapsed="false">
      <c r="B4" s="3" t="s">
        <v>3</v>
      </c>
      <c r="C4" s="4" t="s">
        <v>4</v>
      </c>
    </row>
    <row r="5" customFormat="false" ht="15" hidden="false" customHeight="true" outlineLevel="0" collapsed="false">
      <c r="B5" s="3" t="s">
        <v>5</v>
      </c>
      <c r="C5" s="4" t="s">
        <v>6</v>
      </c>
    </row>
    <row r="6" customFormat="false" ht="15" hidden="false" customHeight="true" outlineLevel="0" collapsed="false">
      <c r="B6" s="3" t="s">
        <v>7</v>
      </c>
      <c r="C6" s="4" t="s">
        <v>8</v>
      </c>
    </row>
    <row r="7" customFormat="false" ht="15" hidden="false" customHeight="true" outlineLevel="0" collapsed="false">
      <c r="B7" s="3" t="s">
        <v>9</v>
      </c>
      <c r="C7" s="4" t="s">
        <v>10</v>
      </c>
    </row>
    <row r="8" customFormat="false" ht="15" hidden="false" customHeight="true" outlineLevel="0" collapsed="false">
      <c r="B8" s="3" t="s">
        <v>11</v>
      </c>
      <c r="C8" s="4" t="s">
        <v>12</v>
      </c>
    </row>
    <row r="9" customFormat="false" ht="15" hidden="false" customHeight="true" outlineLevel="0" collapsed="false">
      <c r="B9" s="3" t="s">
        <v>13</v>
      </c>
      <c r="C9" s="4" t="s">
        <v>14</v>
      </c>
    </row>
    <row r="10" customFormat="false" ht="27.75" hidden="false" customHeight="true" outlineLevel="0" collapsed="false">
      <c r="B10" s="3" t="s">
        <v>15</v>
      </c>
      <c r="C10" s="4" t="s">
        <v>16</v>
      </c>
    </row>
    <row r="11" customFormat="false" ht="27.75" hidden="false" customHeight="true" outlineLevel="0" collapsed="false">
      <c r="B11" s="3" t="s">
        <v>17</v>
      </c>
      <c r="C11" s="4" t="s">
        <v>18</v>
      </c>
    </row>
    <row r="12" customFormat="false" ht="27.75" hidden="false" customHeight="true" outlineLevel="0" collapsed="false">
      <c r="B12" s="3" t="s">
        <v>19</v>
      </c>
      <c r="C12" s="4" t="s">
        <v>20</v>
      </c>
    </row>
    <row r="13" customFormat="false" ht="27.75" hidden="false" customHeight="true" outlineLevel="0" collapsed="false">
      <c r="B13" s="3"/>
      <c r="C13" s="4" t="s">
        <v>21</v>
      </c>
    </row>
    <row r="14" customFormat="false" ht="27.75" hidden="false" customHeight="true" outlineLevel="0" collapsed="false">
      <c r="B14" s="3"/>
      <c r="C14" s="4" t="s">
        <v>22</v>
      </c>
    </row>
    <row r="15" customFormat="false" ht="27.75" hidden="false" customHeight="true" outlineLevel="0" collapsed="false">
      <c r="B15" s="3"/>
      <c r="C15" s="4" t="s">
        <v>23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110"/>
  </cols>
  <sheetData>
    <row r="1" customFormat="false" ht="25.5" hidden="false" customHeight="true" outlineLevel="0" collapsed="false">
      <c r="A1" s="2" t="s">
        <v>24</v>
      </c>
      <c r="B1" s="2"/>
    </row>
    <row r="3" customFormat="false" ht="15" hidden="false" customHeight="true" outlineLevel="0" collapsed="false">
      <c r="B3" s="5" t="s">
        <v>25</v>
      </c>
    </row>
    <row r="4" customFormat="false" ht="42" hidden="false" customHeight="true" outlineLevel="0" collapsed="false">
      <c r="B4" s="6" t="s">
        <v>26</v>
      </c>
    </row>
    <row r="5" customFormat="false" ht="15" hidden="false" customHeight="true" outlineLevel="0" collapsed="false">
      <c r="B5" s="5" t="s">
        <v>27</v>
      </c>
    </row>
    <row r="6" customFormat="false" ht="69.75" hidden="false" customHeight="true" outlineLevel="0" collapsed="false">
      <c r="B6" s="6" t="s">
        <v>28</v>
      </c>
    </row>
    <row r="7" customFormat="false" ht="15" hidden="false" customHeight="true" outlineLevel="0" collapsed="false">
      <c r="B7" s="5" t="s">
        <v>29</v>
      </c>
    </row>
    <row r="8" customFormat="false" ht="27.75" hidden="false" customHeight="true" outlineLevel="0" collapsed="false">
      <c r="B8" s="6" t="s">
        <v>30</v>
      </c>
    </row>
    <row r="9" customFormat="false" ht="27.75" hidden="false" customHeight="true" outlineLevel="0" collapsed="false">
      <c r="B9" s="6" t="s">
        <v>31</v>
      </c>
    </row>
    <row r="10" customFormat="false" ht="27.75" hidden="false" customHeight="true" outlineLevel="0" collapsed="false">
      <c r="B10" s="6" t="s">
        <v>32</v>
      </c>
    </row>
    <row r="11" customFormat="false" ht="27.75" hidden="false" customHeight="true" outlineLevel="0" collapsed="false">
      <c r="B11" s="6" t="s">
        <v>33</v>
      </c>
    </row>
    <row r="12" customFormat="false" ht="27.75" hidden="false" customHeight="true" outlineLevel="0" collapsed="false">
      <c r="B12" s="6" t="s">
        <v>34</v>
      </c>
    </row>
    <row r="13" customFormat="false" ht="15" hidden="false" customHeight="true" outlineLevel="0" collapsed="false">
      <c r="B13" s="6" t="s">
        <v>35</v>
      </c>
    </row>
    <row r="14" customFormat="false" ht="15" hidden="false" customHeight="true" outlineLevel="0" collapsed="false">
      <c r="B14" s="5" t="s">
        <v>36</v>
      </c>
    </row>
    <row r="15" customFormat="false" ht="55.5" hidden="false" customHeight="true" outlineLevel="0" collapsed="false">
      <c r="B15" s="6" t="s">
        <v>37</v>
      </c>
    </row>
    <row r="16" customFormat="false" ht="27.75" hidden="false" customHeight="true" outlineLevel="0" collapsed="false">
      <c r="B16" s="6" t="s">
        <v>38</v>
      </c>
    </row>
    <row r="17" customFormat="false" ht="27.75" hidden="false" customHeight="true" outlineLevel="0" collapsed="false">
      <c r="B17" s="6" t="s">
        <v>39</v>
      </c>
    </row>
    <row r="18" customFormat="false" ht="15" hidden="false" customHeight="true" outlineLevel="0" collapsed="false">
      <c r="B18" s="5" t="s">
        <v>40</v>
      </c>
    </row>
    <row r="19" customFormat="false" ht="55.5" hidden="false" customHeight="true" outlineLevel="0" collapsed="false">
      <c r="B19" s="6" t="s">
        <v>41</v>
      </c>
    </row>
    <row r="20" customFormat="false" ht="15" hidden="false" customHeight="true" outlineLevel="0" collapsed="false">
      <c r="B20" s="5" t="s">
        <v>42</v>
      </c>
    </row>
    <row r="21" customFormat="false" ht="42" hidden="false" customHeight="true" outlineLevel="0" collapsed="false">
      <c r="B21" s="6" t="s">
        <v>43</v>
      </c>
    </row>
    <row r="22" customFormat="false" ht="15" hidden="false" customHeight="true" outlineLevel="0" collapsed="false">
      <c r="B22" s="5" t="s">
        <v>44</v>
      </c>
    </row>
    <row r="23" customFormat="false" ht="27.75" hidden="false" customHeight="true" outlineLevel="0" collapsed="false">
      <c r="B23" s="6" t="s">
        <v>45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2" min="2" style="1" width="10"/>
    <col collapsed="false" customWidth="true" hidden="false" outlineLevel="0" max="3" min="3" style="1" width="64"/>
  </cols>
  <sheetData>
    <row r="1" customFormat="false" ht="25.5" hidden="false" customHeight="true" outlineLevel="0" collapsed="false">
      <c r="A1" s="2" t="s">
        <v>46</v>
      </c>
      <c r="B1" s="2"/>
      <c r="C1" s="2"/>
    </row>
    <row r="2" customFormat="false" ht="15" hidden="false" customHeight="true" outlineLevel="0" collapsed="false">
      <c r="A2" s="7" t="s">
        <v>47</v>
      </c>
      <c r="B2" s="7" t="s">
        <v>48</v>
      </c>
      <c r="C2" s="7" t="s">
        <v>49</v>
      </c>
    </row>
    <row r="3" customFormat="false" ht="23.25" hidden="false" customHeight="true" outlineLevel="0" collapsed="false">
      <c r="A3" s="4" t="s">
        <v>50</v>
      </c>
      <c r="B3" s="4" t="n">
        <v>1</v>
      </c>
      <c r="C3" s="4" t="s">
        <v>51</v>
      </c>
    </row>
    <row r="4" customFormat="false" ht="15" hidden="false" customHeight="true" outlineLevel="0" collapsed="false">
      <c r="A4" s="4" t="s">
        <v>52</v>
      </c>
      <c r="B4" s="4" t="n">
        <v>2</v>
      </c>
      <c r="C4" s="4" t="s">
        <v>53</v>
      </c>
    </row>
    <row r="5" customFormat="false" ht="15" hidden="false" customHeight="true" outlineLevel="0" collapsed="false">
      <c r="A5" s="4" t="s">
        <v>54</v>
      </c>
      <c r="B5" s="4" t="n">
        <v>3</v>
      </c>
      <c r="C5" s="4" t="s">
        <v>55</v>
      </c>
    </row>
    <row r="6" customFormat="false" ht="15" hidden="false" customHeight="true" outlineLevel="0" collapsed="false">
      <c r="A6" s="4" t="s">
        <v>56</v>
      </c>
      <c r="B6" s="4" t="n">
        <v>4</v>
      </c>
      <c r="C6" s="4" t="s">
        <v>57</v>
      </c>
    </row>
    <row r="8" customFormat="false" ht="15" hidden="false" customHeight="true" outlineLevel="0" collapsed="false">
      <c r="A8" s="8" t="s">
        <v>58</v>
      </c>
      <c r="C8" s="8" t="s">
        <v>59</v>
      </c>
    </row>
    <row r="9" customFormat="false" ht="15" hidden="false" customHeight="true" outlineLevel="0" collapsed="false">
      <c r="A9" s="9" t="s">
        <v>60</v>
      </c>
      <c r="C9" s="9" t="s">
        <v>61</v>
      </c>
    </row>
    <row r="10" customFormat="false" ht="15" hidden="false" customHeight="true" outlineLevel="0" collapsed="false">
      <c r="A10" s="9" t="s">
        <v>62</v>
      </c>
      <c r="C10" s="9" t="s">
        <v>63</v>
      </c>
    </row>
    <row r="11" customFormat="false" ht="15" hidden="false" customHeight="true" outlineLevel="0" collapsed="false">
      <c r="A11" s="9" t="s">
        <v>64</v>
      </c>
      <c r="C11" s="9" t="s">
        <v>65</v>
      </c>
    </row>
    <row r="12" customFormat="false" ht="15" hidden="false" customHeight="true" outlineLevel="0" collapsed="false">
      <c r="A12" s="9" t="s">
        <v>66</v>
      </c>
      <c r="C12" s="9" t="s">
        <v>67</v>
      </c>
    </row>
    <row r="13" customFormat="false" ht="15" hidden="false" customHeight="true" outlineLevel="0" collapsed="false">
      <c r="A13" s="9" t="s">
        <v>68</v>
      </c>
      <c r="C13" s="9" t="s">
        <v>69</v>
      </c>
    </row>
    <row r="14" customFormat="false" ht="15" hidden="false" customHeight="true" outlineLevel="0" collapsed="false">
      <c r="A14" s="9" t="s">
        <v>70</v>
      </c>
      <c r="C14" s="9" t="s">
        <v>71</v>
      </c>
    </row>
    <row r="15" customFormat="false" ht="15" hidden="false" customHeight="true" outlineLevel="0" collapsed="false">
      <c r="A15" s="9" t="s">
        <v>72</v>
      </c>
      <c r="C15" s="9" t="s">
        <v>73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0"/>
    <col collapsed="false" customWidth="true" hidden="false" outlineLevel="0" max="3" min="3" style="1" width="24"/>
    <col collapsed="false" customWidth="true" hidden="false" outlineLevel="0" max="4" min="4" style="1" width="22"/>
    <col collapsed="false" customWidth="true" hidden="false" outlineLevel="0" max="5" min="5" style="1" width="11"/>
    <col collapsed="false" customWidth="true" hidden="false" outlineLevel="0" max="6" min="6" style="1" width="24"/>
    <col collapsed="false" customWidth="true" hidden="false" outlineLevel="0" max="7" min="7" style="1" width="18"/>
    <col collapsed="false" customWidth="true" hidden="false" outlineLevel="0" max="8" min="8" style="1" width="32"/>
  </cols>
  <sheetData>
    <row r="1" customFormat="false" ht="25.5" hidden="false" customHeight="true" outlineLevel="0" collapsed="false">
      <c r="A1" s="2" t="s">
        <v>74</v>
      </c>
      <c r="B1" s="2"/>
      <c r="C1" s="2"/>
      <c r="D1" s="2"/>
      <c r="E1" s="2"/>
      <c r="F1" s="2"/>
      <c r="G1" s="2"/>
      <c r="H1" s="2"/>
    </row>
    <row r="2" customFormat="false" ht="30" hidden="false" customHeight="true" outlineLevel="0" collapsed="false">
      <c r="A2" s="7" t="s">
        <v>75</v>
      </c>
      <c r="B2" s="7" t="s">
        <v>76</v>
      </c>
      <c r="C2" s="7" t="s">
        <v>77</v>
      </c>
      <c r="D2" s="7" t="s">
        <v>78</v>
      </c>
      <c r="E2" s="7" t="s">
        <v>58</v>
      </c>
      <c r="F2" s="7" t="s">
        <v>79</v>
      </c>
      <c r="G2" s="7" t="s">
        <v>80</v>
      </c>
      <c r="H2" s="7" t="s">
        <v>81</v>
      </c>
    </row>
    <row r="3" customFormat="false" ht="23.25" hidden="false" customHeight="true" outlineLevel="0" collapsed="false">
      <c r="A3" s="10" t="s">
        <v>82</v>
      </c>
      <c r="B3" s="10" t="s">
        <v>83</v>
      </c>
      <c r="C3" s="10" t="s">
        <v>84</v>
      </c>
      <c r="D3" s="10" t="s">
        <v>85</v>
      </c>
      <c r="E3" s="10" t="s">
        <v>68</v>
      </c>
      <c r="F3" s="11" t="str">
        <f aca="false">IF(E3="","",IFERROR(INDEX('Reference Data'!$C$9:$C$15,MATCH(E3,'Reference Data'!$A$9:$A$15,0)),""))</f>
        <v>IT &amp; Application Owners</v>
      </c>
      <c r="G3" s="10" t="s">
        <v>86</v>
      </c>
      <c r="H3" s="10" t="s">
        <v>87</v>
      </c>
    </row>
    <row r="4" customFormat="false" ht="15" hidden="false" customHeight="true" outlineLevel="0" collapsed="false">
      <c r="A4" s="4"/>
      <c r="B4" s="4"/>
      <c r="C4" s="4"/>
      <c r="D4" s="4"/>
      <c r="E4" s="4"/>
      <c r="F4" s="12" t="str">
        <f aca="false">IF(E4="","",IFERROR(INDEX('Reference Data'!$C$9:$C$15,MATCH(E4,'Reference Data'!$A$9:$A$15,0)),""))</f>
        <v/>
      </c>
      <c r="G4" s="4"/>
      <c r="H4" s="4"/>
    </row>
    <row r="5" customFormat="false" ht="15" hidden="false" customHeight="true" outlineLevel="0" collapsed="false">
      <c r="A5" s="4"/>
      <c r="B5" s="4"/>
      <c r="C5" s="4"/>
      <c r="D5" s="4"/>
      <c r="E5" s="4"/>
      <c r="F5" s="12" t="str">
        <f aca="false">IF(E5="","",IFERROR(INDEX('Reference Data'!$C$9:$C$15,MATCH(E5,'Reference Data'!$A$9:$A$15,0)),""))</f>
        <v/>
      </c>
      <c r="G5" s="4"/>
      <c r="H5" s="4"/>
    </row>
    <row r="6" customFormat="false" ht="15" hidden="false" customHeight="true" outlineLevel="0" collapsed="false">
      <c r="A6" s="4"/>
      <c r="B6" s="4"/>
      <c r="C6" s="4"/>
      <c r="D6" s="4"/>
      <c r="E6" s="4"/>
      <c r="F6" s="12" t="str">
        <f aca="false">IF(E6="","",IFERROR(INDEX('Reference Data'!$C$9:$C$15,MATCH(E6,'Reference Data'!$A$9:$A$15,0)),""))</f>
        <v/>
      </c>
      <c r="G6" s="4"/>
      <c r="H6" s="4"/>
    </row>
    <row r="7" customFormat="false" ht="15" hidden="false" customHeight="true" outlineLevel="0" collapsed="false">
      <c r="A7" s="4"/>
      <c r="B7" s="4"/>
      <c r="C7" s="4"/>
      <c r="D7" s="4"/>
      <c r="E7" s="4"/>
      <c r="F7" s="12" t="str">
        <f aca="false">IF(E7="","",IFERROR(INDEX('Reference Data'!$C$9:$C$15,MATCH(E7,'Reference Data'!$A$9:$A$15,0)),""))</f>
        <v/>
      </c>
      <c r="G7" s="4"/>
      <c r="H7" s="4"/>
    </row>
    <row r="8" customFormat="false" ht="15" hidden="false" customHeight="true" outlineLevel="0" collapsed="false">
      <c r="A8" s="4"/>
      <c r="B8" s="4"/>
      <c r="C8" s="4"/>
      <c r="D8" s="4"/>
      <c r="E8" s="4"/>
      <c r="F8" s="12" t="str">
        <f aca="false">IF(E8="","",IFERROR(INDEX('Reference Data'!$C$9:$C$15,MATCH(E8,'Reference Data'!$A$9:$A$15,0)),""))</f>
        <v/>
      </c>
      <c r="G8" s="4"/>
      <c r="H8" s="4"/>
    </row>
    <row r="9" customFormat="false" ht="15" hidden="false" customHeight="true" outlineLevel="0" collapsed="false">
      <c r="A9" s="4"/>
      <c r="B9" s="4"/>
      <c r="C9" s="4"/>
      <c r="D9" s="4"/>
      <c r="E9" s="4"/>
      <c r="F9" s="12" t="str">
        <f aca="false">IF(E9="","",IFERROR(INDEX('Reference Data'!$C$9:$C$15,MATCH(E9,'Reference Data'!$A$9:$A$15,0)),""))</f>
        <v/>
      </c>
      <c r="G9" s="4"/>
      <c r="H9" s="4"/>
    </row>
    <row r="10" customFormat="false" ht="15" hidden="false" customHeight="true" outlineLevel="0" collapsed="false">
      <c r="A10" s="4"/>
      <c r="B10" s="4"/>
      <c r="C10" s="4"/>
      <c r="D10" s="4"/>
      <c r="E10" s="4"/>
      <c r="F10" s="12" t="str">
        <f aca="false">IF(E10="","",IFERROR(INDEX('Reference Data'!$C$9:$C$15,MATCH(E10,'Reference Data'!$A$9:$A$15,0)),""))</f>
        <v/>
      </c>
      <c r="G10" s="4"/>
      <c r="H10" s="4"/>
    </row>
    <row r="11" customFormat="false" ht="15" hidden="false" customHeight="true" outlineLevel="0" collapsed="false">
      <c r="A11" s="4"/>
      <c r="B11" s="4"/>
      <c r="C11" s="4"/>
      <c r="D11" s="4"/>
      <c r="E11" s="4"/>
      <c r="F11" s="12" t="str">
        <f aca="false">IF(E11="","",IFERROR(INDEX('Reference Data'!$C$9:$C$15,MATCH(E11,'Reference Data'!$A$9:$A$15,0)),""))</f>
        <v/>
      </c>
      <c r="G11" s="4"/>
      <c r="H11" s="4"/>
    </row>
    <row r="12" customFormat="false" ht="15" hidden="false" customHeight="true" outlineLevel="0" collapsed="false">
      <c r="A12" s="4"/>
      <c r="B12" s="4"/>
      <c r="C12" s="4"/>
      <c r="D12" s="4"/>
      <c r="E12" s="4"/>
      <c r="F12" s="12" t="str">
        <f aca="false">IF(E12="","",IFERROR(INDEX('Reference Data'!$C$9:$C$15,MATCH(E12,'Reference Data'!$A$9:$A$15,0)),""))</f>
        <v/>
      </c>
      <c r="G12" s="4"/>
      <c r="H12" s="4"/>
    </row>
    <row r="13" customFormat="false" ht="15" hidden="false" customHeight="true" outlineLevel="0" collapsed="false">
      <c r="A13" s="4"/>
      <c r="B13" s="4"/>
      <c r="C13" s="4"/>
      <c r="D13" s="4"/>
      <c r="E13" s="4"/>
      <c r="F13" s="12" t="str">
        <f aca="false">IF(E13="","",IFERROR(INDEX('Reference Data'!$C$9:$C$15,MATCH(E13,'Reference Data'!$A$9:$A$15,0)),""))</f>
        <v/>
      </c>
      <c r="G13" s="4"/>
      <c r="H13" s="4"/>
    </row>
    <row r="14" customFormat="false" ht="15" hidden="false" customHeight="true" outlineLevel="0" collapsed="false">
      <c r="A14" s="4"/>
      <c r="B14" s="4"/>
      <c r="C14" s="4"/>
      <c r="D14" s="4"/>
      <c r="E14" s="4"/>
      <c r="F14" s="12" t="str">
        <f aca="false">IF(E14="","",IFERROR(INDEX('Reference Data'!$C$9:$C$15,MATCH(E14,'Reference Data'!$A$9:$A$15,0)),""))</f>
        <v/>
      </c>
      <c r="G14" s="4"/>
      <c r="H14" s="4"/>
    </row>
    <row r="15" customFormat="false" ht="15" hidden="false" customHeight="true" outlineLevel="0" collapsed="false">
      <c r="A15" s="4"/>
      <c r="B15" s="4"/>
      <c r="C15" s="4"/>
      <c r="D15" s="4"/>
      <c r="E15" s="4"/>
      <c r="F15" s="12" t="str">
        <f aca="false">IF(E15="","",IFERROR(INDEX('Reference Data'!$C$9:$C$15,MATCH(E15,'Reference Data'!$A$9:$A$15,0)),""))</f>
        <v/>
      </c>
      <c r="G15" s="4"/>
      <c r="H15" s="4"/>
    </row>
    <row r="16" customFormat="false" ht="15" hidden="false" customHeight="true" outlineLevel="0" collapsed="false">
      <c r="A16" s="4"/>
      <c r="B16" s="4"/>
      <c r="C16" s="4"/>
      <c r="D16" s="4"/>
      <c r="E16" s="4"/>
      <c r="F16" s="12" t="str">
        <f aca="false">IF(E16="","",IFERROR(INDEX('Reference Data'!$C$9:$C$15,MATCH(E16,'Reference Data'!$A$9:$A$15,0)),""))</f>
        <v/>
      </c>
      <c r="G16" s="4"/>
      <c r="H16" s="4"/>
    </row>
    <row r="17" customFormat="false" ht="15" hidden="false" customHeight="true" outlineLevel="0" collapsed="false">
      <c r="A17" s="4"/>
      <c r="B17" s="4"/>
      <c r="C17" s="4"/>
      <c r="D17" s="4"/>
      <c r="E17" s="4"/>
      <c r="F17" s="12" t="str">
        <f aca="false">IF(E17="","",IFERROR(INDEX('Reference Data'!$C$9:$C$15,MATCH(E17,'Reference Data'!$A$9:$A$15,0)),""))</f>
        <v/>
      </c>
      <c r="G17" s="4"/>
      <c r="H17" s="4"/>
    </row>
    <row r="18" customFormat="false" ht="15" hidden="false" customHeight="true" outlineLevel="0" collapsed="false">
      <c r="A18" s="4"/>
      <c r="B18" s="4"/>
      <c r="C18" s="4"/>
      <c r="D18" s="4"/>
      <c r="E18" s="4"/>
      <c r="F18" s="12" t="str">
        <f aca="false">IF(E18="","",IFERROR(INDEX('Reference Data'!$C$9:$C$15,MATCH(E18,'Reference Data'!$A$9:$A$15,0)),""))</f>
        <v/>
      </c>
      <c r="G18" s="4"/>
      <c r="H18" s="4"/>
    </row>
    <row r="19" customFormat="false" ht="15" hidden="false" customHeight="true" outlineLevel="0" collapsed="false">
      <c r="A19" s="4"/>
      <c r="B19" s="4"/>
      <c r="C19" s="4"/>
      <c r="D19" s="4"/>
      <c r="E19" s="4"/>
      <c r="F19" s="12" t="str">
        <f aca="false">IF(E19="","",IFERROR(INDEX('Reference Data'!$C$9:$C$15,MATCH(E19,'Reference Data'!$A$9:$A$15,0)),""))</f>
        <v/>
      </c>
      <c r="G19" s="4"/>
      <c r="H19" s="4"/>
    </row>
    <row r="20" customFormat="false" ht="15" hidden="false" customHeight="true" outlineLevel="0" collapsed="false">
      <c r="A20" s="4"/>
      <c r="B20" s="4"/>
      <c r="C20" s="4"/>
      <c r="D20" s="4"/>
      <c r="E20" s="4"/>
      <c r="F20" s="12" t="str">
        <f aca="false">IF(E20="","",IFERROR(INDEX('Reference Data'!$C$9:$C$15,MATCH(E20,'Reference Data'!$A$9:$A$15,0)),""))</f>
        <v/>
      </c>
      <c r="G20" s="4"/>
      <c r="H20" s="4"/>
    </row>
    <row r="21" customFormat="false" ht="15" hidden="false" customHeight="true" outlineLevel="0" collapsed="false">
      <c r="A21" s="4"/>
      <c r="B21" s="4"/>
      <c r="C21" s="4"/>
      <c r="D21" s="4"/>
      <c r="E21" s="4"/>
      <c r="F21" s="12" t="str">
        <f aca="false">IF(E21="","",IFERROR(INDEX('Reference Data'!$C$9:$C$15,MATCH(E21,'Reference Data'!$A$9:$A$15,0)),""))</f>
        <v/>
      </c>
      <c r="G21" s="4"/>
      <c r="H21" s="4"/>
    </row>
    <row r="22" customFormat="false" ht="15" hidden="false" customHeight="true" outlineLevel="0" collapsed="false">
      <c r="A22" s="4"/>
      <c r="B22" s="4"/>
      <c r="C22" s="4"/>
      <c r="D22" s="4"/>
      <c r="E22" s="4"/>
      <c r="F22" s="12" t="str">
        <f aca="false">IF(E22="","",IFERROR(INDEX('Reference Data'!$C$9:$C$15,MATCH(E22,'Reference Data'!$A$9:$A$15,0)),""))</f>
        <v/>
      </c>
      <c r="G22" s="4"/>
      <c r="H22" s="4"/>
    </row>
    <row r="23" customFormat="false" ht="15" hidden="false" customHeight="true" outlineLevel="0" collapsed="false">
      <c r="A23" s="4"/>
      <c r="B23" s="4"/>
      <c r="C23" s="4"/>
      <c r="D23" s="4"/>
      <c r="E23" s="4"/>
      <c r="F23" s="12" t="str">
        <f aca="false">IF(E23="","",IFERROR(INDEX('Reference Data'!$C$9:$C$15,MATCH(E23,'Reference Data'!$A$9:$A$15,0)),""))</f>
        <v/>
      </c>
      <c r="G23" s="4"/>
      <c r="H23" s="4"/>
    </row>
    <row r="24" customFormat="false" ht="15" hidden="false" customHeight="true" outlineLevel="0" collapsed="false">
      <c r="A24" s="4"/>
      <c r="B24" s="4"/>
      <c r="C24" s="4"/>
      <c r="D24" s="4"/>
      <c r="E24" s="4"/>
      <c r="F24" s="12" t="str">
        <f aca="false">IF(E24="","",IFERROR(INDEX('Reference Data'!$C$9:$C$15,MATCH(E24,'Reference Data'!$A$9:$A$15,0)),""))</f>
        <v/>
      </c>
      <c r="G24" s="4"/>
      <c r="H24" s="4"/>
    </row>
    <row r="25" customFormat="false" ht="15" hidden="false" customHeight="true" outlineLevel="0" collapsed="false">
      <c r="A25" s="4"/>
      <c r="B25" s="4"/>
      <c r="C25" s="4"/>
      <c r="D25" s="4"/>
      <c r="E25" s="4"/>
      <c r="F25" s="12" t="str">
        <f aca="false">IF(E25="","",IFERROR(INDEX('Reference Data'!$C$9:$C$15,MATCH(E25,'Reference Data'!$A$9:$A$15,0)),""))</f>
        <v/>
      </c>
      <c r="G25" s="4"/>
      <c r="H25" s="4"/>
    </row>
    <row r="26" customFormat="false" ht="15" hidden="false" customHeight="true" outlineLevel="0" collapsed="false">
      <c r="A26" s="4"/>
      <c r="B26" s="4"/>
      <c r="C26" s="4"/>
      <c r="D26" s="4"/>
      <c r="E26" s="4"/>
      <c r="F26" s="12" t="str">
        <f aca="false">IF(E26="","",IFERROR(INDEX('Reference Data'!$C$9:$C$15,MATCH(E26,'Reference Data'!$A$9:$A$15,0)),""))</f>
        <v/>
      </c>
      <c r="G26" s="4"/>
      <c r="H26" s="4"/>
    </row>
    <row r="27" customFormat="false" ht="15" hidden="false" customHeight="true" outlineLevel="0" collapsed="false">
      <c r="A27" s="4"/>
      <c r="B27" s="4"/>
      <c r="C27" s="4"/>
      <c r="D27" s="4"/>
      <c r="E27" s="4"/>
      <c r="F27" s="12" t="str">
        <f aca="false">IF(E27="","",IFERROR(INDEX('Reference Data'!$C$9:$C$15,MATCH(E27,'Reference Data'!$A$9:$A$15,0)),""))</f>
        <v/>
      </c>
      <c r="G27" s="4"/>
      <c r="H27" s="4"/>
    </row>
    <row r="28" customFormat="false" ht="15" hidden="false" customHeight="true" outlineLevel="0" collapsed="false">
      <c r="A28" s="4"/>
      <c r="B28" s="4"/>
      <c r="C28" s="4"/>
      <c r="D28" s="4"/>
      <c r="E28" s="4"/>
      <c r="F28" s="12" t="str">
        <f aca="false">IF(E28="","",IFERROR(INDEX('Reference Data'!$C$9:$C$15,MATCH(E28,'Reference Data'!$A$9:$A$15,0)),""))</f>
        <v/>
      </c>
      <c r="G28" s="4"/>
      <c r="H28" s="4"/>
    </row>
    <row r="29" customFormat="false" ht="15" hidden="false" customHeight="true" outlineLevel="0" collapsed="false">
      <c r="A29" s="4"/>
      <c r="B29" s="4"/>
      <c r="C29" s="4"/>
      <c r="D29" s="4"/>
      <c r="E29" s="4"/>
      <c r="F29" s="12" t="str">
        <f aca="false">IF(E29="","",IFERROR(INDEX('Reference Data'!$C$9:$C$15,MATCH(E29,'Reference Data'!$A$9:$A$15,0)),""))</f>
        <v/>
      </c>
      <c r="G29" s="4"/>
      <c r="H29" s="4"/>
    </row>
    <row r="30" customFormat="false" ht="15" hidden="false" customHeight="true" outlineLevel="0" collapsed="false">
      <c r="A30" s="4"/>
      <c r="B30" s="4"/>
      <c r="C30" s="4"/>
      <c r="D30" s="4"/>
      <c r="E30" s="4"/>
      <c r="F30" s="12" t="str">
        <f aca="false">IF(E30="","",IFERROR(INDEX('Reference Data'!$C$9:$C$15,MATCH(E30,'Reference Data'!$A$9:$A$15,0)),""))</f>
        <v/>
      </c>
      <c r="G30" s="4"/>
      <c r="H30" s="4"/>
    </row>
    <row r="31" customFormat="false" ht="15" hidden="false" customHeight="true" outlineLevel="0" collapsed="false">
      <c r="A31" s="4"/>
      <c r="B31" s="4"/>
      <c r="C31" s="4"/>
      <c r="D31" s="4"/>
      <c r="E31" s="4"/>
      <c r="F31" s="12" t="str">
        <f aca="false">IF(E31="","",IFERROR(INDEX('Reference Data'!$C$9:$C$15,MATCH(E31,'Reference Data'!$A$9:$A$15,0)),""))</f>
        <v/>
      </c>
      <c r="G31" s="4"/>
      <c r="H31" s="4"/>
    </row>
    <row r="32" customFormat="false" ht="15" hidden="false" customHeight="true" outlineLevel="0" collapsed="false">
      <c r="A32" s="4"/>
      <c r="B32" s="4"/>
      <c r="C32" s="4"/>
      <c r="D32" s="4"/>
      <c r="E32" s="4"/>
      <c r="F32" s="12" t="str">
        <f aca="false">IF(E32="","",IFERROR(INDEX('Reference Data'!$C$9:$C$15,MATCH(E32,'Reference Data'!$A$9:$A$15,0)),""))</f>
        <v/>
      </c>
      <c r="G32" s="4"/>
      <c r="H32" s="4"/>
    </row>
    <row r="33" customFormat="false" ht="15" hidden="false" customHeight="true" outlineLevel="0" collapsed="false">
      <c r="A33" s="4"/>
      <c r="B33" s="4"/>
      <c r="C33" s="4"/>
      <c r="D33" s="4"/>
      <c r="E33" s="4"/>
      <c r="F33" s="12" t="str">
        <f aca="false">IF(E33="","",IFERROR(INDEX('Reference Data'!$C$9:$C$15,MATCH(E33,'Reference Data'!$A$9:$A$15,0)),""))</f>
        <v/>
      </c>
      <c r="G33" s="4"/>
      <c r="H33" s="4"/>
    </row>
    <row r="34" customFormat="false" ht="15" hidden="false" customHeight="true" outlineLevel="0" collapsed="false">
      <c r="A34" s="4"/>
      <c r="B34" s="4"/>
      <c r="C34" s="4"/>
      <c r="D34" s="4"/>
      <c r="E34" s="4"/>
      <c r="F34" s="12" t="str">
        <f aca="false">IF(E34="","",IFERROR(INDEX('Reference Data'!$C$9:$C$15,MATCH(E34,'Reference Data'!$A$9:$A$15,0)),""))</f>
        <v/>
      </c>
      <c r="G34" s="4"/>
      <c r="H34" s="4"/>
    </row>
    <row r="35" customFormat="false" ht="15" hidden="false" customHeight="true" outlineLevel="0" collapsed="false">
      <c r="A35" s="4"/>
      <c r="B35" s="4"/>
      <c r="C35" s="4"/>
      <c r="D35" s="4"/>
      <c r="E35" s="4"/>
      <c r="F35" s="12" t="str">
        <f aca="false">IF(E35="","",IFERROR(INDEX('Reference Data'!$C$9:$C$15,MATCH(E35,'Reference Data'!$A$9:$A$15,0)),""))</f>
        <v/>
      </c>
      <c r="G35" s="4"/>
      <c r="H35" s="4"/>
    </row>
    <row r="36" customFormat="false" ht="15" hidden="false" customHeight="true" outlineLevel="0" collapsed="false">
      <c r="A36" s="4"/>
      <c r="B36" s="4"/>
      <c r="C36" s="4"/>
      <c r="D36" s="4"/>
      <c r="E36" s="4"/>
      <c r="F36" s="12" t="str">
        <f aca="false">IF(E36="","",IFERROR(INDEX('Reference Data'!$C$9:$C$15,MATCH(E36,'Reference Data'!$A$9:$A$15,0)),""))</f>
        <v/>
      </c>
      <c r="G36" s="4"/>
      <c r="H36" s="4"/>
    </row>
    <row r="37" customFormat="false" ht="15" hidden="false" customHeight="true" outlineLevel="0" collapsed="false">
      <c r="A37" s="4"/>
      <c r="B37" s="4"/>
      <c r="C37" s="4"/>
      <c r="D37" s="4"/>
      <c r="E37" s="4"/>
      <c r="F37" s="12" t="str">
        <f aca="false">IF(E37="","",IFERROR(INDEX('Reference Data'!$C$9:$C$15,MATCH(E37,'Reference Data'!$A$9:$A$15,0)),""))</f>
        <v/>
      </c>
      <c r="G37" s="4"/>
      <c r="H37" s="4"/>
    </row>
    <row r="38" customFormat="false" ht="15" hidden="false" customHeight="true" outlineLevel="0" collapsed="false">
      <c r="A38" s="4"/>
      <c r="B38" s="4"/>
      <c r="C38" s="4"/>
      <c r="D38" s="4"/>
      <c r="E38" s="4"/>
      <c r="F38" s="12" t="str">
        <f aca="false">IF(E38="","",IFERROR(INDEX('Reference Data'!$C$9:$C$15,MATCH(E38,'Reference Data'!$A$9:$A$15,0)),""))</f>
        <v/>
      </c>
      <c r="G38" s="4"/>
      <c r="H38" s="4"/>
    </row>
    <row r="39" customFormat="false" ht="15" hidden="false" customHeight="true" outlineLevel="0" collapsed="false">
      <c r="A39" s="4"/>
      <c r="B39" s="4"/>
      <c r="C39" s="4"/>
      <c r="D39" s="4"/>
      <c r="E39" s="4"/>
      <c r="F39" s="12" t="str">
        <f aca="false">IF(E39="","",IFERROR(INDEX('Reference Data'!$C$9:$C$15,MATCH(E39,'Reference Data'!$A$9:$A$15,0)),""))</f>
        <v/>
      </c>
      <c r="G39" s="4"/>
      <c r="H39" s="4"/>
    </row>
    <row r="40" customFormat="false" ht="15" hidden="false" customHeight="true" outlineLevel="0" collapsed="false">
      <c r="A40" s="4"/>
      <c r="B40" s="4"/>
      <c r="C40" s="4"/>
      <c r="D40" s="4"/>
      <c r="E40" s="4"/>
      <c r="F40" s="12" t="str">
        <f aca="false">IF(E40="","",IFERROR(INDEX('Reference Data'!$C$9:$C$15,MATCH(E40,'Reference Data'!$A$9:$A$15,0)),""))</f>
        <v/>
      </c>
      <c r="G40" s="4"/>
      <c r="H40" s="4"/>
    </row>
    <row r="41" customFormat="false" ht="15" hidden="false" customHeight="true" outlineLevel="0" collapsed="false">
      <c r="A41" s="4"/>
      <c r="B41" s="4"/>
      <c r="C41" s="4"/>
      <c r="D41" s="4"/>
      <c r="E41" s="4"/>
      <c r="F41" s="12" t="str">
        <f aca="false">IF(E41="","",IFERROR(INDEX('Reference Data'!$C$9:$C$15,MATCH(E41,'Reference Data'!$A$9:$A$15,0)),""))</f>
        <v/>
      </c>
      <c r="G41" s="4"/>
      <c r="H41" s="4"/>
    </row>
    <row r="42" customFormat="false" ht="15" hidden="false" customHeight="true" outlineLevel="0" collapsed="false">
      <c r="A42" s="4"/>
      <c r="B42" s="4"/>
      <c r="C42" s="4"/>
      <c r="D42" s="4"/>
      <c r="E42" s="4"/>
      <c r="F42" s="12" t="str">
        <f aca="false">IF(E42="","",IFERROR(INDEX('Reference Data'!$C$9:$C$15,MATCH(E42,'Reference Data'!$A$9:$A$15,0)),""))</f>
        <v/>
      </c>
      <c r="G42" s="4"/>
      <c r="H42" s="4"/>
    </row>
    <row r="43" customFormat="false" ht="15" hidden="false" customHeight="true" outlineLevel="0" collapsed="false">
      <c r="A43" s="4"/>
      <c r="B43" s="4"/>
      <c r="C43" s="4"/>
      <c r="D43" s="4"/>
      <c r="E43" s="4"/>
      <c r="F43" s="12" t="str">
        <f aca="false">IF(E43="","",IFERROR(INDEX('Reference Data'!$C$9:$C$15,MATCH(E43,'Reference Data'!$A$9:$A$15,0)),""))</f>
        <v/>
      </c>
      <c r="G43" s="4"/>
      <c r="H43" s="4"/>
    </row>
    <row r="44" customFormat="false" ht="15" hidden="false" customHeight="true" outlineLevel="0" collapsed="false">
      <c r="A44" s="4"/>
      <c r="B44" s="4"/>
      <c r="C44" s="4"/>
      <c r="D44" s="4"/>
      <c r="E44" s="4"/>
      <c r="F44" s="12" t="str">
        <f aca="false">IF(E44="","",IFERROR(INDEX('Reference Data'!$C$9:$C$15,MATCH(E44,'Reference Data'!$A$9:$A$15,0)),""))</f>
        <v/>
      </c>
      <c r="G44" s="4"/>
      <c r="H44" s="4"/>
    </row>
    <row r="45" customFormat="false" ht="15" hidden="false" customHeight="true" outlineLevel="0" collapsed="false">
      <c r="A45" s="4"/>
      <c r="B45" s="4"/>
      <c r="C45" s="4"/>
      <c r="D45" s="4"/>
      <c r="E45" s="4"/>
      <c r="F45" s="12" t="str">
        <f aca="false">IF(E45="","",IFERROR(INDEX('Reference Data'!$C$9:$C$15,MATCH(E45,'Reference Data'!$A$9:$A$15,0)),""))</f>
        <v/>
      </c>
      <c r="G45" s="4"/>
      <c r="H45" s="4"/>
    </row>
    <row r="46" customFormat="false" ht="15" hidden="false" customHeight="true" outlineLevel="0" collapsed="false">
      <c r="A46" s="4"/>
      <c r="B46" s="4"/>
      <c r="C46" s="4"/>
      <c r="D46" s="4"/>
      <c r="E46" s="4"/>
      <c r="F46" s="12" t="str">
        <f aca="false">IF(E46="","",IFERROR(INDEX('Reference Data'!$C$9:$C$15,MATCH(E46,'Reference Data'!$A$9:$A$15,0)),""))</f>
        <v/>
      </c>
      <c r="G46" s="4"/>
      <c r="H46" s="4"/>
    </row>
    <row r="47" customFormat="false" ht="15" hidden="false" customHeight="true" outlineLevel="0" collapsed="false">
      <c r="A47" s="4"/>
      <c r="B47" s="4"/>
      <c r="C47" s="4"/>
      <c r="D47" s="4"/>
      <c r="E47" s="4"/>
      <c r="F47" s="12" t="str">
        <f aca="false">IF(E47="","",IFERROR(INDEX('Reference Data'!$C$9:$C$15,MATCH(E47,'Reference Data'!$A$9:$A$15,0)),""))</f>
        <v/>
      </c>
      <c r="G47" s="4"/>
      <c r="H47" s="4"/>
    </row>
    <row r="48" customFormat="false" ht="15" hidden="false" customHeight="true" outlineLevel="0" collapsed="false">
      <c r="A48" s="4"/>
      <c r="B48" s="4"/>
      <c r="C48" s="4"/>
      <c r="D48" s="4"/>
      <c r="E48" s="4"/>
      <c r="F48" s="12" t="str">
        <f aca="false">IF(E48="","",IFERROR(INDEX('Reference Data'!$C$9:$C$15,MATCH(E48,'Reference Data'!$A$9:$A$15,0)),""))</f>
        <v/>
      </c>
      <c r="G48" s="4"/>
      <c r="H48" s="4"/>
    </row>
    <row r="49" customFormat="false" ht="15" hidden="false" customHeight="true" outlineLevel="0" collapsed="false">
      <c r="A49" s="4"/>
      <c r="B49" s="4"/>
      <c r="C49" s="4"/>
      <c r="D49" s="4"/>
      <c r="E49" s="4"/>
      <c r="F49" s="12" t="str">
        <f aca="false">IF(E49="","",IFERROR(INDEX('Reference Data'!$C$9:$C$15,MATCH(E49,'Reference Data'!$A$9:$A$15,0)),""))</f>
        <v/>
      </c>
      <c r="G49" s="4"/>
      <c r="H49" s="4"/>
    </row>
    <row r="50" customFormat="false" ht="15" hidden="false" customHeight="true" outlineLevel="0" collapsed="false">
      <c r="A50" s="4"/>
      <c r="B50" s="4"/>
      <c r="C50" s="4"/>
      <c r="D50" s="4"/>
      <c r="E50" s="4"/>
      <c r="F50" s="12" t="str">
        <f aca="false">IF(E50="","",IFERROR(INDEX('Reference Data'!$C$9:$C$15,MATCH(E50,'Reference Data'!$A$9:$A$15,0)),""))</f>
        <v/>
      </c>
      <c r="G50" s="4"/>
      <c r="H50" s="4"/>
    </row>
    <row r="51" customFormat="false" ht="15" hidden="false" customHeight="true" outlineLevel="0" collapsed="false">
      <c r="A51" s="4"/>
      <c r="B51" s="4"/>
      <c r="C51" s="4"/>
      <c r="D51" s="4"/>
      <c r="E51" s="4"/>
      <c r="F51" s="12" t="str">
        <f aca="false">IF(E51="","",IFERROR(INDEX('Reference Data'!$C$9:$C$15,MATCH(E51,'Reference Data'!$A$9:$A$15,0)),""))</f>
        <v/>
      </c>
      <c r="G51" s="4"/>
      <c r="H51" s="4"/>
    </row>
    <row r="52" customFormat="false" ht="15" hidden="false" customHeight="true" outlineLevel="0" collapsed="false">
      <c r="A52" s="4"/>
      <c r="B52" s="4"/>
      <c r="C52" s="4"/>
      <c r="D52" s="4"/>
      <c r="E52" s="4"/>
      <c r="F52" s="12" t="str">
        <f aca="false">IF(E52="","",IFERROR(INDEX('Reference Data'!$C$9:$C$15,MATCH(E52,'Reference Data'!$A$9:$A$15,0)),""))</f>
        <v/>
      </c>
      <c r="G52" s="4"/>
      <c r="H52" s="4"/>
    </row>
    <row r="53" customFormat="false" ht="15" hidden="false" customHeight="true" outlineLevel="0" collapsed="false">
      <c r="A53" s="4"/>
      <c r="B53" s="4"/>
      <c r="C53" s="4"/>
      <c r="D53" s="4"/>
      <c r="E53" s="4"/>
      <c r="F53" s="12" t="str">
        <f aca="false">IF(E53="","",IFERROR(INDEX('Reference Data'!$C$9:$C$15,MATCH(E53,'Reference Data'!$A$9:$A$15,0)),""))</f>
        <v/>
      </c>
      <c r="G53" s="4"/>
      <c r="H53" s="4"/>
    </row>
    <row r="54" customFormat="false" ht="15" hidden="false" customHeight="true" outlineLevel="0" collapsed="false">
      <c r="A54" s="4"/>
      <c r="B54" s="4"/>
      <c r="C54" s="4"/>
      <c r="D54" s="4"/>
      <c r="E54" s="4"/>
      <c r="F54" s="12" t="str">
        <f aca="false">IF(E54="","",IFERROR(INDEX('Reference Data'!$C$9:$C$15,MATCH(E54,'Reference Data'!$A$9:$A$15,0)),""))</f>
        <v/>
      </c>
      <c r="G54" s="4"/>
      <c r="H54" s="4"/>
    </row>
    <row r="55" customFormat="false" ht="15" hidden="false" customHeight="true" outlineLevel="0" collapsed="false">
      <c r="A55" s="4"/>
      <c r="B55" s="4"/>
      <c r="C55" s="4"/>
      <c r="D55" s="4"/>
      <c r="E55" s="4"/>
      <c r="F55" s="12" t="str">
        <f aca="false">IF(E55="","",IFERROR(INDEX('Reference Data'!$C$9:$C$15,MATCH(E55,'Reference Data'!$A$9:$A$15,0)),""))</f>
        <v/>
      </c>
      <c r="G55" s="4"/>
      <c r="H55" s="4"/>
    </row>
    <row r="56" customFormat="false" ht="15" hidden="false" customHeight="true" outlineLevel="0" collapsed="false">
      <c r="A56" s="4"/>
      <c r="B56" s="4"/>
      <c r="C56" s="4"/>
      <c r="D56" s="4"/>
      <c r="E56" s="4"/>
      <c r="F56" s="12" t="str">
        <f aca="false">IF(E56="","",IFERROR(INDEX('Reference Data'!$C$9:$C$15,MATCH(E56,'Reference Data'!$A$9:$A$15,0)),""))</f>
        <v/>
      </c>
      <c r="G56" s="4"/>
      <c r="H56" s="4"/>
    </row>
    <row r="57" customFormat="false" ht="15" hidden="false" customHeight="true" outlineLevel="0" collapsed="false">
      <c r="A57" s="4"/>
      <c r="B57" s="4"/>
      <c r="C57" s="4"/>
      <c r="D57" s="4"/>
      <c r="E57" s="4"/>
      <c r="F57" s="12" t="str">
        <f aca="false">IF(E57="","",IFERROR(INDEX('Reference Data'!$C$9:$C$15,MATCH(E57,'Reference Data'!$A$9:$A$15,0)),""))</f>
        <v/>
      </c>
      <c r="G57" s="4"/>
      <c r="H57" s="4"/>
    </row>
    <row r="58" customFormat="false" ht="15" hidden="false" customHeight="true" outlineLevel="0" collapsed="false">
      <c r="A58" s="4"/>
      <c r="B58" s="4"/>
      <c r="C58" s="4"/>
      <c r="D58" s="4"/>
      <c r="E58" s="4"/>
      <c r="F58" s="12" t="str">
        <f aca="false">IF(E58="","",IFERROR(INDEX('Reference Data'!$C$9:$C$15,MATCH(E58,'Reference Data'!$A$9:$A$15,0)),""))</f>
        <v/>
      </c>
      <c r="G58" s="4"/>
      <c r="H58" s="4"/>
    </row>
    <row r="59" customFormat="false" ht="15" hidden="false" customHeight="true" outlineLevel="0" collapsed="false">
      <c r="A59" s="4"/>
      <c r="B59" s="4"/>
      <c r="C59" s="4"/>
      <c r="D59" s="4"/>
      <c r="E59" s="4"/>
      <c r="F59" s="12" t="str">
        <f aca="false">IF(E59="","",IFERROR(INDEX('Reference Data'!$C$9:$C$15,MATCH(E59,'Reference Data'!$A$9:$A$15,0)),""))</f>
        <v/>
      </c>
      <c r="G59" s="4"/>
      <c r="H59" s="4"/>
    </row>
    <row r="60" customFormat="false" ht="15" hidden="false" customHeight="true" outlineLevel="0" collapsed="false">
      <c r="A60" s="4"/>
      <c r="B60" s="4"/>
      <c r="C60" s="4"/>
      <c r="D60" s="4"/>
      <c r="E60" s="4"/>
      <c r="F60" s="12" t="str">
        <f aca="false">IF(E60="","",IFERROR(INDEX('Reference Data'!$C$9:$C$15,MATCH(E60,'Reference Data'!$A$9:$A$15,0)),""))</f>
        <v/>
      </c>
      <c r="G60" s="4"/>
      <c r="H60" s="4"/>
    </row>
    <row r="61" customFormat="false" ht="15" hidden="false" customHeight="true" outlineLevel="0" collapsed="false">
      <c r="A61" s="4"/>
      <c r="B61" s="4"/>
      <c r="C61" s="4"/>
      <c r="D61" s="4"/>
      <c r="E61" s="4"/>
      <c r="F61" s="12" t="str">
        <f aca="false">IF(E61="","",IFERROR(INDEX('Reference Data'!$C$9:$C$15,MATCH(E61,'Reference Data'!$A$9:$A$15,0)),""))</f>
        <v/>
      </c>
      <c r="G61" s="4"/>
      <c r="H61" s="4"/>
    </row>
    <row r="62" customFormat="false" ht="15" hidden="false" customHeight="true" outlineLevel="0" collapsed="false">
      <c r="A62" s="4"/>
      <c r="B62" s="4"/>
      <c r="C62" s="4"/>
      <c r="D62" s="4"/>
      <c r="E62" s="4"/>
      <c r="F62" s="12" t="str">
        <f aca="false">IF(E62="","",IFERROR(INDEX('Reference Data'!$C$9:$C$15,MATCH(E62,'Reference Data'!$A$9:$A$15,0)),""))</f>
        <v/>
      </c>
      <c r="G62" s="4"/>
      <c r="H62" s="4"/>
    </row>
    <row r="63" customFormat="false" ht="15" hidden="false" customHeight="true" outlineLevel="0" collapsed="false">
      <c r="A63" s="4"/>
      <c r="B63" s="4"/>
      <c r="C63" s="4"/>
      <c r="D63" s="4"/>
      <c r="E63" s="4"/>
      <c r="F63" s="12" t="str">
        <f aca="false">IF(E63="","",IFERROR(INDEX('Reference Data'!$C$9:$C$15,MATCH(E63,'Reference Data'!$A$9:$A$15,0)),""))</f>
        <v/>
      </c>
      <c r="G63" s="4"/>
      <c r="H63" s="4"/>
    </row>
    <row r="64" customFormat="false" ht="15" hidden="false" customHeight="true" outlineLevel="0" collapsed="false">
      <c r="A64" s="4"/>
      <c r="B64" s="4"/>
      <c r="C64" s="4"/>
      <c r="D64" s="4"/>
      <c r="E64" s="4"/>
      <c r="F64" s="12" t="str">
        <f aca="false">IF(E64="","",IFERROR(INDEX('Reference Data'!$C$9:$C$15,MATCH(E64,'Reference Data'!$A$9:$A$15,0)),""))</f>
        <v/>
      </c>
      <c r="G64" s="4"/>
      <c r="H64" s="4"/>
    </row>
    <row r="65" customFormat="false" ht="15" hidden="false" customHeight="true" outlineLevel="0" collapsed="false">
      <c r="A65" s="4"/>
      <c r="B65" s="4"/>
      <c r="C65" s="4"/>
      <c r="D65" s="4"/>
      <c r="E65" s="4"/>
      <c r="F65" s="12" t="str">
        <f aca="false">IF(E65="","",IFERROR(INDEX('Reference Data'!$C$9:$C$15,MATCH(E65,'Reference Data'!$A$9:$A$15,0)),""))</f>
        <v/>
      </c>
      <c r="G65" s="4"/>
      <c r="H65" s="4"/>
    </row>
    <row r="66" customFormat="false" ht="15" hidden="false" customHeight="true" outlineLevel="0" collapsed="false">
      <c r="A66" s="4"/>
      <c r="B66" s="4"/>
      <c r="C66" s="4"/>
      <c r="D66" s="4"/>
      <c r="E66" s="4"/>
      <c r="F66" s="12" t="str">
        <f aca="false">IF(E66="","",IFERROR(INDEX('Reference Data'!$C$9:$C$15,MATCH(E66,'Reference Data'!$A$9:$A$15,0)),""))</f>
        <v/>
      </c>
      <c r="G66" s="4"/>
      <c r="H66" s="4"/>
    </row>
    <row r="67" customFormat="false" ht="15" hidden="false" customHeight="true" outlineLevel="0" collapsed="false">
      <c r="A67" s="4"/>
      <c r="B67" s="4"/>
      <c r="C67" s="4"/>
      <c r="D67" s="4"/>
      <c r="E67" s="4"/>
      <c r="F67" s="12" t="str">
        <f aca="false">IF(E67="","",IFERROR(INDEX('Reference Data'!$C$9:$C$15,MATCH(E67,'Reference Data'!$A$9:$A$15,0)),""))</f>
        <v/>
      </c>
      <c r="G67" s="4"/>
      <c r="H67" s="4"/>
    </row>
    <row r="68" customFormat="false" ht="15" hidden="false" customHeight="true" outlineLevel="0" collapsed="false">
      <c r="A68" s="4"/>
      <c r="B68" s="4"/>
      <c r="C68" s="4"/>
      <c r="D68" s="4"/>
      <c r="E68" s="4"/>
      <c r="F68" s="12" t="str">
        <f aca="false">IF(E68="","",IFERROR(INDEX('Reference Data'!$C$9:$C$15,MATCH(E68,'Reference Data'!$A$9:$A$15,0)),""))</f>
        <v/>
      </c>
      <c r="G68" s="4"/>
      <c r="H68" s="4"/>
    </row>
    <row r="69" customFormat="false" ht="15" hidden="false" customHeight="true" outlineLevel="0" collapsed="false">
      <c r="A69" s="4"/>
      <c r="B69" s="4"/>
      <c r="C69" s="4"/>
      <c r="D69" s="4"/>
      <c r="E69" s="4"/>
      <c r="F69" s="12" t="str">
        <f aca="false">IF(E69="","",IFERROR(INDEX('Reference Data'!$C$9:$C$15,MATCH(E69,'Reference Data'!$A$9:$A$15,0)),""))</f>
        <v/>
      </c>
      <c r="G69" s="4"/>
      <c r="H69" s="4"/>
    </row>
    <row r="70" customFormat="false" ht="15" hidden="false" customHeight="true" outlineLevel="0" collapsed="false">
      <c r="A70" s="4"/>
      <c r="B70" s="4"/>
      <c r="C70" s="4"/>
      <c r="D70" s="4"/>
      <c r="E70" s="4"/>
      <c r="F70" s="12" t="str">
        <f aca="false">IF(E70="","",IFERROR(INDEX('Reference Data'!$C$9:$C$15,MATCH(E70,'Reference Data'!$A$9:$A$15,0)),""))</f>
        <v/>
      </c>
      <c r="G70" s="4"/>
      <c r="H70" s="4"/>
    </row>
    <row r="71" customFormat="false" ht="15" hidden="false" customHeight="true" outlineLevel="0" collapsed="false">
      <c r="A71" s="4"/>
      <c r="B71" s="4"/>
      <c r="C71" s="4"/>
      <c r="D71" s="4"/>
      <c r="E71" s="4"/>
      <c r="F71" s="12" t="str">
        <f aca="false">IF(E71="","",IFERROR(INDEX('Reference Data'!$C$9:$C$15,MATCH(E71,'Reference Data'!$A$9:$A$15,0)),""))</f>
        <v/>
      </c>
      <c r="G71" s="4"/>
      <c r="H71" s="4"/>
    </row>
    <row r="72" customFormat="false" ht="15" hidden="false" customHeight="true" outlineLevel="0" collapsed="false">
      <c r="A72" s="4"/>
      <c r="B72" s="4"/>
      <c r="C72" s="4"/>
      <c r="D72" s="4"/>
      <c r="E72" s="4"/>
      <c r="F72" s="12" t="str">
        <f aca="false">IF(E72="","",IFERROR(INDEX('Reference Data'!$C$9:$C$15,MATCH(E72,'Reference Data'!$A$9:$A$15,0)),""))</f>
        <v/>
      </c>
      <c r="G72" s="4"/>
      <c r="H72" s="4"/>
    </row>
    <row r="73" customFormat="false" ht="15" hidden="false" customHeight="true" outlineLevel="0" collapsed="false">
      <c r="A73" s="4"/>
      <c r="B73" s="4"/>
      <c r="C73" s="4"/>
      <c r="D73" s="4"/>
      <c r="E73" s="4"/>
      <c r="F73" s="12" t="str">
        <f aca="false">IF(E73="","",IFERROR(INDEX('Reference Data'!$C$9:$C$15,MATCH(E73,'Reference Data'!$A$9:$A$15,0)),""))</f>
        <v/>
      </c>
      <c r="G73" s="4"/>
      <c r="H73" s="4"/>
    </row>
    <row r="74" customFormat="false" ht="15" hidden="false" customHeight="true" outlineLevel="0" collapsed="false">
      <c r="A74" s="4"/>
      <c r="B74" s="4"/>
      <c r="C74" s="4"/>
      <c r="D74" s="4"/>
      <c r="E74" s="4"/>
      <c r="F74" s="12" t="str">
        <f aca="false">IF(E74="","",IFERROR(INDEX('Reference Data'!$C$9:$C$15,MATCH(E74,'Reference Data'!$A$9:$A$15,0)),""))</f>
        <v/>
      </c>
      <c r="G74" s="4"/>
      <c r="H74" s="4"/>
    </row>
    <row r="75" customFormat="false" ht="15" hidden="false" customHeight="true" outlineLevel="0" collapsed="false">
      <c r="A75" s="4"/>
      <c r="B75" s="4"/>
      <c r="C75" s="4"/>
      <c r="D75" s="4"/>
      <c r="E75" s="4"/>
      <c r="F75" s="12" t="str">
        <f aca="false">IF(E75="","",IFERROR(INDEX('Reference Data'!$C$9:$C$15,MATCH(E75,'Reference Data'!$A$9:$A$15,0)),""))</f>
        <v/>
      </c>
      <c r="G75" s="4"/>
      <c r="H75" s="4"/>
    </row>
    <row r="76" customFormat="false" ht="15" hidden="false" customHeight="true" outlineLevel="0" collapsed="false">
      <c r="A76" s="4"/>
      <c r="B76" s="4"/>
      <c r="C76" s="4"/>
      <c r="D76" s="4"/>
      <c r="E76" s="4"/>
      <c r="F76" s="12" t="str">
        <f aca="false">IF(E76="","",IFERROR(INDEX('Reference Data'!$C$9:$C$15,MATCH(E76,'Reference Data'!$A$9:$A$15,0)),""))</f>
        <v/>
      </c>
      <c r="G76" s="4"/>
      <c r="H76" s="4"/>
    </row>
    <row r="77" customFormat="false" ht="15" hidden="false" customHeight="true" outlineLevel="0" collapsed="false">
      <c r="A77" s="4"/>
      <c r="B77" s="4"/>
      <c r="C77" s="4"/>
      <c r="D77" s="4"/>
      <c r="E77" s="4"/>
      <c r="F77" s="12" t="str">
        <f aca="false">IF(E77="","",IFERROR(INDEX('Reference Data'!$C$9:$C$15,MATCH(E77,'Reference Data'!$A$9:$A$15,0)),""))</f>
        <v/>
      </c>
      <c r="G77" s="4"/>
      <c r="H77" s="4"/>
    </row>
    <row r="78" customFormat="false" ht="15" hidden="false" customHeight="true" outlineLevel="0" collapsed="false">
      <c r="A78" s="4"/>
      <c r="B78" s="4"/>
      <c r="C78" s="4"/>
      <c r="D78" s="4"/>
      <c r="E78" s="4"/>
      <c r="F78" s="12" t="str">
        <f aca="false">IF(E78="","",IFERROR(INDEX('Reference Data'!$C$9:$C$15,MATCH(E78,'Reference Data'!$A$9:$A$15,0)),""))</f>
        <v/>
      </c>
      <c r="G78" s="4"/>
      <c r="H78" s="4"/>
    </row>
    <row r="79" customFormat="false" ht="15" hidden="false" customHeight="true" outlineLevel="0" collapsed="false">
      <c r="A79" s="4"/>
      <c r="B79" s="4"/>
      <c r="C79" s="4"/>
      <c r="D79" s="4"/>
      <c r="E79" s="4"/>
      <c r="F79" s="12" t="str">
        <f aca="false">IF(E79="","",IFERROR(INDEX('Reference Data'!$C$9:$C$15,MATCH(E79,'Reference Data'!$A$9:$A$15,0)),""))</f>
        <v/>
      </c>
      <c r="G79" s="4"/>
      <c r="H79" s="4"/>
    </row>
    <row r="80" customFormat="false" ht="15" hidden="false" customHeight="true" outlineLevel="0" collapsed="false">
      <c r="A80" s="4"/>
      <c r="B80" s="4"/>
      <c r="C80" s="4"/>
      <c r="D80" s="4"/>
      <c r="E80" s="4"/>
      <c r="F80" s="12" t="str">
        <f aca="false">IF(E80="","",IFERROR(INDEX('Reference Data'!$C$9:$C$15,MATCH(E80,'Reference Data'!$A$9:$A$15,0)),""))</f>
        <v/>
      </c>
      <c r="G80" s="4"/>
      <c r="H80" s="4"/>
    </row>
    <row r="81" customFormat="false" ht="15" hidden="false" customHeight="true" outlineLevel="0" collapsed="false">
      <c r="A81" s="4"/>
      <c r="B81" s="4"/>
      <c r="C81" s="4"/>
      <c r="D81" s="4"/>
      <c r="E81" s="4"/>
      <c r="F81" s="12" t="str">
        <f aca="false">IF(E81="","",IFERROR(INDEX('Reference Data'!$C$9:$C$15,MATCH(E81,'Reference Data'!$A$9:$A$15,0)),""))</f>
        <v/>
      </c>
      <c r="G81" s="4"/>
      <c r="H81" s="4"/>
    </row>
    <row r="82" customFormat="false" ht="15" hidden="false" customHeight="true" outlineLevel="0" collapsed="false">
      <c r="A82" s="4"/>
      <c r="B82" s="4"/>
      <c r="C82" s="4"/>
      <c r="D82" s="4"/>
      <c r="E82" s="4"/>
      <c r="F82" s="12" t="str">
        <f aca="false">IF(E82="","",IFERROR(INDEX('Reference Data'!$C$9:$C$15,MATCH(E82,'Reference Data'!$A$9:$A$15,0)),""))</f>
        <v/>
      </c>
      <c r="G82" s="4"/>
      <c r="H82" s="4"/>
    </row>
    <row r="83" customFormat="false" ht="15" hidden="false" customHeight="true" outlineLevel="0" collapsed="false">
      <c r="A83" s="4"/>
      <c r="B83" s="4"/>
      <c r="C83" s="4"/>
      <c r="D83" s="4"/>
      <c r="E83" s="4"/>
      <c r="F83" s="12" t="str">
        <f aca="false">IF(E83="","",IFERROR(INDEX('Reference Data'!$C$9:$C$15,MATCH(E83,'Reference Data'!$A$9:$A$15,0)),""))</f>
        <v/>
      </c>
      <c r="G83" s="4"/>
      <c r="H83" s="4"/>
    </row>
    <row r="84" customFormat="false" ht="15" hidden="false" customHeight="true" outlineLevel="0" collapsed="false">
      <c r="A84" s="4"/>
      <c r="B84" s="4"/>
      <c r="C84" s="4"/>
      <c r="D84" s="4"/>
      <c r="E84" s="4"/>
      <c r="F84" s="12" t="str">
        <f aca="false">IF(E84="","",IFERROR(INDEX('Reference Data'!$C$9:$C$15,MATCH(E84,'Reference Data'!$A$9:$A$15,0)),""))</f>
        <v/>
      </c>
      <c r="G84" s="4"/>
      <c r="H84" s="4"/>
    </row>
    <row r="85" customFormat="false" ht="15" hidden="false" customHeight="true" outlineLevel="0" collapsed="false">
      <c r="A85" s="4"/>
      <c r="B85" s="4"/>
      <c r="C85" s="4"/>
      <c r="D85" s="4"/>
      <c r="E85" s="4"/>
      <c r="F85" s="12" t="str">
        <f aca="false">IF(E85="","",IFERROR(INDEX('Reference Data'!$C$9:$C$15,MATCH(E85,'Reference Data'!$A$9:$A$15,0)),""))</f>
        <v/>
      </c>
      <c r="G85" s="4"/>
      <c r="H85" s="4"/>
    </row>
    <row r="86" customFormat="false" ht="15" hidden="false" customHeight="true" outlineLevel="0" collapsed="false">
      <c r="A86" s="4"/>
      <c r="B86" s="4"/>
      <c r="C86" s="4"/>
      <c r="D86" s="4"/>
      <c r="E86" s="4"/>
      <c r="F86" s="12" t="str">
        <f aca="false">IF(E86="","",IFERROR(INDEX('Reference Data'!$C$9:$C$15,MATCH(E86,'Reference Data'!$A$9:$A$15,0)),""))</f>
        <v/>
      </c>
      <c r="G86" s="4"/>
      <c r="H86" s="4"/>
    </row>
    <row r="87" customFormat="false" ht="15" hidden="false" customHeight="true" outlineLevel="0" collapsed="false">
      <c r="A87" s="4"/>
      <c r="B87" s="4"/>
      <c r="C87" s="4"/>
      <c r="D87" s="4"/>
      <c r="E87" s="4"/>
      <c r="F87" s="12" t="str">
        <f aca="false">IF(E87="","",IFERROR(INDEX('Reference Data'!$C$9:$C$15,MATCH(E87,'Reference Data'!$A$9:$A$15,0)),""))</f>
        <v/>
      </c>
      <c r="G87" s="4"/>
      <c r="H87" s="4"/>
    </row>
    <row r="88" customFormat="false" ht="15" hidden="false" customHeight="true" outlineLevel="0" collapsed="false">
      <c r="A88" s="4"/>
      <c r="B88" s="4"/>
      <c r="C88" s="4"/>
      <c r="D88" s="4"/>
      <c r="E88" s="4"/>
      <c r="F88" s="12" t="str">
        <f aca="false">IF(E88="","",IFERROR(INDEX('Reference Data'!$C$9:$C$15,MATCH(E88,'Reference Data'!$A$9:$A$15,0)),""))</f>
        <v/>
      </c>
      <c r="G88" s="4"/>
      <c r="H88" s="4"/>
    </row>
    <row r="89" customFormat="false" ht="15" hidden="false" customHeight="true" outlineLevel="0" collapsed="false">
      <c r="A89" s="4"/>
      <c r="B89" s="4"/>
      <c r="C89" s="4"/>
      <c r="D89" s="4"/>
      <c r="E89" s="4"/>
      <c r="F89" s="12" t="str">
        <f aca="false">IF(E89="","",IFERROR(INDEX('Reference Data'!$C$9:$C$15,MATCH(E89,'Reference Data'!$A$9:$A$15,0)),""))</f>
        <v/>
      </c>
      <c r="G89" s="4"/>
      <c r="H89" s="4"/>
    </row>
    <row r="90" customFormat="false" ht="15" hidden="false" customHeight="true" outlineLevel="0" collapsed="false">
      <c r="A90" s="4"/>
      <c r="B90" s="4"/>
      <c r="C90" s="4"/>
      <c r="D90" s="4"/>
      <c r="E90" s="4"/>
      <c r="F90" s="12" t="str">
        <f aca="false">IF(E90="","",IFERROR(INDEX('Reference Data'!$C$9:$C$15,MATCH(E90,'Reference Data'!$A$9:$A$15,0)),""))</f>
        <v/>
      </c>
      <c r="G90" s="4"/>
      <c r="H90" s="4"/>
    </row>
    <row r="91" customFormat="false" ht="15" hidden="false" customHeight="true" outlineLevel="0" collapsed="false">
      <c r="A91" s="4"/>
      <c r="B91" s="4"/>
      <c r="C91" s="4"/>
      <c r="D91" s="4"/>
      <c r="E91" s="4"/>
      <c r="F91" s="12" t="str">
        <f aca="false">IF(E91="","",IFERROR(INDEX('Reference Data'!$C$9:$C$15,MATCH(E91,'Reference Data'!$A$9:$A$15,0)),""))</f>
        <v/>
      </c>
      <c r="G91" s="4"/>
      <c r="H91" s="4"/>
    </row>
    <row r="92" customFormat="false" ht="15" hidden="false" customHeight="true" outlineLevel="0" collapsed="false">
      <c r="A92" s="4"/>
      <c r="B92" s="4"/>
      <c r="C92" s="4"/>
      <c r="D92" s="4"/>
      <c r="E92" s="4"/>
      <c r="F92" s="12" t="str">
        <f aca="false">IF(E92="","",IFERROR(INDEX('Reference Data'!$C$9:$C$15,MATCH(E92,'Reference Data'!$A$9:$A$15,0)),""))</f>
        <v/>
      </c>
      <c r="G92" s="4"/>
      <c r="H92" s="4"/>
    </row>
    <row r="93" customFormat="false" ht="15" hidden="false" customHeight="true" outlineLevel="0" collapsed="false">
      <c r="A93" s="4"/>
      <c r="B93" s="4"/>
      <c r="C93" s="4"/>
      <c r="D93" s="4"/>
      <c r="E93" s="4"/>
      <c r="F93" s="12" t="str">
        <f aca="false">IF(E93="","",IFERROR(INDEX('Reference Data'!$C$9:$C$15,MATCH(E93,'Reference Data'!$A$9:$A$15,0)),""))</f>
        <v/>
      </c>
      <c r="G93" s="4"/>
      <c r="H93" s="4"/>
    </row>
    <row r="94" customFormat="false" ht="15" hidden="false" customHeight="true" outlineLevel="0" collapsed="false">
      <c r="A94" s="4"/>
      <c r="B94" s="4"/>
      <c r="C94" s="4"/>
      <c r="D94" s="4"/>
      <c r="E94" s="4"/>
      <c r="F94" s="12" t="str">
        <f aca="false">IF(E94="","",IFERROR(INDEX('Reference Data'!$C$9:$C$15,MATCH(E94,'Reference Data'!$A$9:$A$15,0)),""))</f>
        <v/>
      </c>
      <c r="G94" s="4"/>
      <c r="H94" s="4"/>
    </row>
    <row r="95" customFormat="false" ht="15" hidden="false" customHeight="true" outlineLevel="0" collapsed="false">
      <c r="A95" s="4"/>
      <c r="B95" s="4"/>
      <c r="C95" s="4"/>
      <c r="D95" s="4"/>
      <c r="E95" s="4"/>
      <c r="F95" s="12" t="str">
        <f aca="false">IF(E95="","",IFERROR(INDEX('Reference Data'!$C$9:$C$15,MATCH(E95,'Reference Data'!$A$9:$A$15,0)),""))</f>
        <v/>
      </c>
      <c r="G95" s="4"/>
      <c r="H95" s="4"/>
    </row>
    <row r="96" customFormat="false" ht="15" hidden="false" customHeight="true" outlineLevel="0" collapsed="false">
      <c r="A96" s="4"/>
      <c r="B96" s="4"/>
      <c r="C96" s="4"/>
      <c r="D96" s="4"/>
      <c r="E96" s="4"/>
      <c r="F96" s="12" t="str">
        <f aca="false">IF(E96="","",IFERROR(INDEX('Reference Data'!$C$9:$C$15,MATCH(E96,'Reference Data'!$A$9:$A$15,0)),""))</f>
        <v/>
      </c>
      <c r="G96" s="4"/>
      <c r="H96" s="4"/>
    </row>
    <row r="97" customFormat="false" ht="15" hidden="false" customHeight="true" outlineLevel="0" collapsed="false">
      <c r="A97" s="4"/>
      <c r="B97" s="4"/>
      <c r="C97" s="4"/>
      <c r="D97" s="4"/>
      <c r="E97" s="4"/>
      <c r="F97" s="12" t="str">
        <f aca="false">IF(E97="","",IFERROR(INDEX('Reference Data'!$C$9:$C$15,MATCH(E97,'Reference Data'!$A$9:$A$15,0)),""))</f>
        <v/>
      </c>
      <c r="G97" s="4"/>
      <c r="H97" s="4"/>
    </row>
    <row r="98" customFormat="false" ht="15" hidden="false" customHeight="true" outlineLevel="0" collapsed="false">
      <c r="A98" s="4"/>
      <c r="B98" s="4"/>
      <c r="C98" s="4"/>
      <c r="D98" s="4"/>
      <c r="E98" s="4"/>
      <c r="F98" s="12" t="str">
        <f aca="false">IF(E98="","",IFERROR(INDEX('Reference Data'!$C$9:$C$15,MATCH(E98,'Reference Data'!$A$9:$A$15,0)),""))</f>
        <v/>
      </c>
      <c r="G98" s="4"/>
      <c r="H98" s="4"/>
    </row>
    <row r="99" customFormat="false" ht="15" hidden="false" customHeight="true" outlineLevel="0" collapsed="false">
      <c r="A99" s="4"/>
      <c r="B99" s="4"/>
      <c r="C99" s="4"/>
      <c r="D99" s="4"/>
      <c r="E99" s="4"/>
      <c r="F99" s="12" t="str">
        <f aca="false">IF(E99="","",IFERROR(INDEX('Reference Data'!$C$9:$C$15,MATCH(E99,'Reference Data'!$A$9:$A$15,0)),""))</f>
        <v/>
      </c>
      <c r="G99" s="4"/>
      <c r="H99" s="4"/>
    </row>
    <row r="100" customFormat="false" ht="15" hidden="false" customHeight="true" outlineLevel="0" collapsed="false">
      <c r="A100" s="4"/>
      <c r="B100" s="4"/>
      <c r="C100" s="4"/>
      <c r="D100" s="4"/>
      <c r="E100" s="4"/>
      <c r="F100" s="12" t="str">
        <f aca="false">IF(E100="","",IFERROR(INDEX('Reference Data'!$C$9:$C$15,MATCH(E100,'Reference Data'!$A$9:$A$15,0)),""))</f>
        <v/>
      </c>
      <c r="G100" s="4"/>
      <c r="H100" s="4"/>
    </row>
    <row r="101" customFormat="false" ht="15" hidden="false" customHeight="true" outlineLevel="0" collapsed="false">
      <c r="A101" s="4"/>
      <c r="B101" s="4"/>
      <c r="C101" s="4"/>
      <c r="D101" s="4"/>
      <c r="E101" s="4"/>
      <c r="F101" s="12" t="str">
        <f aca="false">IF(E101="","",IFERROR(INDEX('Reference Data'!$C$9:$C$15,MATCH(E101,'Reference Data'!$A$9:$A$15,0)),""))</f>
        <v/>
      </c>
      <c r="G101" s="4"/>
      <c r="H101" s="4"/>
    </row>
    <row r="102" customFormat="false" ht="15" hidden="false" customHeight="true" outlineLevel="0" collapsed="false">
      <c r="A102" s="4"/>
      <c r="B102" s="4"/>
      <c r="C102" s="4"/>
      <c r="D102" s="4"/>
      <c r="E102" s="4"/>
      <c r="F102" s="12" t="str">
        <f aca="false">IF(E102="","",IFERROR(INDEX('Reference Data'!$C$9:$C$15,MATCH(E102,'Reference Data'!$A$9:$A$15,0)),""))</f>
        <v/>
      </c>
      <c r="G102" s="4"/>
      <c r="H102" s="4"/>
    </row>
    <row r="103" customFormat="false" ht="15" hidden="false" customHeight="true" outlineLevel="0" collapsed="false">
      <c r="A103" s="4"/>
      <c r="B103" s="4"/>
      <c r="C103" s="4"/>
      <c r="D103" s="4"/>
      <c r="E103" s="4"/>
      <c r="F103" s="12" t="str">
        <f aca="false">IF(E103="","",IFERROR(INDEX('Reference Data'!$C$9:$C$15,MATCH(E103,'Reference Data'!$A$9:$A$15,0)),""))</f>
        <v/>
      </c>
      <c r="G103" s="4"/>
      <c r="H103" s="4"/>
    </row>
    <row r="104" customFormat="false" ht="15" hidden="false" customHeight="true" outlineLevel="0" collapsed="false">
      <c r="A104" s="4"/>
      <c r="B104" s="4"/>
      <c r="C104" s="4"/>
      <c r="D104" s="4"/>
      <c r="E104" s="4"/>
      <c r="F104" s="12" t="str">
        <f aca="false">IF(E104="","",IFERROR(INDEX('Reference Data'!$C$9:$C$15,MATCH(E104,'Reference Data'!$A$9:$A$15,0)),""))</f>
        <v/>
      </c>
      <c r="G104" s="4"/>
      <c r="H104" s="4"/>
    </row>
    <row r="105" customFormat="false" ht="15" hidden="false" customHeight="true" outlineLevel="0" collapsed="false">
      <c r="A105" s="4"/>
      <c r="B105" s="4"/>
      <c r="C105" s="4"/>
      <c r="D105" s="4"/>
      <c r="E105" s="4"/>
      <c r="F105" s="12" t="str">
        <f aca="false">IF(E105="","",IFERROR(INDEX('Reference Data'!$C$9:$C$15,MATCH(E105,'Reference Data'!$A$9:$A$15,0)),""))</f>
        <v/>
      </c>
      <c r="G105" s="4"/>
      <c r="H105" s="4"/>
    </row>
    <row r="106" customFormat="false" ht="15" hidden="false" customHeight="true" outlineLevel="0" collapsed="false">
      <c r="A106" s="4"/>
      <c r="B106" s="4"/>
      <c r="C106" s="4"/>
      <c r="D106" s="4"/>
      <c r="E106" s="4"/>
      <c r="F106" s="12" t="str">
        <f aca="false">IF(E106="","",IFERROR(INDEX('Reference Data'!$C$9:$C$15,MATCH(E106,'Reference Data'!$A$9:$A$15,0)),""))</f>
        <v/>
      </c>
      <c r="G106" s="4"/>
      <c r="H106" s="4"/>
    </row>
    <row r="107" customFormat="false" ht="15" hidden="false" customHeight="true" outlineLevel="0" collapsed="false">
      <c r="A107" s="4"/>
      <c r="B107" s="4"/>
      <c r="C107" s="4"/>
      <c r="D107" s="4"/>
      <c r="E107" s="4"/>
      <c r="F107" s="12" t="str">
        <f aca="false">IF(E107="","",IFERROR(INDEX('Reference Data'!$C$9:$C$15,MATCH(E107,'Reference Data'!$A$9:$A$15,0)),""))</f>
        <v/>
      </c>
      <c r="G107" s="4"/>
      <c r="H107" s="4"/>
    </row>
    <row r="108" customFormat="false" ht="15" hidden="false" customHeight="true" outlineLevel="0" collapsed="false">
      <c r="A108" s="4"/>
      <c r="B108" s="4"/>
      <c r="C108" s="4"/>
      <c r="D108" s="4"/>
      <c r="E108" s="4"/>
      <c r="F108" s="12" t="str">
        <f aca="false">IF(E108="","",IFERROR(INDEX('Reference Data'!$C$9:$C$15,MATCH(E108,'Reference Data'!$A$9:$A$15,0)),""))</f>
        <v/>
      </c>
      <c r="G108" s="4"/>
      <c r="H108" s="4"/>
    </row>
    <row r="109" customFormat="false" ht="15" hidden="false" customHeight="true" outlineLevel="0" collapsed="false">
      <c r="A109" s="4"/>
      <c r="B109" s="4"/>
      <c r="C109" s="4"/>
      <c r="D109" s="4"/>
      <c r="E109" s="4"/>
      <c r="F109" s="12" t="str">
        <f aca="false">IF(E109="","",IFERROR(INDEX('Reference Data'!$C$9:$C$15,MATCH(E109,'Reference Data'!$A$9:$A$15,0)),""))</f>
        <v/>
      </c>
      <c r="G109" s="4"/>
      <c r="H109" s="4"/>
    </row>
    <row r="110" customFormat="false" ht="15" hidden="false" customHeight="true" outlineLevel="0" collapsed="false">
      <c r="A110" s="4"/>
      <c r="B110" s="4"/>
      <c r="C110" s="4"/>
      <c r="D110" s="4"/>
      <c r="E110" s="4"/>
      <c r="F110" s="12" t="str">
        <f aca="false">IF(E110="","",IFERROR(INDEX('Reference Data'!$C$9:$C$15,MATCH(E110,'Reference Data'!$A$9:$A$15,0)),""))</f>
        <v/>
      </c>
      <c r="G110" s="4"/>
      <c r="H110" s="4"/>
    </row>
    <row r="111" customFormat="false" ht="15" hidden="false" customHeight="true" outlineLevel="0" collapsed="false">
      <c r="A111" s="4"/>
      <c r="B111" s="4"/>
      <c r="C111" s="4"/>
      <c r="D111" s="4"/>
      <c r="E111" s="4"/>
      <c r="F111" s="12" t="str">
        <f aca="false">IF(E111="","",IFERROR(INDEX('Reference Data'!$C$9:$C$15,MATCH(E111,'Reference Data'!$A$9:$A$15,0)),""))</f>
        <v/>
      </c>
      <c r="G111" s="4"/>
      <c r="H111" s="4"/>
    </row>
    <row r="112" customFormat="false" ht="15" hidden="false" customHeight="true" outlineLevel="0" collapsed="false">
      <c r="A112" s="4"/>
      <c r="B112" s="4"/>
      <c r="C112" s="4"/>
      <c r="D112" s="4"/>
      <c r="E112" s="4"/>
      <c r="F112" s="12" t="str">
        <f aca="false">IF(E112="","",IFERROR(INDEX('Reference Data'!$C$9:$C$15,MATCH(E112,'Reference Data'!$A$9:$A$15,0)),""))</f>
        <v/>
      </c>
      <c r="G112" s="4"/>
      <c r="H112" s="4"/>
    </row>
    <row r="113" customFormat="false" ht="15" hidden="false" customHeight="true" outlineLevel="0" collapsed="false">
      <c r="A113" s="4"/>
      <c r="B113" s="4"/>
      <c r="C113" s="4"/>
      <c r="D113" s="4"/>
      <c r="E113" s="4"/>
      <c r="F113" s="12" t="str">
        <f aca="false">IF(E113="","",IFERROR(INDEX('Reference Data'!$C$9:$C$15,MATCH(E113,'Reference Data'!$A$9:$A$15,0)),""))</f>
        <v/>
      </c>
      <c r="G113" s="4"/>
      <c r="H113" s="4"/>
    </row>
    <row r="114" customFormat="false" ht="15" hidden="false" customHeight="true" outlineLevel="0" collapsed="false">
      <c r="A114" s="4"/>
      <c r="B114" s="4"/>
      <c r="C114" s="4"/>
      <c r="D114" s="4"/>
      <c r="E114" s="4"/>
      <c r="F114" s="12" t="str">
        <f aca="false">IF(E114="","",IFERROR(INDEX('Reference Data'!$C$9:$C$15,MATCH(E114,'Reference Data'!$A$9:$A$15,0)),""))</f>
        <v/>
      </c>
      <c r="G114" s="4"/>
      <c r="H114" s="4"/>
    </row>
    <row r="115" customFormat="false" ht="15" hidden="false" customHeight="true" outlineLevel="0" collapsed="false">
      <c r="A115" s="4"/>
      <c r="B115" s="4"/>
      <c r="C115" s="4"/>
      <c r="D115" s="4"/>
      <c r="E115" s="4"/>
      <c r="F115" s="12" t="str">
        <f aca="false">IF(E115="","",IFERROR(INDEX('Reference Data'!$C$9:$C$15,MATCH(E115,'Reference Data'!$A$9:$A$15,0)),""))</f>
        <v/>
      </c>
      <c r="G115" s="4"/>
      <c r="H115" s="4"/>
    </row>
    <row r="116" customFormat="false" ht="15" hidden="false" customHeight="true" outlineLevel="0" collapsed="false">
      <c r="A116" s="4"/>
      <c r="B116" s="4"/>
      <c r="C116" s="4"/>
      <c r="D116" s="4"/>
      <c r="E116" s="4"/>
      <c r="F116" s="12" t="str">
        <f aca="false">IF(E116="","",IFERROR(INDEX('Reference Data'!$C$9:$C$15,MATCH(E116,'Reference Data'!$A$9:$A$15,0)),""))</f>
        <v/>
      </c>
      <c r="G116" s="4"/>
      <c r="H116" s="4"/>
    </row>
    <row r="117" customFormat="false" ht="15" hidden="false" customHeight="true" outlineLevel="0" collapsed="false">
      <c r="A117" s="4"/>
      <c r="B117" s="4"/>
      <c r="C117" s="4"/>
      <c r="D117" s="4"/>
      <c r="E117" s="4"/>
      <c r="F117" s="12" t="str">
        <f aca="false">IF(E117="","",IFERROR(INDEX('Reference Data'!$C$9:$C$15,MATCH(E117,'Reference Data'!$A$9:$A$15,0)),""))</f>
        <v/>
      </c>
      <c r="G117" s="4"/>
      <c r="H117" s="4"/>
    </row>
    <row r="118" customFormat="false" ht="15" hidden="false" customHeight="true" outlineLevel="0" collapsed="false">
      <c r="A118" s="4"/>
      <c r="B118" s="4"/>
      <c r="C118" s="4"/>
      <c r="D118" s="4"/>
      <c r="E118" s="4"/>
      <c r="F118" s="12" t="str">
        <f aca="false">IF(E118="","",IFERROR(INDEX('Reference Data'!$C$9:$C$15,MATCH(E118,'Reference Data'!$A$9:$A$15,0)),""))</f>
        <v/>
      </c>
      <c r="G118" s="4"/>
      <c r="H118" s="4"/>
    </row>
    <row r="119" customFormat="false" ht="15" hidden="false" customHeight="true" outlineLevel="0" collapsed="false">
      <c r="A119" s="4"/>
      <c r="B119" s="4"/>
      <c r="C119" s="4"/>
      <c r="D119" s="4"/>
      <c r="E119" s="4"/>
      <c r="F119" s="12" t="str">
        <f aca="false">IF(E119="","",IFERROR(INDEX('Reference Data'!$C$9:$C$15,MATCH(E119,'Reference Data'!$A$9:$A$15,0)),""))</f>
        <v/>
      </c>
      <c r="G119" s="4"/>
      <c r="H119" s="4"/>
    </row>
    <row r="120" customFormat="false" ht="15" hidden="false" customHeight="true" outlineLevel="0" collapsed="false">
      <c r="A120" s="4"/>
      <c r="B120" s="4"/>
      <c r="C120" s="4"/>
      <c r="D120" s="4"/>
      <c r="E120" s="4"/>
      <c r="F120" s="12" t="str">
        <f aca="false">IF(E120="","",IFERROR(INDEX('Reference Data'!$C$9:$C$15,MATCH(E120,'Reference Data'!$A$9:$A$15,0)),""))</f>
        <v/>
      </c>
      <c r="G120" s="4"/>
      <c r="H120" s="4"/>
    </row>
    <row r="121" customFormat="false" ht="15" hidden="false" customHeight="true" outlineLevel="0" collapsed="false">
      <c r="A121" s="4"/>
      <c r="B121" s="4"/>
      <c r="C121" s="4"/>
      <c r="D121" s="4"/>
      <c r="E121" s="4"/>
      <c r="F121" s="12" t="str">
        <f aca="false">IF(E121="","",IFERROR(INDEX('Reference Data'!$C$9:$C$15,MATCH(E121,'Reference Data'!$A$9:$A$15,0)),""))</f>
        <v/>
      </c>
      <c r="G121" s="4"/>
      <c r="H121" s="4"/>
    </row>
    <row r="122" customFormat="false" ht="15" hidden="false" customHeight="true" outlineLevel="0" collapsed="false">
      <c r="A122" s="4"/>
      <c r="B122" s="4"/>
      <c r="C122" s="4"/>
      <c r="D122" s="4"/>
      <c r="E122" s="4"/>
      <c r="F122" s="12" t="str">
        <f aca="false">IF(E122="","",IFERROR(INDEX('Reference Data'!$C$9:$C$15,MATCH(E122,'Reference Data'!$A$9:$A$15,0)),""))</f>
        <v/>
      </c>
      <c r="G122" s="4"/>
      <c r="H122" s="4"/>
    </row>
  </sheetData>
  <mergeCells count="1">
    <mergeCell ref="A1:H1"/>
  </mergeCells>
  <dataValidations count="1">
    <dataValidation allowBlank="true" errorStyle="stop" operator="between" showDropDown="false" showErrorMessage="false" showInputMessage="false" sqref="E3:E122" type="list">
      <formula1>"AUD-01,AUD-02,AUD-03,AUD-04,AUD-05,AUD-06,AUD-07"</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0"/>
    <col collapsed="false" customWidth="true" hidden="false" outlineLevel="0" max="3" min="3" style="1" width="12"/>
    <col collapsed="false" customWidth="true" hidden="false" outlineLevel="0" max="4" min="4" style="1" width="16"/>
    <col collapsed="false" customWidth="true" hidden="false" outlineLevel="0" max="6" min="5" style="1" width="14"/>
    <col collapsed="false" customWidth="true" hidden="false" outlineLevel="0" max="7" min="7" style="1" width="11"/>
    <col collapsed="false" customWidth="true" hidden="false" outlineLevel="0" max="9" min="8" style="1" width="16"/>
  </cols>
  <sheetData>
    <row r="1" customFormat="false" ht="25.5" hidden="false" customHeight="true" outlineLevel="0" collapsed="false">
      <c r="A1" s="2" t="s">
        <v>88</v>
      </c>
      <c r="B1" s="2"/>
      <c r="C1" s="2"/>
      <c r="D1" s="2"/>
      <c r="E1" s="2"/>
      <c r="F1" s="2"/>
      <c r="G1" s="2"/>
      <c r="H1" s="2"/>
      <c r="I1" s="2"/>
    </row>
    <row r="2" customFormat="false" ht="30" hidden="false" customHeight="true" outlineLevel="0" collapsed="false">
      <c r="A2" s="7" t="s">
        <v>75</v>
      </c>
      <c r="B2" s="7" t="s">
        <v>76</v>
      </c>
      <c r="C2" s="7" t="s">
        <v>89</v>
      </c>
      <c r="D2" s="7" t="s">
        <v>90</v>
      </c>
      <c r="E2" s="7" t="s">
        <v>91</v>
      </c>
      <c r="F2" s="7" t="s">
        <v>92</v>
      </c>
      <c r="G2" s="7" t="s">
        <v>93</v>
      </c>
      <c r="H2" s="7" t="s">
        <v>94</v>
      </c>
      <c r="I2" s="7" t="s">
        <v>95</v>
      </c>
    </row>
    <row r="3" customFormat="false" ht="15" hidden="false" customHeight="true" outlineLevel="0" collapsed="false">
      <c r="A3" s="10" t="s">
        <v>82</v>
      </c>
      <c r="B3" s="10" t="s">
        <v>83</v>
      </c>
      <c r="C3" s="10" t="s">
        <v>96</v>
      </c>
      <c r="D3" s="10" t="s">
        <v>96</v>
      </c>
      <c r="E3" s="10" t="s">
        <v>52</v>
      </c>
      <c r="F3" s="10" t="s">
        <v>56</v>
      </c>
      <c r="G3" s="11" t="n">
        <f aca="false">IF(OR(E3="",F3=""),"",MATCH(F3,'Reference Data'!$A$3:$A$6,0)-MATCH(E3,'Reference Data'!$A$3:$A$6,0))</f>
        <v>2</v>
      </c>
      <c r="H3" s="11" t="str">
        <f aca="false">IF(OR(C3="",G3=""),"",IF(AND(C3="High",G3&gt;=1),"Critical",IF(OR(C3="High",G3&gt;=2),"High",IF(G3&gt;=1,"Medium","Maintain"))))</f>
        <v>Critical</v>
      </c>
      <c r="I3" s="11" t="str">
        <f aca="false">IF(OR(C3="",D3=""),"",IF(C3="High",IF(D3="Low","Keep Satisfied","Manage Closely"),IF(D3="High","Keep Informed","Monitor")))</f>
        <v>Manage Closely</v>
      </c>
    </row>
    <row r="4" customFormat="false" ht="15" hidden="false" customHeight="true" outlineLevel="0" collapsed="false">
      <c r="A4" s="4"/>
      <c r="B4" s="4"/>
      <c r="C4" s="4"/>
      <c r="D4" s="4"/>
      <c r="E4" s="4"/>
      <c r="F4" s="4"/>
      <c r="G4" s="12" t="str">
        <f aca="false">IF(OR(E4="",F4=""),"",MATCH(F4,'Reference Data'!$A$3:$A$6,0)-MATCH(E4,'Reference Data'!$A$3:$A$6,0))</f>
        <v/>
      </c>
      <c r="H4" s="12" t="str">
        <f aca="false">IF(OR(C4="",G4=""),"",IF(AND(C4="High",G4&gt;=1),"Critical",IF(OR(C4="High",G4&gt;=2),"High",IF(G4&gt;=1,"Medium","Maintain"))))</f>
        <v/>
      </c>
      <c r="I4" s="12" t="str">
        <f aca="false">IF(OR(C4="",D4=""),"",IF(C4="High",IF(D4="Low","Keep Satisfied","Manage Closely"),IF(D4="High","Keep Informed","Monitor")))</f>
        <v/>
      </c>
    </row>
    <row r="5" customFormat="false" ht="15" hidden="false" customHeight="true" outlineLevel="0" collapsed="false">
      <c r="A5" s="4"/>
      <c r="B5" s="4"/>
      <c r="C5" s="4"/>
      <c r="D5" s="4"/>
      <c r="E5" s="4"/>
      <c r="F5" s="4"/>
      <c r="G5" s="12" t="str">
        <f aca="false">IF(OR(E5="",F5=""),"",MATCH(F5,'Reference Data'!$A$3:$A$6,0)-MATCH(E5,'Reference Data'!$A$3:$A$6,0))</f>
        <v/>
      </c>
      <c r="H5" s="12" t="str">
        <f aca="false">IF(OR(C5="",G5=""),"",IF(AND(C5="High",G5&gt;=1),"Critical",IF(OR(C5="High",G5&gt;=2),"High",IF(G5&gt;=1,"Medium","Maintain"))))</f>
        <v/>
      </c>
      <c r="I5" s="12" t="str">
        <f aca="false">IF(OR(C5="",D5=""),"",IF(C5="High",IF(D5="Low","Keep Satisfied","Manage Closely"),IF(D5="High","Keep Informed","Monitor")))</f>
        <v/>
      </c>
    </row>
    <row r="6" customFormat="false" ht="15" hidden="false" customHeight="true" outlineLevel="0" collapsed="false">
      <c r="A6" s="4"/>
      <c r="B6" s="4"/>
      <c r="C6" s="4"/>
      <c r="D6" s="4"/>
      <c r="E6" s="4"/>
      <c r="F6" s="4"/>
      <c r="G6" s="12" t="str">
        <f aca="false">IF(OR(E6="",F6=""),"",MATCH(F6,'Reference Data'!$A$3:$A$6,0)-MATCH(E6,'Reference Data'!$A$3:$A$6,0))</f>
        <v/>
      </c>
      <c r="H6" s="12" t="str">
        <f aca="false">IF(OR(C6="",G6=""),"",IF(AND(C6="High",G6&gt;=1),"Critical",IF(OR(C6="High",G6&gt;=2),"High",IF(G6&gt;=1,"Medium","Maintain"))))</f>
        <v/>
      </c>
      <c r="I6" s="12" t="str">
        <f aca="false">IF(OR(C6="",D6=""),"",IF(C6="High",IF(D6="Low","Keep Satisfied","Manage Closely"),IF(D6="High","Keep Informed","Monitor")))</f>
        <v/>
      </c>
    </row>
    <row r="7" customFormat="false" ht="15" hidden="false" customHeight="true" outlineLevel="0" collapsed="false">
      <c r="A7" s="4"/>
      <c r="B7" s="4"/>
      <c r="C7" s="4"/>
      <c r="D7" s="4"/>
      <c r="E7" s="4"/>
      <c r="F7" s="4"/>
      <c r="G7" s="12" t="str">
        <f aca="false">IF(OR(E7="",F7=""),"",MATCH(F7,'Reference Data'!$A$3:$A$6,0)-MATCH(E7,'Reference Data'!$A$3:$A$6,0))</f>
        <v/>
      </c>
      <c r="H7" s="12" t="str">
        <f aca="false">IF(OR(C7="",G7=""),"",IF(AND(C7="High",G7&gt;=1),"Critical",IF(OR(C7="High",G7&gt;=2),"High",IF(G7&gt;=1,"Medium","Maintain"))))</f>
        <v/>
      </c>
      <c r="I7" s="12" t="str">
        <f aca="false">IF(OR(C7="",D7=""),"",IF(C7="High",IF(D7="Low","Keep Satisfied","Manage Closely"),IF(D7="High","Keep Informed","Monitor")))</f>
        <v/>
      </c>
    </row>
    <row r="8" customFormat="false" ht="15" hidden="false" customHeight="true" outlineLevel="0" collapsed="false">
      <c r="A8" s="4"/>
      <c r="B8" s="4"/>
      <c r="C8" s="4"/>
      <c r="D8" s="4"/>
      <c r="E8" s="4"/>
      <c r="F8" s="4"/>
      <c r="G8" s="12" t="str">
        <f aca="false">IF(OR(E8="",F8=""),"",MATCH(F8,'Reference Data'!$A$3:$A$6,0)-MATCH(E8,'Reference Data'!$A$3:$A$6,0))</f>
        <v/>
      </c>
      <c r="H8" s="12" t="str">
        <f aca="false">IF(OR(C8="",G8=""),"",IF(AND(C8="High",G8&gt;=1),"Critical",IF(OR(C8="High",G8&gt;=2),"High",IF(G8&gt;=1,"Medium","Maintain"))))</f>
        <v/>
      </c>
      <c r="I8" s="12" t="str">
        <f aca="false">IF(OR(C8="",D8=""),"",IF(C8="High",IF(D8="Low","Keep Satisfied","Manage Closely"),IF(D8="High","Keep Informed","Monitor")))</f>
        <v/>
      </c>
    </row>
    <row r="9" customFormat="false" ht="15" hidden="false" customHeight="true" outlineLevel="0" collapsed="false">
      <c r="A9" s="4"/>
      <c r="B9" s="4"/>
      <c r="C9" s="4"/>
      <c r="D9" s="4"/>
      <c r="E9" s="4"/>
      <c r="F9" s="4"/>
      <c r="G9" s="12" t="str">
        <f aca="false">IF(OR(E9="",F9=""),"",MATCH(F9,'Reference Data'!$A$3:$A$6,0)-MATCH(E9,'Reference Data'!$A$3:$A$6,0))</f>
        <v/>
      </c>
      <c r="H9" s="12" t="str">
        <f aca="false">IF(OR(C9="",G9=""),"",IF(AND(C9="High",G9&gt;=1),"Critical",IF(OR(C9="High",G9&gt;=2),"High",IF(G9&gt;=1,"Medium","Maintain"))))</f>
        <v/>
      </c>
      <c r="I9" s="12" t="str">
        <f aca="false">IF(OR(C9="",D9=""),"",IF(C9="High",IF(D9="Low","Keep Satisfied","Manage Closely"),IF(D9="High","Keep Informed","Monitor")))</f>
        <v/>
      </c>
    </row>
    <row r="10" customFormat="false" ht="15" hidden="false" customHeight="true" outlineLevel="0" collapsed="false">
      <c r="A10" s="4"/>
      <c r="B10" s="4"/>
      <c r="C10" s="4"/>
      <c r="D10" s="4"/>
      <c r="E10" s="4"/>
      <c r="F10" s="4"/>
      <c r="G10" s="12" t="str">
        <f aca="false">IF(OR(E10="",F10=""),"",MATCH(F10,'Reference Data'!$A$3:$A$6,0)-MATCH(E10,'Reference Data'!$A$3:$A$6,0))</f>
        <v/>
      </c>
      <c r="H10" s="12" t="str">
        <f aca="false">IF(OR(C10="",G10=""),"",IF(AND(C10="High",G10&gt;=1),"Critical",IF(OR(C10="High",G10&gt;=2),"High",IF(G10&gt;=1,"Medium","Maintain"))))</f>
        <v/>
      </c>
      <c r="I10" s="12" t="str">
        <f aca="false">IF(OR(C10="",D10=""),"",IF(C10="High",IF(D10="Low","Keep Satisfied","Manage Closely"),IF(D10="High","Keep Informed","Monitor")))</f>
        <v/>
      </c>
    </row>
    <row r="11" customFormat="false" ht="15" hidden="false" customHeight="true" outlineLevel="0" collapsed="false">
      <c r="A11" s="4"/>
      <c r="B11" s="4"/>
      <c r="C11" s="4"/>
      <c r="D11" s="4"/>
      <c r="E11" s="4"/>
      <c r="F11" s="4"/>
      <c r="G11" s="12" t="str">
        <f aca="false">IF(OR(E11="",F11=""),"",MATCH(F11,'Reference Data'!$A$3:$A$6,0)-MATCH(E11,'Reference Data'!$A$3:$A$6,0))</f>
        <v/>
      </c>
      <c r="H11" s="12" t="str">
        <f aca="false">IF(OR(C11="",G11=""),"",IF(AND(C11="High",G11&gt;=1),"Critical",IF(OR(C11="High",G11&gt;=2),"High",IF(G11&gt;=1,"Medium","Maintain"))))</f>
        <v/>
      </c>
      <c r="I11" s="12" t="str">
        <f aca="false">IF(OR(C11="",D11=""),"",IF(C11="High",IF(D11="Low","Keep Satisfied","Manage Closely"),IF(D11="High","Keep Informed","Monitor")))</f>
        <v/>
      </c>
    </row>
    <row r="12" customFormat="false" ht="15" hidden="false" customHeight="true" outlineLevel="0" collapsed="false">
      <c r="A12" s="4"/>
      <c r="B12" s="4"/>
      <c r="C12" s="4"/>
      <c r="D12" s="4"/>
      <c r="E12" s="4"/>
      <c r="F12" s="4"/>
      <c r="G12" s="12" t="str">
        <f aca="false">IF(OR(E12="",F12=""),"",MATCH(F12,'Reference Data'!$A$3:$A$6,0)-MATCH(E12,'Reference Data'!$A$3:$A$6,0))</f>
        <v/>
      </c>
      <c r="H12" s="12" t="str">
        <f aca="false">IF(OR(C12="",G12=""),"",IF(AND(C12="High",G12&gt;=1),"Critical",IF(OR(C12="High",G12&gt;=2),"High",IF(G12&gt;=1,"Medium","Maintain"))))</f>
        <v/>
      </c>
      <c r="I12" s="12" t="str">
        <f aca="false">IF(OR(C12="",D12=""),"",IF(C12="High",IF(D12="Low","Keep Satisfied","Manage Closely"),IF(D12="High","Keep Informed","Monitor")))</f>
        <v/>
      </c>
    </row>
    <row r="13" customFormat="false" ht="15" hidden="false" customHeight="true" outlineLevel="0" collapsed="false">
      <c r="A13" s="4"/>
      <c r="B13" s="4"/>
      <c r="C13" s="4"/>
      <c r="D13" s="4"/>
      <c r="E13" s="4"/>
      <c r="F13" s="4"/>
      <c r="G13" s="12" t="str">
        <f aca="false">IF(OR(E13="",F13=""),"",MATCH(F13,'Reference Data'!$A$3:$A$6,0)-MATCH(E13,'Reference Data'!$A$3:$A$6,0))</f>
        <v/>
      </c>
      <c r="H13" s="12" t="str">
        <f aca="false">IF(OR(C13="",G13=""),"",IF(AND(C13="High",G13&gt;=1),"Critical",IF(OR(C13="High",G13&gt;=2),"High",IF(G13&gt;=1,"Medium","Maintain"))))</f>
        <v/>
      </c>
      <c r="I13" s="12" t="str">
        <f aca="false">IF(OR(C13="",D13=""),"",IF(C13="High",IF(D13="Low","Keep Satisfied","Manage Closely"),IF(D13="High","Keep Informed","Monitor")))</f>
        <v/>
      </c>
    </row>
    <row r="14" customFormat="false" ht="15" hidden="false" customHeight="true" outlineLevel="0" collapsed="false">
      <c r="A14" s="4"/>
      <c r="B14" s="4"/>
      <c r="C14" s="4"/>
      <c r="D14" s="4"/>
      <c r="E14" s="4"/>
      <c r="F14" s="4"/>
      <c r="G14" s="12" t="str">
        <f aca="false">IF(OR(E14="",F14=""),"",MATCH(F14,'Reference Data'!$A$3:$A$6,0)-MATCH(E14,'Reference Data'!$A$3:$A$6,0))</f>
        <v/>
      </c>
      <c r="H14" s="12" t="str">
        <f aca="false">IF(OR(C14="",G14=""),"",IF(AND(C14="High",G14&gt;=1),"Critical",IF(OR(C14="High",G14&gt;=2),"High",IF(G14&gt;=1,"Medium","Maintain"))))</f>
        <v/>
      </c>
      <c r="I14" s="12" t="str">
        <f aca="false">IF(OR(C14="",D14=""),"",IF(C14="High",IF(D14="Low","Keep Satisfied","Manage Closely"),IF(D14="High","Keep Informed","Monitor")))</f>
        <v/>
      </c>
    </row>
    <row r="15" customFormat="false" ht="15" hidden="false" customHeight="true" outlineLevel="0" collapsed="false">
      <c r="A15" s="4"/>
      <c r="B15" s="4"/>
      <c r="C15" s="4"/>
      <c r="D15" s="4"/>
      <c r="E15" s="4"/>
      <c r="F15" s="4"/>
      <c r="G15" s="12" t="str">
        <f aca="false">IF(OR(E15="",F15=""),"",MATCH(F15,'Reference Data'!$A$3:$A$6,0)-MATCH(E15,'Reference Data'!$A$3:$A$6,0))</f>
        <v/>
      </c>
      <c r="H15" s="12" t="str">
        <f aca="false">IF(OR(C15="",G15=""),"",IF(AND(C15="High",G15&gt;=1),"Critical",IF(OR(C15="High",G15&gt;=2),"High",IF(G15&gt;=1,"Medium","Maintain"))))</f>
        <v/>
      </c>
      <c r="I15" s="12" t="str">
        <f aca="false">IF(OR(C15="",D15=""),"",IF(C15="High",IF(D15="Low","Keep Satisfied","Manage Closely"),IF(D15="High","Keep Informed","Monitor")))</f>
        <v/>
      </c>
    </row>
    <row r="16" customFormat="false" ht="15" hidden="false" customHeight="true" outlineLevel="0" collapsed="false">
      <c r="A16" s="4"/>
      <c r="B16" s="4"/>
      <c r="C16" s="4"/>
      <c r="D16" s="4"/>
      <c r="E16" s="4"/>
      <c r="F16" s="4"/>
      <c r="G16" s="12" t="str">
        <f aca="false">IF(OR(E16="",F16=""),"",MATCH(F16,'Reference Data'!$A$3:$A$6,0)-MATCH(E16,'Reference Data'!$A$3:$A$6,0))</f>
        <v/>
      </c>
      <c r="H16" s="12" t="str">
        <f aca="false">IF(OR(C16="",G16=""),"",IF(AND(C16="High",G16&gt;=1),"Critical",IF(OR(C16="High",G16&gt;=2),"High",IF(G16&gt;=1,"Medium","Maintain"))))</f>
        <v/>
      </c>
      <c r="I16" s="12" t="str">
        <f aca="false">IF(OR(C16="",D16=""),"",IF(C16="High",IF(D16="Low","Keep Satisfied","Manage Closely"),IF(D16="High","Keep Informed","Monitor")))</f>
        <v/>
      </c>
    </row>
    <row r="17" customFormat="false" ht="15" hidden="false" customHeight="true" outlineLevel="0" collapsed="false">
      <c r="A17" s="4"/>
      <c r="B17" s="4"/>
      <c r="C17" s="4"/>
      <c r="D17" s="4"/>
      <c r="E17" s="4"/>
      <c r="F17" s="4"/>
      <c r="G17" s="12" t="str">
        <f aca="false">IF(OR(E17="",F17=""),"",MATCH(F17,'Reference Data'!$A$3:$A$6,0)-MATCH(E17,'Reference Data'!$A$3:$A$6,0))</f>
        <v/>
      </c>
      <c r="H17" s="12" t="str">
        <f aca="false">IF(OR(C17="",G17=""),"",IF(AND(C17="High",G17&gt;=1),"Critical",IF(OR(C17="High",G17&gt;=2),"High",IF(G17&gt;=1,"Medium","Maintain"))))</f>
        <v/>
      </c>
      <c r="I17" s="12" t="str">
        <f aca="false">IF(OR(C17="",D17=""),"",IF(C17="High",IF(D17="Low","Keep Satisfied","Manage Closely"),IF(D17="High","Keep Informed","Monitor")))</f>
        <v/>
      </c>
    </row>
    <row r="18" customFormat="false" ht="15" hidden="false" customHeight="true" outlineLevel="0" collapsed="false">
      <c r="A18" s="4"/>
      <c r="B18" s="4"/>
      <c r="C18" s="4"/>
      <c r="D18" s="4"/>
      <c r="E18" s="4"/>
      <c r="F18" s="4"/>
      <c r="G18" s="12" t="str">
        <f aca="false">IF(OR(E18="",F18=""),"",MATCH(F18,'Reference Data'!$A$3:$A$6,0)-MATCH(E18,'Reference Data'!$A$3:$A$6,0))</f>
        <v/>
      </c>
      <c r="H18" s="12" t="str">
        <f aca="false">IF(OR(C18="",G18=""),"",IF(AND(C18="High",G18&gt;=1),"Critical",IF(OR(C18="High",G18&gt;=2),"High",IF(G18&gt;=1,"Medium","Maintain"))))</f>
        <v/>
      </c>
      <c r="I18" s="12" t="str">
        <f aca="false">IF(OR(C18="",D18=""),"",IF(C18="High",IF(D18="Low","Keep Satisfied","Manage Closely"),IF(D18="High","Keep Informed","Monitor")))</f>
        <v/>
      </c>
    </row>
    <row r="19" customFormat="false" ht="15" hidden="false" customHeight="true" outlineLevel="0" collapsed="false">
      <c r="A19" s="4"/>
      <c r="B19" s="4"/>
      <c r="C19" s="4"/>
      <c r="D19" s="4"/>
      <c r="E19" s="4"/>
      <c r="F19" s="4"/>
      <c r="G19" s="12" t="str">
        <f aca="false">IF(OR(E19="",F19=""),"",MATCH(F19,'Reference Data'!$A$3:$A$6,0)-MATCH(E19,'Reference Data'!$A$3:$A$6,0))</f>
        <v/>
      </c>
      <c r="H19" s="12" t="str">
        <f aca="false">IF(OR(C19="",G19=""),"",IF(AND(C19="High",G19&gt;=1),"Critical",IF(OR(C19="High",G19&gt;=2),"High",IF(G19&gt;=1,"Medium","Maintain"))))</f>
        <v/>
      </c>
      <c r="I19" s="12" t="str">
        <f aca="false">IF(OR(C19="",D19=""),"",IF(C19="High",IF(D19="Low","Keep Satisfied","Manage Closely"),IF(D19="High","Keep Informed","Monitor")))</f>
        <v/>
      </c>
    </row>
    <row r="20" customFormat="false" ht="15" hidden="false" customHeight="true" outlineLevel="0" collapsed="false">
      <c r="A20" s="4"/>
      <c r="B20" s="4"/>
      <c r="C20" s="4"/>
      <c r="D20" s="4"/>
      <c r="E20" s="4"/>
      <c r="F20" s="4"/>
      <c r="G20" s="12" t="str">
        <f aca="false">IF(OR(E20="",F20=""),"",MATCH(F20,'Reference Data'!$A$3:$A$6,0)-MATCH(E20,'Reference Data'!$A$3:$A$6,0))</f>
        <v/>
      </c>
      <c r="H20" s="12" t="str">
        <f aca="false">IF(OR(C20="",G20=""),"",IF(AND(C20="High",G20&gt;=1),"Critical",IF(OR(C20="High",G20&gt;=2),"High",IF(G20&gt;=1,"Medium","Maintain"))))</f>
        <v/>
      </c>
      <c r="I20" s="12" t="str">
        <f aca="false">IF(OR(C20="",D20=""),"",IF(C20="High",IF(D20="Low","Keep Satisfied","Manage Closely"),IF(D20="High","Keep Informed","Monitor")))</f>
        <v/>
      </c>
    </row>
    <row r="21" customFormat="false" ht="15" hidden="false" customHeight="true" outlineLevel="0" collapsed="false">
      <c r="A21" s="4"/>
      <c r="B21" s="4"/>
      <c r="C21" s="4"/>
      <c r="D21" s="4"/>
      <c r="E21" s="4"/>
      <c r="F21" s="4"/>
      <c r="G21" s="12" t="str">
        <f aca="false">IF(OR(E21="",F21=""),"",MATCH(F21,'Reference Data'!$A$3:$A$6,0)-MATCH(E21,'Reference Data'!$A$3:$A$6,0))</f>
        <v/>
      </c>
      <c r="H21" s="12" t="str">
        <f aca="false">IF(OR(C21="",G21=""),"",IF(AND(C21="High",G21&gt;=1),"Critical",IF(OR(C21="High",G21&gt;=2),"High",IF(G21&gt;=1,"Medium","Maintain"))))</f>
        <v/>
      </c>
      <c r="I21" s="12" t="str">
        <f aca="false">IF(OR(C21="",D21=""),"",IF(C21="High",IF(D21="Low","Keep Satisfied","Manage Closely"),IF(D21="High","Keep Informed","Monitor")))</f>
        <v/>
      </c>
    </row>
    <row r="22" customFormat="false" ht="15" hidden="false" customHeight="true" outlineLevel="0" collapsed="false">
      <c r="A22" s="4"/>
      <c r="B22" s="4"/>
      <c r="C22" s="4"/>
      <c r="D22" s="4"/>
      <c r="E22" s="4"/>
      <c r="F22" s="4"/>
      <c r="G22" s="12" t="str">
        <f aca="false">IF(OR(E22="",F22=""),"",MATCH(F22,'Reference Data'!$A$3:$A$6,0)-MATCH(E22,'Reference Data'!$A$3:$A$6,0))</f>
        <v/>
      </c>
      <c r="H22" s="12" t="str">
        <f aca="false">IF(OR(C22="",G22=""),"",IF(AND(C22="High",G22&gt;=1),"Critical",IF(OR(C22="High",G22&gt;=2),"High",IF(G22&gt;=1,"Medium","Maintain"))))</f>
        <v/>
      </c>
      <c r="I22" s="12" t="str">
        <f aca="false">IF(OR(C22="",D22=""),"",IF(C22="High",IF(D22="Low","Keep Satisfied","Manage Closely"),IF(D22="High","Keep Informed","Monitor")))</f>
        <v/>
      </c>
    </row>
    <row r="23" customFormat="false" ht="15" hidden="false" customHeight="true" outlineLevel="0" collapsed="false">
      <c r="A23" s="4"/>
      <c r="B23" s="4"/>
      <c r="C23" s="4"/>
      <c r="D23" s="4"/>
      <c r="E23" s="4"/>
      <c r="F23" s="4"/>
      <c r="G23" s="12" t="str">
        <f aca="false">IF(OR(E23="",F23=""),"",MATCH(F23,'Reference Data'!$A$3:$A$6,0)-MATCH(E23,'Reference Data'!$A$3:$A$6,0))</f>
        <v/>
      </c>
      <c r="H23" s="12" t="str">
        <f aca="false">IF(OR(C23="",G23=""),"",IF(AND(C23="High",G23&gt;=1),"Critical",IF(OR(C23="High",G23&gt;=2),"High",IF(G23&gt;=1,"Medium","Maintain"))))</f>
        <v/>
      </c>
      <c r="I23" s="12" t="str">
        <f aca="false">IF(OR(C23="",D23=""),"",IF(C23="High",IF(D23="Low","Keep Satisfied","Manage Closely"),IF(D23="High","Keep Informed","Monitor")))</f>
        <v/>
      </c>
    </row>
    <row r="24" customFormat="false" ht="15" hidden="false" customHeight="true" outlineLevel="0" collapsed="false">
      <c r="A24" s="4"/>
      <c r="B24" s="4"/>
      <c r="C24" s="4"/>
      <c r="D24" s="4"/>
      <c r="E24" s="4"/>
      <c r="F24" s="4"/>
      <c r="G24" s="12" t="str">
        <f aca="false">IF(OR(E24="",F24=""),"",MATCH(F24,'Reference Data'!$A$3:$A$6,0)-MATCH(E24,'Reference Data'!$A$3:$A$6,0))</f>
        <v/>
      </c>
      <c r="H24" s="12" t="str">
        <f aca="false">IF(OR(C24="",G24=""),"",IF(AND(C24="High",G24&gt;=1),"Critical",IF(OR(C24="High",G24&gt;=2),"High",IF(G24&gt;=1,"Medium","Maintain"))))</f>
        <v/>
      </c>
      <c r="I24" s="12" t="str">
        <f aca="false">IF(OR(C24="",D24=""),"",IF(C24="High",IF(D24="Low","Keep Satisfied","Manage Closely"),IF(D24="High","Keep Informed","Monitor")))</f>
        <v/>
      </c>
    </row>
    <row r="25" customFormat="false" ht="15" hidden="false" customHeight="true" outlineLevel="0" collapsed="false">
      <c r="A25" s="4"/>
      <c r="B25" s="4"/>
      <c r="C25" s="4"/>
      <c r="D25" s="4"/>
      <c r="E25" s="4"/>
      <c r="F25" s="4"/>
      <c r="G25" s="12" t="str">
        <f aca="false">IF(OR(E25="",F25=""),"",MATCH(F25,'Reference Data'!$A$3:$A$6,0)-MATCH(E25,'Reference Data'!$A$3:$A$6,0))</f>
        <v/>
      </c>
      <c r="H25" s="12" t="str">
        <f aca="false">IF(OR(C25="",G25=""),"",IF(AND(C25="High",G25&gt;=1),"Critical",IF(OR(C25="High",G25&gt;=2),"High",IF(G25&gt;=1,"Medium","Maintain"))))</f>
        <v/>
      </c>
      <c r="I25" s="12" t="str">
        <f aca="false">IF(OR(C25="",D25=""),"",IF(C25="High",IF(D25="Low","Keep Satisfied","Manage Closely"),IF(D25="High","Keep Informed","Monitor")))</f>
        <v/>
      </c>
    </row>
    <row r="26" customFormat="false" ht="15" hidden="false" customHeight="true" outlineLevel="0" collapsed="false">
      <c r="A26" s="4"/>
      <c r="B26" s="4"/>
      <c r="C26" s="4"/>
      <c r="D26" s="4"/>
      <c r="E26" s="4"/>
      <c r="F26" s="4"/>
      <c r="G26" s="12" t="str">
        <f aca="false">IF(OR(E26="",F26=""),"",MATCH(F26,'Reference Data'!$A$3:$A$6,0)-MATCH(E26,'Reference Data'!$A$3:$A$6,0))</f>
        <v/>
      </c>
      <c r="H26" s="12" t="str">
        <f aca="false">IF(OR(C26="",G26=""),"",IF(AND(C26="High",G26&gt;=1),"Critical",IF(OR(C26="High",G26&gt;=2),"High",IF(G26&gt;=1,"Medium","Maintain"))))</f>
        <v/>
      </c>
      <c r="I26" s="12" t="str">
        <f aca="false">IF(OR(C26="",D26=""),"",IF(C26="High",IF(D26="Low","Keep Satisfied","Manage Closely"),IF(D26="High","Keep Informed","Monitor")))</f>
        <v/>
      </c>
    </row>
    <row r="27" customFormat="false" ht="15" hidden="false" customHeight="true" outlineLevel="0" collapsed="false">
      <c r="A27" s="4"/>
      <c r="B27" s="4"/>
      <c r="C27" s="4"/>
      <c r="D27" s="4"/>
      <c r="E27" s="4"/>
      <c r="F27" s="4"/>
      <c r="G27" s="12" t="str">
        <f aca="false">IF(OR(E27="",F27=""),"",MATCH(F27,'Reference Data'!$A$3:$A$6,0)-MATCH(E27,'Reference Data'!$A$3:$A$6,0))</f>
        <v/>
      </c>
      <c r="H27" s="12" t="str">
        <f aca="false">IF(OR(C27="",G27=""),"",IF(AND(C27="High",G27&gt;=1),"Critical",IF(OR(C27="High",G27&gt;=2),"High",IF(G27&gt;=1,"Medium","Maintain"))))</f>
        <v/>
      </c>
      <c r="I27" s="12" t="str">
        <f aca="false">IF(OR(C27="",D27=""),"",IF(C27="High",IF(D27="Low","Keep Satisfied","Manage Closely"),IF(D27="High","Keep Informed","Monitor")))</f>
        <v/>
      </c>
    </row>
    <row r="28" customFormat="false" ht="15" hidden="false" customHeight="true" outlineLevel="0" collapsed="false">
      <c r="A28" s="4"/>
      <c r="B28" s="4"/>
      <c r="C28" s="4"/>
      <c r="D28" s="4"/>
      <c r="E28" s="4"/>
      <c r="F28" s="4"/>
      <c r="G28" s="12" t="str">
        <f aca="false">IF(OR(E28="",F28=""),"",MATCH(F28,'Reference Data'!$A$3:$A$6,0)-MATCH(E28,'Reference Data'!$A$3:$A$6,0))</f>
        <v/>
      </c>
      <c r="H28" s="12" t="str">
        <f aca="false">IF(OR(C28="",G28=""),"",IF(AND(C28="High",G28&gt;=1),"Critical",IF(OR(C28="High",G28&gt;=2),"High",IF(G28&gt;=1,"Medium","Maintain"))))</f>
        <v/>
      </c>
      <c r="I28" s="12" t="str">
        <f aca="false">IF(OR(C28="",D28=""),"",IF(C28="High",IF(D28="Low","Keep Satisfied","Manage Closely"),IF(D28="High","Keep Informed","Monitor")))</f>
        <v/>
      </c>
    </row>
    <row r="29" customFormat="false" ht="15" hidden="false" customHeight="true" outlineLevel="0" collapsed="false">
      <c r="A29" s="4"/>
      <c r="B29" s="4"/>
      <c r="C29" s="4"/>
      <c r="D29" s="4"/>
      <c r="E29" s="4"/>
      <c r="F29" s="4"/>
      <c r="G29" s="12" t="str">
        <f aca="false">IF(OR(E29="",F29=""),"",MATCH(F29,'Reference Data'!$A$3:$A$6,0)-MATCH(E29,'Reference Data'!$A$3:$A$6,0))</f>
        <v/>
      </c>
      <c r="H29" s="12" t="str">
        <f aca="false">IF(OR(C29="",G29=""),"",IF(AND(C29="High",G29&gt;=1),"Critical",IF(OR(C29="High",G29&gt;=2),"High",IF(G29&gt;=1,"Medium","Maintain"))))</f>
        <v/>
      </c>
      <c r="I29" s="12" t="str">
        <f aca="false">IF(OR(C29="",D29=""),"",IF(C29="High",IF(D29="Low","Keep Satisfied","Manage Closely"),IF(D29="High","Keep Informed","Monitor")))</f>
        <v/>
      </c>
    </row>
    <row r="30" customFormat="false" ht="15" hidden="false" customHeight="true" outlineLevel="0" collapsed="false">
      <c r="A30" s="4"/>
      <c r="B30" s="4"/>
      <c r="C30" s="4"/>
      <c r="D30" s="4"/>
      <c r="E30" s="4"/>
      <c r="F30" s="4"/>
      <c r="G30" s="12" t="str">
        <f aca="false">IF(OR(E30="",F30=""),"",MATCH(F30,'Reference Data'!$A$3:$A$6,0)-MATCH(E30,'Reference Data'!$A$3:$A$6,0))</f>
        <v/>
      </c>
      <c r="H30" s="12" t="str">
        <f aca="false">IF(OR(C30="",G30=""),"",IF(AND(C30="High",G30&gt;=1),"Critical",IF(OR(C30="High",G30&gt;=2),"High",IF(G30&gt;=1,"Medium","Maintain"))))</f>
        <v/>
      </c>
      <c r="I30" s="12" t="str">
        <f aca="false">IF(OR(C30="",D30=""),"",IF(C30="High",IF(D30="Low","Keep Satisfied","Manage Closely"),IF(D30="High","Keep Informed","Monitor")))</f>
        <v/>
      </c>
    </row>
    <row r="31" customFormat="false" ht="15" hidden="false" customHeight="true" outlineLevel="0" collapsed="false">
      <c r="A31" s="4"/>
      <c r="B31" s="4"/>
      <c r="C31" s="4"/>
      <c r="D31" s="4"/>
      <c r="E31" s="4"/>
      <c r="F31" s="4"/>
      <c r="G31" s="12" t="str">
        <f aca="false">IF(OR(E31="",F31=""),"",MATCH(F31,'Reference Data'!$A$3:$A$6,0)-MATCH(E31,'Reference Data'!$A$3:$A$6,0))</f>
        <v/>
      </c>
      <c r="H31" s="12" t="str">
        <f aca="false">IF(OR(C31="",G31=""),"",IF(AND(C31="High",G31&gt;=1),"Critical",IF(OR(C31="High",G31&gt;=2),"High",IF(G31&gt;=1,"Medium","Maintain"))))</f>
        <v/>
      </c>
      <c r="I31" s="12" t="str">
        <f aca="false">IF(OR(C31="",D31=""),"",IF(C31="High",IF(D31="Low","Keep Satisfied","Manage Closely"),IF(D31="High","Keep Informed","Monitor")))</f>
        <v/>
      </c>
    </row>
    <row r="32" customFormat="false" ht="15" hidden="false" customHeight="true" outlineLevel="0" collapsed="false">
      <c r="A32" s="4"/>
      <c r="B32" s="4"/>
      <c r="C32" s="4"/>
      <c r="D32" s="4"/>
      <c r="E32" s="4"/>
      <c r="F32" s="4"/>
      <c r="G32" s="12" t="str">
        <f aca="false">IF(OR(E32="",F32=""),"",MATCH(F32,'Reference Data'!$A$3:$A$6,0)-MATCH(E32,'Reference Data'!$A$3:$A$6,0))</f>
        <v/>
      </c>
      <c r="H32" s="12" t="str">
        <f aca="false">IF(OR(C32="",G32=""),"",IF(AND(C32="High",G32&gt;=1),"Critical",IF(OR(C32="High",G32&gt;=2),"High",IF(G32&gt;=1,"Medium","Maintain"))))</f>
        <v/>
      </c>
      <c r="I32" s="12" t="str">
        <f aca="false">IF(OR(C32="",D32=""),"",IF(C32="High",IF(D32="Low","Keep Satisfied","Manage Closely"),IF(D32="High","Keep Informed","Monitor")))</f>
        <v/>
      </c>
    </row>
    <row r="33" customFormat="false" ht="15" hidden="false" customHeight="true" outlineLevel="0" collapsed="false">
      <c r="A33" s="4"/>
      <c r="B33" s="4"/>
      <c r="C33" s="4"/>
      <c r="D33" s="4"/>
      <c r="E33" s="4"/>
      <c r="F33" s="4"/>
      <c r="G33" s="12" t="str">
        <f aca="false">IF(OR(E33="",F33=""),"",MATCH(F33,'Reference Data'!$A$3:$A$6,0)-MATCH(E33,'Reference Data'!$A$3:$A$6,0))</f>
        <v/>
      </c>
      <c r="H33" s="12" t="str">
        <f aca="false">IF(OR(C33="",G33=""),"",IF(AND(C33="High",G33&gt;=1),"Critical",IF(OR(C33="High",G33&gt;=2),"High",IF(G33&gt;=1,"Medium","Maintain"))))</f>
        <v/>
      </c>
      <c r="I33" s="12" t="str">
        <f aca="false">IF(OR(C33="",D33=""),"",IF(C33="High",IF(D33="Low","Keep Satisfied","Manage Closely"),IF(D33="High","Keep Informed","Monitor")))</f>
        <v/>
      </c>
    </row>
    <row r="34" customFormat="false" ht="15" hidden="false" customHeight="true" outlineLevel="0" collapsed="false">
      <c r="A34" s="4"/>
      <c r="B34" s="4"/>
      <c r="C34" s="4"/>
      <c r="D34" s="4"/>
      <c r="E34" s="4"/>
      <c r="F34" s="4"/>
      <c r="G34" s="12" t="str">
        <f aca="false">IF(OR(E34="",F34=""),"",MATCH(F34,'Reference Data'!$A$3:$A$6,0)-MATCH(E34,'Reference Data'!$A$3:$A$6,0))</f>
        <v/>
      </c>
      <c r="H34" s="12" t="str">
        <f aca="false">IF(OR(C34="",G34=""),"",IF(AND(C34="High",G34&gt;=1),"Critical",IF(OR(C34="High",G34&gt;=2),"High",IF(G34&gt;=1,"Medium","Maintain"))))</f>
        <v/>
      </c>
      <c r="I34" s="12" t="str">
        <f aca="false">IF(OR(C34="",D34=""),"",IF(C34="High",IF(D34="Low","Keep Satisfied","Manage Closely"),IF(D34="High","Keep Informed","Monitor")))</f>
        <v/>
      </c>
    </row>
    <row r="35" customFormat="false" ht="15" hidden="false" customHeight="true" outlineLevel="0" collapsed="false">
      <c r="A35" s="4"/>
      <c r="B35" s="4"/>
      <c r="C35" s="4"/>
      <c r="D35" s="4"/>
      <c r="E35" s="4"/>
      <c r="F35" s="4"/>
      <c r="G35" s="12" t="str">
        <f aca="false">IF(OR(E35="",F35=""),"",MATCH(F35,'Reference Data'!$A$3:$A$6,0)-MATCH(E35,'Reference Data'!$A$3:$A$6,0))</f>
        <v/>
      </c>
      <c r="H35" s="12" t="str">
        <f aca="false">IF(OR(C35="",G35=""),"",IF(AND(C35="High",G35&gt;=1),"Critical",IF(OR(C35="High",G35&gt;=2),"High",IF(G35&gt;=1,"Medium","Maintain"))))</f>
        <v/>
      </c>
      <c r="I35" s="12" t="str">
        <f aca="false">IF(OR(C35="",D35=""),"",IF(C35="High",IF(D35="Low","Keep Satisfied","Manage Closely"),IF(D35="High","Keep Informed","Monitor")))</f>
        <v/>
      </c>
    </row>
    <row r="36" customFormat="false" ht="15" hidden="false" customHeight="true" outlineLevel="0" collapsed="false">
      <c r="A36" s="4"/>
      <c r="B36" s="4"/>
      <c r="C36" s="4"/>
      <c r="D36" s="4"/>
      <c r="E36" s="4"/>
      <c r="F36" s="4"/>
      <c r="G36" s="12" t="str">
        <f aca="false">IF(OR(E36="",F36=""),"",MATCH(F36,'Reference Data'!$A$3:$A$6,0)-MATCH(E36,'Reference Data'!$A$3:$A$6,0))</f>
        <v/>
      </c>
      <c r="H36" s="12" t="str">
        <f aca="false">IF(OR(C36="",G36=""),"",IF(AND(C36="High",G36&gt;=1),"Critical",IF(OR(C36="High",G36&gt;=2),"High",IF(G36&gt;=1,"Medium","Maintain"))))</f>
        <v/>
      </c>
      <c r="I36" s="12" t="str">
        <f aca="false">IF(OR(C36="",D36=""),"",IF(C36="High",IF(D36="Low","Keep Satisfied","Manage Closely"),IF(D36="High","Keep Informed","Monitor")))</f>
        <v/>
      </c>
    </row>
    <row r="37" customFormat="false" ht="15" hidden="false" customHeight="true" outlineLevel="0" collapsed="false">
      <c r="A37" s="4"/>
      <c r="B37" s="4"/>
      <c r="C37" s="4"/>
      <c r="D37" s="4"/>
      <c r="E37" s="4"/>
      <c r="F37" s="4"/>
      <c r="G37" s="12" t="str">
        <f aca="false">IF(OR(E37="",F37=""),"",MATCH(F37,'Reference Data'!$A$3:$A$6,0)-MATCH(E37,'Reference Data'!$A$3:$A$6,0))</f>
        <v/>
      </c>
      <c r="H37" s="12" t="str">
        <f aca="false">IF(OR(C37="",G37=""),"",IF(AND(C37="High",G37&gt;=1),"Critical",IF(OR(C37="High",G37&gt;=2),"High",IF(G37&gt;=1,"Medium","Maintain"))))</f>
        <v/>
      </c>
      <c r="I37" s="12" t="str">
        <f aca="false">IF(OR(C37="",D37=""),"",IF(C37="High",IF(D37="Low","Keep Satisfied","Manage Closely"),IF(D37="High","Keep Informed","Monitor")))</f>
        <v/>
      </c>
    </row>
    <row r="38" customFormat="false" ht="15" hidden="false" customHeight="true" outlineLevel="0" collapsed="false">
      <c r="A38" s="4"/>
      <c r="B38" s="4"/>
      <c r="C38" s="4"/>
      <c r="D38" s="4"/>
      <c r="E38" s="4"/>
      <c r="F38" s="4"/>
      <c r="G38" s="12" t="str">
        <f aca="false">IF(OR(E38="",F38=""),"",MATCH(F38,'Reference Data'!$A$3:$A$6,0)-MATCH(E38,'Reference Data'!$A$3:$A$6,0))</f>
        <v/>
      </c>
      <c r="H38" s="12" t="str">
        <f aca="false">IF(OR(C38="",G38=""),"",IF(AND(C38="High",G38&gt;=1),"Critical",IF(OR(C38="High",G38&gt;=2),"High",IF(G38&gt;=1,"Medium","Maintain"))))</f>
        <v/>
      </c>
      <c r="I38" s="12" t="str">
        <f aca="false">IF(OR(C38="",D38=""),"",IF(C38="High",IF(D38="Low","Keep Satisfied","Manage Closely"),IF(D38="High","Keep Informed","Monitor")))</f>
        <v/>
      </c>
    </row>
    <row r="39" customFormat="false" ht="15" hidden="false" customHeight="true" outlineLevel="0" collapsed="false">
      <c r="A39" s="4"/>
      <c r="B39" s="4"/>
      <c r="C39" s="4"/>
      <c r="D39" s="4"/>
      <c r="E39" s="4"/>
      <c r="F39" s="4"/>
      <c r="G39" s="12" t="str">
        <f aca="false">IF(OR(E39="",F39=""),"",MATCH(F39,'Reference Data'!$A$3:$A$6,0)-MATCH(E39,'Reference Data'!$A$3:$A$6,0))</f>
        <v/>
      </c>
      <c r="H39" s="12" t="str">
        <f aca="false">IF(OR(C39="",G39=""),"",IF(AND(C39="High",G39&gt;=1),"Critical",IF(OR(C39="High",G39&gt;=2),"High",IF(G39&gt;=1,"Medium","Maintain"))))</f>
        <v/>
      </c>
      <c r="I39" s="12" t="str">
        <f aca="false">IF(OR(C39="",D39=""),"",IF(C39="High",IF(D39="Low","Keep Satisfied","Manage Closely"),IF(D39="High","Keep Informed","Monitor")))</f>
        <v/>
      </c>
    </row>
    <row r="40" customFormat="false" ht="15" hidden="false" customHeight="true" outlineLevel="0" collapsed="false">
      <c r="A40" s="4"/>
      <c r="B40" s="4"/>
      <c r="C40" s="4"/>
      <c r="D40" s="4"/>
      <c r="E40" s="4"/>
      <c r="F40" s="4"/>
      <c r="G40" s="12" t="str">
        <f aca="false">IF(OR(E40="",F40=""),"",MATCH(F40,'Reference Data'!$A$3:$A$6,0)-MATCH(E40,'Reference Data'!$A$3:$A$6,0))</f>
        <v/>
      </c>
      <c r="H40" s="12" t="str">
        <f aca="false">IF(OR(C40="",G40=""),"",IF(AND(C40="High",G40&gt;=1),"Critical",IF(OR(C40="High",G40&gt;=2),"High",IF(G40&gt;=1,"Medium","Maintain"))))</f>
        <v/>
      </c>
      <c r="I40" s="12" t="str">
        <f aca="false">IF(OR(C40="",D40=""),"",IF(C40="High",IF(D40="Low","Keep Satisfied","Manage Closely"),IF(D40="High","Keep Informed","Monitor")))</f>
        <v/>
      </c>
    </row>
    <row r="41" customFormat="false" ht="15" hidden="false" customHeight="true" outlineLevel="0" collapsed="false">
      <c r="A41" s="4"/>
      <c r="B41" s="4"/>
      <c r="C41" s="4"/>
      <c r="D41" s="4"/>
      <c r="E41" s="4"/>
      <c r="F41" s="4"/>
      <c r="G41" s="12" t="str">
        <f aca="false">IF(OR(E41="",F41=""),"",MATCH(F41,'Reference Data'!$A$3:$A$6,0)-MATCH(E41,'Reference Data'!$A$3:$A$6,0))</f>
        <v/>
      </c>
      <c r="H41" s="12" t="str">
        <f aca="false">IF(OR(C41="",G41=""),"",IF(AND(C41="High",G41&gt;=1),"Critical",IF(OR(C41="High",G41&gt;=2),"High",IF(G41&gt;=1,"Medium","Maintain"))))</f>
        <v/>
      </c>
      <c r="I41" s="12" t="str">
        <f aca="false">IF(OR(C41="",D41=""),"",IF(C41="High",IF(D41="Low","Keep Satisfied","Manage Closely"),IF(D41="High","Keep Informed","Monitor")))</f>
        <v/>
      </c>
    </row>
    <row r="42" customFormat="false" ht="15" hidden="false" customHeight="true" outlineLevel="0" collapsed="false">
      <c r="A42" s="4"/>
      <c r="B42" s="4"/>
      <c r="C42" s="4"/>
      <c r="D42" s="4"/>
      <c r="E42" s="4"/>
      <c r="F42" s="4"/>
      <c r="G42" s="12" t="str">
        <f aca="false">IF(OR(E42="",F42=""),"",MATCH(F42,'Reference Data'!$A$3:$A$6,0)-MATCH(E42,'Reference Data'!$A$3:$A$6,0))</f>
        <v/>
      </c>
      <c r="H42" s="12" t="str">
        <f aca="false">IF(OR(C42="",G42=""),"",IF(AND(C42="High",G42&gt;=1),"Critical",IF(OR(C42="High",G42&gt;=2),"High",IF(G42&gt;=1,"Medium","Maintain"))))</f>
        <v/>
      </c>
      <c r="I42" s="12" t="str">
        <f aca="false">IF(OR(C42="",D42=""),"",IF(C42="High",IF(D42="Low","Keep Satisfied","Manage Closely"),IF(D42="High","Keep Informed","Monitor")))</f>
        <v/>
      </c>
    </row>
    <row r="43" customFormat="false" ht="15" hidden="false" customHeight="true" outlineLevel="0" collapsed="false">
      <c r="A43" s="4"/>
      <c r="B43" s="4"/>
      <c r="C43" s="4"/>
      <c r="D43" s="4"/>
      <c r="E43" s="4"/>
      <c r="F43" s="4"/>
      <c r="G43" s="12" t="str">
        <f aca="false">IF(OR(E43="",F43=""),"",MATCH(F43,'Reference Data'!$A$3:$A$6,0)-MATCH(E43,'Reference Data'!$A$3:$A$6,0))</f>
        <v/>
      </c>
      <c r="H43" s="12" t="str">
        <f aca="false">IF(OR(C43="",G43=""),"",IF(AND(C43="High",G43&gt;=1),"Critical",IF(OR(C43="High",G43&gt;=2),"High",IF(G43&gt;=1,"Medium","Maintain"))))</f>
        <v/>
      </c>
      <c r="I43" s="12" t="str">
        <f aca="false">IF(OR(C43="",D43=""),"",IF(C43="High",IF(D43="Low","Keep Satisfied","Manage Closely"),IF(D43="High","Keep Informed","Monitor")))</f>
        <v/>
      </c>
    </row>
    <row r="44" customFormat="false" ht="15" hidden="false" customHeight="true" outlineLevel="0" collapsed="false">
      <c r="A44" s="4"/>
      <c r="B44" s="4"/>
      <c r="C44" s="4"/>
      <c r="D44" s="4"/>
      <c r="E44" s="4"/>
      <c r="F44" s="4"/>
      <c r="G44" s="12" t="str">
        <f aca="false">IF(OR(E44="",F44=""),"",MATCH(F44,'Reference Data'!$A$3:$A$6,0)-MATCH(E44,'Reference Data'!$A$3:$A$6,0))</f>
        <v/>
      </c>
      <c r="H44" s="12" t="str">
        <f aca="false">IF(OR(C44="",G44=""),"",IF(AND(C44="High",G44&gt;=1),"Critical",IF(OR(C44="High",G44&gt;=2),"High",IF(G44&gt;=1,"Medium","Maintain"))))</f>
        <v/>
      </c>
      <c r="I44" s="12" t="str">
        <f aca="false">IF(OR(C44="",D44=""),"",IF(C44="High",IF(D44="Low","Keep Satisfied","Manage Closely"),IF(D44="High","Keep Informed","Monitor")))</f>
        <v/>
      </c>
    </row>
    <row r="45" customFormat="false" ht="15" hidden="false" customHeight="true" outlineLevel="0" collapsed="false">
      <c r="A45" s="4"/>
      <c r="B45" s="4"/>
      <c r="C45" s="4"/>
      <c r="D45" s="4"/>
      <c r="E45" s="4"/>
      <c r="F45" s="4"/>
      <c r="G45" s="12" t="str">
        <f aca="false">IF(OR(E45="",F45=""),"",MATCH(F45,'Reference Data'!$A$3:$A$6,0)-MATCH(E45,'Reference Data'!$A$3:$A$6,0))</f>
        <v/>
      </c>
      <c r="H45" s="12" t="str">
        <f aca="false">IF(OR(C45="",G45=""),"",IF(AND(C45="High",G45&gt;=1),"Critical",IF(OR(C45="High",G45&gt;=2),"High",IF(G45&gt;=1,"Medium","Maintain"))))</f>
        <v/>
      </c>
      <c r="I45" s="12" t="str">
        <f aca="false">IF(OR(C45="",D45=""),"",IF(C45="High",IF(D45="Low","Keep Satisfied","Manage Closely"),IF(D45="High","Keep Informed","Monitor")))</f>
        <v/>
      </c>
    </row>
    <row r="46" customFormat="false" ht="15" hidden="false" customHeight="true" outlineLevel="0" collapsed="false">
      <c r="A46" s="4"/>
      <c r="B46" s="4"/>
      <c r="C46" s="4"/>
      <c r="D46" s="4"/>
      <c r="E46" s="4"/>
      <c r="F46" s="4"/>
      <c r="G46" s="12" t="str">
        <f aca="false">IF(OR(E46="",F46=""),"",MATCH(F46,'Reference Data'!$A$3:$A$6,0)-MATCH(E46,'Reference Data'!$A$3:$A$6,0))</f>
        <v/>
      </c>
      <c r="H46" s="12" t="str">
        <f aca="false">IF(OR(C46="",G46=""),"",IF(AND(C46="High",G46&gt;=1),"Critical",IF(OR(C46="High",G46&gt;=2),"High",IF(G46&gt;=1,"Medium","Maintain"))))</f>
        <v/>
      </c>
      <c r="I46" s="12" t="str">
        <f aca="false">IF(OR(C46="",D46=""),"",IF(C46="High",IF(D46="Low","Keep Satisfied","Manage Closely"),IF(D46="High","Keep Informed","Monitor")))</f>
        <v/>
      </c>
    </row>
    <row r="47" customFormat="false" ht="15" hidden="false" customHeight="true" outlineLevel="0" collapsed="false">
      <c r="A47" s="4"/>
      <c r="B47" s="4"/>
      <c r="C47" s="4"/>
      <c r="D47" s="4"/>
      <c r="E47" s="4"/>
      <c r="F47" s="4"/>
      <c r="G47" s="12" t="str">
        <f aca="false">IF(OR(E47="",F47=""),"",MATCH(F47,'Reference Data'!$A$3:$A$6,0)-MATCH(E47,'Reference Data'!$A$3:$A$6,0))</f>
        <v/>
      </c>
      <c r="H47" s="12" t="str">
        <f aca="false">IF(OR(C47="",G47=""),"",IF(AND(C47="High",G47&gt;=1),"Critical",IF(OR(C47="High",G47&gt;=2),"High",IF(G47&gt;=1,"Medium","Maintain"))))</f>
        <v/>
      </c>
      <c r="I47" s="12" t="str">
        <f aca="false">IF(OR(C47="",D47=""),"",IF(C47="High",IF(D47="Low","Keep Satisfied","Manage Closely"),IF(D47="High","Keep Informed","Monitor")))</f>
        <v/>
      </c>
    </row>
    <row r="48" customFormat="false" ht="15" hidden="false" customHeight="true" outlineLevel="0" collapsed="false">
      <c r="A48" s="4"/>
      <c r="B48" s="4"/>
      <c r="C48" s="4"/>
      <c r="D48" s="4"/>
      <c r="E48" s="4"/>
      <c r="F48" s="4"/>
      <c r="G48" s="12" t="str">
        <f aca="false">IF(OR(E48="",F48=""),"",MATCH(F48,'Reference Data'!$A$3:$A$6,0)-MATCH(E48,'Reference Data'!$A$3:$A$6,0))</f>
        <v/>
      </c>
      <c r="H48" s="12" t="str">
        <f aca="false">IF(OR(C48="",G48=""),"",IF(AND(C48="High",G48&gt;=1),"Critical",IF(OR(C48="High",G48&gt;=2),"High",IF(G48&gt;=1,"Medium","Maintain"))))</f>
        <v/>
      </c>
      <c r="I48" s="12" t="str">
        <f aca="false">IF(OR(C48="",D48=""),"",IF(C48="High",IF(D48="Low","Keep Satisfied","Manage Closely"),IF(D48="High","Keep Informed","Monitor")))</f>
        <v/>
      </c>
    </row>
    <row r="49" customFormat="false" ht="15" hidden="false" customHeight="true" outlineLevel="0" collapsed="false">
      <c r="A49" s="4"/>
      <c r="B49" s="4"/>
      <c r="C49" s="4"/>
      <c r="D49" s="4"/>
      <c r="E49" s="4"/>
      <c r="F49" s="4"/>
      <c r="G49" s="12" t="str">
        <f aca="false">IF(OR(E49="",F49=""),"",MATCH(F49,'Reference Data'!$A$3:$A$6,0)-MATCH(E49,'Reference Data'!$A$3:$A$6,0))</f>
        <v/>
      </c>
      <c r="H49" s="12" t="str">
        <f aca="false">IF(OR(C49="",G49=""),"",IF(AND(C49="High",G49&gt;=1),"Critical",IF(OR(C49="High",G49&gt;=2),"High",IF(G49&gt;=1,"Medium","Maintain"))))</f>
        <v/>
      </c>
      <c r="I49" s="12" t="str">
        <f aca="false">IF(OR(C49="",D49=""),"",IF(C49="High",IF(D49="Low","Keep Satisfied","Manage Closely"),IF(D49="High","Keep Informed","Monitor")))</f>
        <v/>
      </c>
    </row>
    <row r="50" customFormat="false" ht="15" hidden="false" customHeight="true" outlineLevel="0" collapsed="false">
      <c r="A50" s="4"/>
      <c r="B50" s="4"/>
      <c r="C50" s="4"/>
      <c r="D50" s="4"/>
      <c r="E50" s="4"/>
      <c r="F50" s="4"/>
      <c r="G50" s="12" t="str">
        <f aca="false">IF(OR(E50="",F50=""),"",MATCH(F50,'Reference Data'!$A$3:$A$6,0)-MATCH(E50,'Reference Data'!$A$3:$A$6,0))</f>
        <v/>
      </c>
      <c r="H50" s="12" t="str">
        <f aca="false">IF(OR(C50="",G50=""),"",IF(AND(C50="High",G50&gt;=1),"Critical",IF(OR(C50="High",G50&gt;=2),"High",IF(G50&gt;=1,"Medium","Maintain"))))</f>
        <v/>
      </c>
      <c r="I50" s="12" t="str">
        <f aca="false">IF(OR(C50="",D50=""),"",IF(C50="High",IF(D50="Low","Keep Satisfied","Manage Closely"),IF(D50="High","Keep Informed","Monitor")))</f>
        <v/>
      </c>
    </row>
    <row r="51" customFormat="false" ht="15" hidden="false" customHeight="true" outlineLevel="0" collapsed="false">
      <c r="A51" s="4"/>
      <c r="B51" s="4"/>
      <c r="C51" s="4"/>
      <c r="D51" s="4"/>
      <c r="E51" s="4"/>
      <c r="F51" s="4"/>
      <c r="G51" s="12" t="str">
        <f aca="false">IF(OR(E51="",F51=""),"",MATCH(F51,'Reference Data'!$A$3:$A$6,0)-MATCH(E51,'Reference Data'!$A$3:$A$6,0))</f>
        <v/>
      </c>
      <c r="H51" s="12" t="str">
        <f aca="false">IF(OR(C51="",G51=""),"",IF(AND(C51="High",G51&gt;=1),"Critical",IF(OR(C51="High",G51&gt;=2),"High",IF(G51&gt;=1,"Medium","Maintain"))))</f>
        <v/>
      </c>
      <c r="I51" s="12" t="str">
        <f aca="false">IF(OR(C51="",D51=""),"",IF(C51="High",IF(D51="Low","Keep Satisfied","Manage Closely"),IF(D51="High","Keep Informed","Monitor")))</f>
        <v/>
      </c>
    </row>
    <row r="52" customFormat="false" ht="15" hidden="false" customHeight="true" outlineLevel="0" collapsed="false">
      <c r="A52" s="4"/>
      <c r="B52" s="4"/>
      <c r="C52" s="4"/>
      <c r="D52" s="4"/>
      <c r="E52" s="4"/>
      <c r="F52" s="4"/>
      <c r="G52" s="12" t="str">
        <f aca="false">IF(OR(E52="",F52=""),"",MATCH(F52,'Reference Data'!$A$3:$A$6,0)-MATCH(E52,'Reference Data'!$A$3:$A$6,0))</f>
        <v/>
      </c>
      <c r="H52" s="12" t="str">
        <f aca="false">IF(OR(C52="",G52=""),"",IF(AND(C52="High",G52&gt;=1),"Critical",IF(OR(C52="High",G52&gt;=2),"High",IF(G52&gt;=1,"Medium","Maintain"))))</f>
        <v/>
      </c>
      <c r="I52" s="12" t="str">
        <f aca="false">IF(OR(C52="",D52=""),"",IF(C52="High",IF(D52="Low","Keep Satisfied","Manage Closely"),IF(D52="High","Keep Informed","Monitor")))</f>
        <v/>
      </c>
    </row>
    <row r="53" customFormat="false" ht="15" hidden="false" customHeight="true" outlineLevel="0" collapsed="false">
      <c r="A53" s="4"/>
      <c r="B53" s="4"/>
      <c r="C53" s="4"/>
      <c r="D53" s="4"/>
      <c r="E53" s="4"/>
      <c r="F53" s="4"/>
      <c r="G53" s="12" t="str">
        <f aca="false">IF(OR(E53="",F53=""),"",MATCH(F53,'Reference Data'!$A$3:$A$6,0)-MATCH(E53,'Reference Data'!$A$3:$A$6,0))</f>
        <v/>
      </c>
      <c r="H53" s="12" t="str">
        <f aca="false">IF(OR(C53="",G53=""),"",IF(AND(C53="High",G53&gt;=1),"Critical",IF(OR(C53="High",G53&gt;=2),"High",IF(G53&gt;=1,"Medium","Maintain"))))</f>
        <v/>
      </c>
      <c r="I53" s="12" t="str">
        <f aca="false">IF(OR(C53="",D53=""),"",IF(C53="High",IF(D53="Low","Keep Satisfied","Manage Closely"),IF(D53="High","Keep Informed","Monitor")))</f>
        <v/>
      </c>
    </row>
    <row r="54" customFormat="false" ht="15" hidden="false" customHeight="true" outlineLevel="0" collapsed="false">
      <c r="A54" s="4"/>
      <c r="B54" s="4"/>
      <c r="C54" s="4"/>
      <c r="D54" s="4"/>
      <c r="E54" s="4"/>
      <c r="F54" s="4"/>
      <c r="G54" s="12" t="str">
        <f aca="false">IF(OR(E54="",F54=""),"",MATCH(F54,'Reference Data'!$A$3:$A$6,0)-MATCH(E54,'Reference Data'!$A$3:$A$6,0))</f>
        <v/>
      </c>
      <c r="H54" s="12" t="str">
        <f aca="false">IF(OR(C54="",G54=""),"",IF(AND(C54="High",G54&gt;=1),"Critical",IF(OR(C54="High",G54&gt;=2),"High",IF(G54&gt;=1,"Medium","Maintain"))))</f>
        <v/>
      </c>
      <c r="I54" s="12" t="str">
        <f aca="false">IF(OR(C54="",D54=""),"",IF(C54="High",IF(D54="Low","Keep Satisfied","Manage Closely"),IF(D54="High","Keep Informed","Monitor")))</f>
        <v/>
      </c>
    </row>
    <row r="55" customFormat="false" ht="15" hidden="false" customHeight="true" outlineLevel="0" collapsed="false">
      <c r="A55" s="4"/>
      <c r="B55" s="4"/>
      <c r="C55" s="4"/>
      <c r="D55" s="4"/>
      <c r="E55" s="4"/>
      <c r="F55" s="4"/>
      <c r="G55" s="12" t="str">
        <f aca="false">IF(OR(E55="",F55=""),"",MATCH(F55,'Reference Data'!$A$3:$A$6,0)-MATCH(E55,'Reference Data'!$A$3:$A$6,0))</f>
        <v/>
      </c>
      <c r="H55" s="12" t="str">
        <f aca="false">IF(OR(C55="",G55=""),"",IF(AND(C55="High",G55&gt;=1),"Critical",IF(OR(C55="High",G55&gt;=2),"High",IF(G55&gt;=1,"Medium","Maintain"))))</f>
        <v/>
      </c>
      <c r="I55" s="12" t="str">
        <f aca="false">IF(OR(C55="",D55=""),"",IF(C55="High",IF(D55="Low","Keep Satisfied","Manage Closely"),IF(D55="High","Keep Informed","Monitor")))</f>
        <v/>
      </c>
    </row>
    <row r="56" customFormat="false" ht="15" hidden="false" customHeight="true" outlineLevel="0" collapsed="false">
      <c r="A56" s="4"/>
      <c r="B56" s="4"/>
      <c r="C56" s="4"/>
      <c r="D56" s="4"/>
      <c r="E56" s="4"/>
      <c r="F56" s="4"/>
      <c r="G56" s="12" t="str">
        <f aca="false">IF(OR(E56="",F56=""),"",MATCH(F56,'Reference Data'!$A$3:$A$6,0)-MATCH(E56,'Reference Data'!$A$3:$A$6,0))</f>
        <v/>
      </c>
      <c r="H56" s="12" t="str">
        <f aca="false">IF(OR(C56="",G56=""),"",IF(AND(C56="High",G56&gt;=1),"Critical",IF(OR(C56="High",G56&gt;=2),"High",IF(G56&gt;=1,"Medium","Maintain"))))</f>
        <v/>
      </c>
      <c r="I56" s="12" t="str">
        <f aca="false">IF(OR(C56="",D56=""),"",IF(C56="High",IF(D56="Low","Keep Satisfied","Manage Closely"),IF(D56="High","Keep Informed","Monitor")))</f>
        <v/>
      </c>
    </row>
    <row r="57" customFormat="false" ht="15" hidden="false" customHeight="true" outlineLevel="0" collapsed="false">
      <c r="A57" s="4"/>
      <c r="B57" s="4"/>
      <c r="C57" s="4"/>
      <c r="D57" s="4"/>
      <c r="E57" s="4"/>
      <c r="F57" s="4"/>
      <c r="G57" s="12" t="str">
        <f aca="false">IF(OR(E57="",F57=""),"",MATCH(F57,'Reference Data'!$A$3:$A$6,0)-MATCH(E57,'Reference Data'!$A$3:$A$6,0))</f>
        <v/>
      </c>
      <c r="H57" s="12" t="str">
        <f aca="false">IF(OR(C57="",G57=""),"",IF(AND(C57="High",G57&gt;=1),"Critical",IF(OR(C57="High",G57&gt;=2),"High",IF(G57&gt;=1,"Medium","Maintain"))))</f>
        <v/>
      </c>
      <c r="I57" s="12" t="str">
        <f aca="false">IF(OR(C57="",D57=""),"",IF(C57="High",IF(D57="Low","Keep Satisfied","Manage Closely"),IF(D57="High","Keep Informed","Monitor")))</f>
        <v/>
      </c>
    </row>
    <row r="58" customFormat="false" ht="15" hidden="false" customHeight="true" outlineLevel="0" collapsed="false">
      <c r="A58" s="4"/>
      <c r="B58" s="4"/>
      <c r="C58" s="4"/>
      <c r="D58" s="4"/>
      <c r="E58" s="4"/>
      <c r="F58" s="4"/>
      <c r="G58" s="12" t="str">
        <f aca="false">IF(OR(E58="",F58=""),"",MATCH(F58,'Reference Data'!$A$3:$A$6,0)-MATCH(E58,'Reference Data'!$A$3:$A$6,0))</f>
        <v/>
      </c>
      <c r="H58" s="12" t="str">
        <f aca="false">IF(OR(C58="",G58=""),"",IF(AND(C58="High",G58&gt;=1),"Critical",IF(OR(C58="High",G58&gt;=2),"High",IF(G58&gt;=1,"Medium","Maintain"))))</f>
        <v/>
      </c>
      <c r="I58" s="12" t="str">
        <f aca="false">IF(OR(C58="",D58=""),"",IF(C58="High",IF(D58="Low","Keep Satisfied","Manage Closely"),IF(D58="High","Keep Informed","Monitor")))</f>
        <v/>
      </c>
    </row>
    <row r="59" customFormat="false" ht="15" hidden="false" customHeight="true" outlineLevel="0" collapsed="false">
      <c r="A59" s="4"/>
      <c r="B59" s="4"/>
      <c r="C59" s="4"/>
      <c r="D59" s="4"/>
      <c r="E59" s="4"/>
      <c r="F59" s="4"/>
      <c r="G59" s="12" t="str">
        <f aca="false">IF(OR(E59="",F59=""),"",MATCH(F59,'Reference Data'!$A$3:$A$6,0)-MATCH(E59,'Reference Data'!$A$3:$A$6,0))</f>
        <v/>
      </c>
      <c r="H59" s="12" t="str">
        <f aca="false">IF(OR(C59="",G59=""),"",IF(AND(C59="High",G59&gt;=1),"Critical",IF(OR(C59="High",G59&gt;=2),"High",IF(G59&gt;=1,"Medium","Maintain"))))</f>
        <v/>
      </c>
      <c r="I59" s="12" t="str">
        <f aca="false">IF(OR(C59="",D59=""),"",IF(C59="High",IF(D59="Low","Keep Satisfied","Manage Closely"),IF(D59="High","Keep Informed","Monitor")))</f>
        <v/>
      </c>
    </row>
    <row r="60" customFormat="false" ht="15" hidden="false" customHeight="true" outlineLevel="0" collapsed="false">
      <c r="A60" s="4"/>
      <c r="B60" s="4"/>
      <c r="C60" s="4"/>
      <c r="D60" s="4"/>
      <c r="E60" s="4"/>
      <c r="F60" s="4"/>
      <c r="G60" s="12" t="str">
        <f aca="false">IF(OR(E60="",F60=""),"",MATCH(F60,'Reference Data'!$A$3:$A$6,0)-MATCH(E60,'Reference Data'!$A$3:$A$6,0))</f>
        <v/>
      </c>
      <c r="H60" s="12" t="str">
        <f aca="false">IF(OR(C60="",G60=""),"",IF(AND(C60="High",G60&gt;=1),"Critical",IF(OR(C60="High",G60&gt;=2),"High",IF(G60&gt;=1,"Medium","Maintain"))))</f>
        <v/>
      </c>
      <c r="I60" s="12" t="str">
        <f aca="false">IF(OR(C60="",D60=""),"",IF(C60="High",IF(D60="Low","Keep Satisfied","Manage Closely"),IF(D60="High","Keep Informed","Monitor")))</f>
        <v/>
      </c>
    </row>
    <row r="61" customFormat="false" ht="15" hidden="false" customHeight="true" outlineLevel="0" collapsed="false">
      <c r="A61" s="4"/>
      <c r="B61" s="4"/>
      <c r="C61" s="4"/>
      <c r="D61" s="4"/>
      <c r="E61" s="4"/>
      <c r="F61" s="4"/>
      <c r="G61" s="12" t="str">
        <f aca="false">IF(OR(E61="",F61=""),"",MATCH(F61,'Reference Data'!$A$3:$A$6,0)-MATCH(E61,'Reference Data'!$A$3:$A$6,0))</f>
        <v/>
      </c>
      <c r="H61" s="12" t="str">
        <f aca="false">IF(OR(C61="",G61=""),"",IF(AND(C61="High",G61&gt;=1),"Critical",IF(OR(C61="High",G61&gt;=2),"High",IF(G61&gt;=1,"Medium","Maintain"))))</f>
        <v/>
      </c>
      <c r="I61" s="12" t="str">
        <f aca="false">IF(OR(C61="",D61=""),"",IF(C61="High",IF(D61="Low","Keep Satisfied","Manage Closely"),IF(D61="High","Keep Informed","Monitor")))</f>
        <v/>
      </c>
    </row>
    <row r="62" customFormat="false" ht="15" hidden="false" customHeight="true" outlineLevel="0" collapsed="false">
      <c r="A62" s="4"/>
      <c r="B62" s="4"/>
      <c r="C62" s="4"/>
      <c r="D62" s="4"/>
      <c r="E62" s="4"/>
      <c r="F62" s="4"/>
      <c r="G62" s="12" t="str">
        <f aca="false">IF(OR(E62="",F62=""),"",MATCH(F62,'Reference Data'!$A$3:$A$6,0)-MATCH(E62,'Reference Data'!$A$3:$A$6,0))</f>
        <v/>
      </c>
      <c r="H62" s="12" t="str">
        <f aca="false">IF(OR(C62="",G62=""),"",IF(AND(C62="High",G62&gt;=1),"Critical",IF(OR(C62="High",G62&gt;=2),"High",IF(G62&gt;=1,"Medium","Maintain"))))</f>
        <v/>
      </c>
      <c r="I62" s="12" t="str">
        <f aca="false">IF(OR(C62="",D62=""),"",IF(C62="High",IF(D62="Low","Keep Satisfied","Manage Closely"),IF(D62="High","Keep Informed","Monitor")))</f>
        <v/>
      </c>
    </row>
    <row r="63" customFormat="false" ht="15" hidden="false" customHeight="true" outlineLevel="0" collapsed="false">
      <c r="A63" s="4"/>
      <c r="B63" s="4"/>
      <c r="C63" s="4"/>
      <c r="D63" s="4"/>
      <c r="E63" s="4"/>
      <c r="F63" s="4"/>
      <c r="G63" s="12" t="str">
        <f aca="false">IF(OR(E63="",F63=""),"",MATCH(F63,'Reference Data'!$A$3:$A$6,0)-MATCH(E63,'Reference Data'!$A$3:$A$6,0))</f>
        <v/>
      </c>
      <c r="H63" s="12" t="str">
        <f aca="false">IF(OR(C63="",G63=""),"",IF(AND(C63="High",G63&gt;=1),"Critical",IF(OR(C63="High",G63&gt;=2),"High",IF(G63&gt;=1,"Medium","Maintain"))))</f>
        <v/>
      </c>
      <c r="I63" s="12" t="str">
        <f aca="false">IF(OR(C63="",D63=""),"",IF(C63="High",IF(D63="Low","Keep Satisfied","Manage Closely"),IF(D63="High","Keep Informed","Monitor")))</f>
        <v/>
      </c>
    </row>
    <row r="64" customFormat="false" ht="15" hidden="false" customHeight="true" outlineLevel="0" collapsed="false">
      <c r="A64" s="4"/>
      <c r="B64" s="4"/>
      <c r="C64" s="4"/>
      <c r="D64" s="4"/>
      <c r="E64" s="4"/>
      <c r="F64" s="4"/>
      <c r="G64" s="12" t="str">
        <f aca="false">IF(OR(E64="",F64=""),"",MATCH(F64,'Reference Data'!$A$3:$A$6,0)-MATCH(E64,'Reference Data'!$A$3:$A$6,0))</f>
        <v/>
      </c>
      <c r="H64" s="12" t="str">
        <f aca="false">IF(OR(C64="",G64=""),"",IF(AND(C64="High",G64&gt;=1),"Critical",IF(OR(C64="High",G64&gt;=2),"High",IF(G64&gt;=1,"Medium","Maintain"))))</f>
        <v/>
      </c>
      <c r="I64" s="12" t="str">
        <f aca="false">IF(OR(C64="",D64=""),"",IF(C64="High",IF(D64="Low","Keep Satisfied","Manage Closely"),IF(D64="High","Keep Informed","Monitor")))</f>
        <v/>
      </c>
    </row>
    <row r="65" customFormat="false" ht="15" hidden="false" customHeight="true" outlineLevel="0" collapsed="false">
      <c r="A65" s="4"/>
      <c r="B65" s="4"/>
      <c r="C65" s="4"/>
      <c r="D65" s="4"/>
      <c r="E65" s="4"/>
      <c r="F65" s="4"/>
      <c r="G65" s="12" t="str">
        <f aca="false">IF(OR(E65="",F65=""),"",MATCH(F65,'Reference Data'!$A$3:$A$6,0)-MATCH(E65,'Reference Data'!$A$3:$A$6,0))</f>
        <v/>
      </c>
      <c r="H65" s="12" t="str">
        <f aca="false">IF(OR(C65="",G65=""),"",IF(AND(C65="High",G65&gt;=1),"Critical",IF(OR(C65="High",G65&gt;=2),"High",IF(G65&gt;=1,"Medium","Maintain"))))</f>
        <v/>
      </c>
      <c r="I65" s="12" t="str">
        <f aca="false">IF(OR(C65="",D65=""),"",IF(C65="High",IF(D65="Low","Keep Satisfied","Manage Closely"),IF(D65="High","Keep Informed","Monitor")))</f>
        <v/>
      </c>
    </row>
    <row r="66" customFormat="false" ht="15" hidden="false" customHeight="true" outlineLevel="0" collapsed="false">
      <c r="A66" s="4"/>
      <c r="B66" s="4"/>
      <c r="C66" s="4"/>
      <c r="D66" s="4"/>
      <c r="E66" s="4"/>
      <c r="F66" s="4"/>
      <c r="G66" s="12" t="str">
        <f aca="false">IF(OR(E66="",F66=""),"",MATCH(F66,'Reference Data'!$A$3:$A$6,0)-MATCH(E66,'Reference Data'!$A$3:$A$6,0))</f>
        <v/>
      </c>
      <c r="H66" s="12" t="str">
        <f aca="false">IF(OR(C66="",G66=""),"",IF(AND(C66="High",G66&gt;=1),"Critical",IF(OR(C66="High",G66&gt;=2),"High",IF(G66&gt;=1,"Medium","Maintain"))))</f>
        <v/>
      </c>
      <c r="I66" s="12" t="str">
        <f aca="false">IF(OR(C66="",D66=""),"",IF(C66="High",IF(D66="Low","Keep Satisfied","Manage Closely"),IF(D66="High","Keep Informed","Monitor")))</f>
        <v/>
      </c>
    </row>
    <row r="67" customFormat="false" ht="15" hidden="false" customHeight="true" outlineLevel="0" collapsed="false">
      <c r="A67" s="4"/>
      <c r="B67" s="4"/>
      <c r="C67" s="4"/>
      <c r="D67" s="4"/>
      <c r="E67" s="4"/>
      <c r="F67" s="4"/>
      <c r="G67" s="12" t="str">
        <f aca="false">IF(OR(E67="",F67=""),"",MATCH(F67,'Reference Data'!$A$3:$A$6,0)-MATCH(E67,'Reference Data'!$A$3:$A$6,0))</f>
        <v/>
      </c>
      <c r="H67" s="12" t="str">
        <f aca="false">IF(OR(C67="",G67=""),"",IF(AND(C67="High",G67&gt;=1),"Critical",IF(OR(C67="High",G67&gt;=2),"High",IF(G67&gt;=1,"Medium","Maintain"))))</f>
        <v/>
      </c>
      <c r="I67" s="12" t="str">
        <f aca="false">IF(OR(C67="",D67=""),"",IF(C67="High",IF(D67="Low","Keep Satisfied","Manage Closely"),IF(D67="High","Keep Informed","Monitor")))</f>
        <v/>
      </c>
    </row>
    <row r="68" customFormat="false" ht="15" hidden="false" customHeight="true" outlineLevel="0" collapsed="false">
      <c r="A68" s="4"/>
      <c r="B68" s="4"/>
      <c r="C68" s="4"/>
      <c r="D68" s="4"/>
      <c r="E68" s="4"/>
      <c r="F68" s="4"/>
      <c r="G68" s="12" t="str">
        <f aca="false">IF(OR(E68="",F68=""),"",MATCH(F68,'Reference Data'!$A$3:$A$6,0)-MATCH(E68,'Reference Data'!$A$3:$A$6,0))</f>
        <v/>
      </c>
      <c r="H68" s="12" t="str">
        <f aca="false">IF(OR(C68="",G68=""),"",IF(AND(C68="High",G68&gt;=1),"Critical",IF(OR(C68="High",G68&gt;=2),"High",IF(G68&gt;=1,"Medium","Maintain"))))</f>
        <v/>
      </c>
      <c r="I68" s="12" t="str">
        <f aca="false">IF(OR(C68="",D68=""),"",IF(C68="High",IF(D68="Low","Keep Satisfied","Manage Closely"),IF(D68="High","Keep Informed","Monitor")))</f>
        <v/>
      </c>
    </row>
    <row r="69" customFormat="false" ht="15" hidden="false" customHeight="true" outlineLevel="0" collapsed="false">
      <c r="A69" s="4"/>
      <c r="B69" s="4"/>
      <c r="C69" s="4"/>
      <c r="D69" s="4"/>
      <c r="E69" s="4"/>
      <c r="F69" s="4"/>
      <c r="G69" s="12" t="str">
        <f aca="false">IF(OR(E69="",F69=""),"",MATCH(F69,'Reference Data'!$A$3:$A$6,0)-MATCH(E69,'Reference Data'!$A$3:$A$6,0))</f>
        <v/>
      </c>
      <c r="H69" s="12" t="str">
        <f aca="false">IF(OR(C69="",G69=""),"",IF(AND(C69="High",G69&gt;=1),"Critical",IF(OR(C69="High",G69&gt;=2),"High",IF(G69&gt;=1,"Medium","Maintain"))))</f>
        <v/>
      </c>
      <c r="I69" s="12" t="str">
        <f aca="false">IF(OR(C69="",D69=""),"",IF(C69="High",IF(D69="Low","Keep Satisfied","Manage Closely"),IF(D69="High","Keep Informed","Monitor")))</f>
        <v/>
      </c>
    </row>
    <row r="70" customFormat="false" ht="15" hidden="false" customHeight="true" outlineLevel="0" collapsed="false">
      <c r="A70" s="4"/>
      <c r="B70" s="4"/>
      <c r="C70" s="4"/>
      <c r="D70" s="4"/>
      <c r="E70" s="4"/>
      <c r="F70" s="4"/>
      <c r="G70" s="12" t="str">
        <f aca="false">IF(OR(E70="",F70=""),"",MATCH(F70,'Reference Data'!$A$3:$A$6,0)-MATCH(E70,'Reference Data'!$A$3:$A$6,0))</f>
        <v/>
      </c>
      <c r="H70" s="12" t="str">
        <f aca="false">IF(OR(C70="",G70=""),"",IF(AND(C70="High",G70&gt;=1),"Critical",IF(OR(C70="High",G70&gt;=2),"High",IF(G70&gt;=1,"Medium","Maintain"))))</f>
        <v/>
      </c>
      <c r="I70" s="12" t="str">
        <f aca="false">IF(OR(C70="",D70=""),"",IF(C70="High",IF(D70="Low","Keep Satisfied","Manage Closely"),IF(D70="High","Keep Informed","Monitor")))</f>
        <v/>
      </c>
    </row>
    <row r="71" customFormat="false" ht="15" hidden="false" customHeight="true" outlineLevel="0" collapsed="false">
      <c r="A71" s="4"/>
      <c r="B71" s="4"/>
      <c r="C71" s="4"/>
      <c r="D71" s="4"/>
      <c r="E71" s="4"/>
      <c r="F71" s="4"/>
      <c r="G71" s="12" t="str">
        <f aca="false">IF(OR(E71="",F71=""),"",MATCH(F71,'Reference Data'!$A$3:$A$6,0)-MATCH(E71,'Reference Data'!$A$3:$A$6,0))</f>
        <v/>
      </c>
      <c r="H71" s="12" t="str">
        <f aca="false">IF(OR(C71="",G71=""),"",IF(AND(C71="High",G71&gt;=1),"Critical",IF(OR(C71="High",G71&gt;=2),"High",IF(G71&gt;=1,"Medium","Maintain"))))</f>
        <v/>
      </c>
      <c r="I71" s="12" t="str">
        <f aca="false">IF(OR(C71="",D71=""),"",IF(C71="High",IF(D71="Low","Keep Satisfied","Manage Closely"),IF(D71="High","Keep Informed","Monitor")))</f>
        <v/>
      </c>
    </row>
    <row r="72" customFormat="false" ht="15" hidden="false" customHeight="true" outlineLevel="0" collapsed="false">
      <c r="A72" s="4"/>
      <c r="B72" s="4"/>
      <c r="C72" s="4"/>
      <c r="D72" s="4"/>
      <c r="E72" s="4"/>
      <c r="F72" s="4"/>
      <c r="G72" s="12" t="str">
        <f aca="false">IF(OR(E72="",F72=""),"",MATCH(F72,'Reference Data'!$A$3:$A$6,0)-MATCH(E72,'Reference Data'!$A$3:$A$6,0))</f>
        <v/>
      </c>
      <c r="H72" s="12" t="str">
        <f aca="false">IF(OR(C72="",G72=""),"",IF(AND(C72="High",G72&gt;=1),"Critical",IF(OR(C72="High",G72&gt;=2),"High",IF(G72&gt;=1,"Medium","Maintain"))))</f>
        <v/>
      </c>
      <c r="I72" s="12" t="str">
        <f aca="false">IF(OR(C72="",D72=""),"",IF(C72="High",IF(D72="Low","Keep Satisfied","Manage Closely"),IF(D72="High","Keep Informed","Monitor")))</f>
        <v/>
      </c>
    </row>
    <row r="73" customFormat="false" ht="15" hidden="false" customHeight="true" outlineLevel="0" collapsed="false">
      <c r="A73" s="4"/>
      <c r="B73" s="4"/>
      <c r="C73" s="4"/>
      <c r="D73" s="4"/>
      <c r="E73" s="4"/>
      <c r="F73" s="4"/>
      <c r="G73" s="12" t="str">
        <f aca="false">IF(OR(E73="",F73=""),"",MATCH(F73,'Reference Data'!$A$3:$A$6,0)-MATCH(E73,'Reference Data'!$A$3:$A$6,0))</f>
        <v/>
      </c>
      <c r="H73" s="12" t="str">
        <f aca="false">IF(OR(C73="",G73=""),"",IF(AND(C73="High",G73&gt;=1),"Critical",IF(OR(C73="High",G73&gt;=2),"High",IF(G73&gt;=1,"Medium","Maintain"))))</f>
        <v/>
      </c>
      <c r="I73" s="12" t="str">
        <f aca="false">IF(OR(C73="",D73=""),"",IF(C73="High",IF(D73="Low","Keep Satisfied","Manage Closely"),IF(D73="High","Keep Informed","Monitor")))</f>
        <v/>
      </c>
    </row>
    <row r="74" customFormat="false" ht="15" hidden="false" customHeight="true" outlineLevel="0" collapsed="false">
      <c r="A74" s="4"/>
      <c r="B74" s="4"/>
      <c r="C74" s="4"/>
      <c r="D74" s="4"/>
      <c r="E74" s="4"/>
      <c r="F74" s="4"/>
      <c r="G74" s="12" t="str">
        <f aca="false">IF(OR(E74="",F74=""),"",MATCH(F74,'Reference Data'!$A$3:$A$6,0)-MATCH(E74,'Reference Data'!$A$3:$A$6,0))</f>
        <v/>
      </c>
      <c r="H74" s="12" t="str">
        <f aca="false">IF(OR(C74="",G74=""),"",IF(AND(C74="High",G74&gt;=1),"Critical",IF(OR(C74="High",G74&gt;=2),"High",IF(G74&gt;=1,"Medium","Maintain"))))</f>
        <v/>
      </c>
      <c r="I74" s="12" t="str">
        <f aca="false">IF(OR(C74="",D74=""),"",IF(C74="High",IF(D74="Low","Keep Satisfied","Manage Closely"),IF(D74="High","Keep Informed","Monitor")))</f>
        <v/>
      </c>
    </row>
    <row r="75" customFormat="false" ht="15" hidden="false" customHeight="true" outlineLevel="0" collapsed="false">
      <c r="A75" s="4"/>
      <c r="B75" s="4"/>
      <c r="C75" s="4"/>
      <c r="D75" s="4"/>
      <c r="E75" s="4"/>
      <c r="F75" s="4"/>
      <c r="G75" s="12" t="str">
        <f aca="false">IF(OR(E75="",F75=""),"",MATCH(F75,'Reference Data'!$A$3:$A$6,0)-MATCH(E75,'Reference Data'!$A$3:$A$6,0))</f>
        <v/>
      </c>
      <c r="H75" s="12" t="str">
        <f aca="false">IF(OR(C75="",G75=""),"",IF(AND(C75="High",G75&gt;=1),"Critical",IF(OR(C75="High",G75&gt;=2),"High",IF(G75&gt;=1,"Medium","Maintain"))))</f>
        <v/>
      </c>
      <c r="I75" s="12" t="str">
        <f aca="false">IF(OR(C75="",D75=""),"",IF(C75="High",IF(D75="Low","Keep Satisfied","Manage Closely"),IF(D75="High","Keep Informed","Monitor")))</f>
        <v/>
      </c>
    </row>
    <row r="76" customFormat="false" ht="15" hidden="false" customHeight="true" outlineLevel="0" collapsed="false">
      <c r="A76" s="4"/>
      <c r="B76" s="4"/>
      <c r="C76" s="4"/>
      <c r="D76" s="4"/>
      <c r="E76" s="4"/>
      <c r="F76" s="4"/>
      <c r="G76" s="12" t="str">
        <f aca="false">IF(OR(E76="",F76=""),"",MATCH(F76,'Reference Data'!$A$3:$A$6,0)-MATCH(E76,'Reference Data'!$A$3:$A$6,0))</f>
        <v/>
      </c>
      <c r="H76" s="12" t="str">
        <f aca="false">IF(OR(C76="",G76=""),"",IF(AND(C76="High",G76&gt;=1),"Critical",IF(OR(C76="High",G76&gt;=2),"High",IF(G76&gt;=1,"Medium","Maintain"))))</f>
        <v/>
      </c>
      <c r="I76" s="12" t="str">
        <f aca="false">IF(OR(C76="",D76=""),"",IF(C76="High",IF(D76="Low","Keep Satisfied","Manage Closely"),IF(D76="High","Keep Informed","Monitor")))</f>
        <v/>
      </c>
    </row>
    <row r="77" customFormat="false" ht="15" hidden="false" customHeight="true" outlineLevel="0" collapsed="false">
      <c r="A77" s="4"/>
      <c r="B77" s="4"/>
      <c r="C77" s="4"/>
      <c r="D77" s="4"/>
      <c r="E77" s="4"/>
      <c r="F77" s="4"/>
      <c r="G77" s="12" t="str">
        <f aca="false">IF(OR(E77="",F77=""),"",MATCH(F77,'Reference Data'!$A$3:$A$6,0)-MATCH(E77,'Reference Data'!$A$3:$A$6,0))</f>
        <v/>
      </c>
      <c r="H77" s="12" t="str">
        <f aca="false">IF(OR(C77="",G77=""),"",IF(AND(C77="High",G77&gt;=1),"Critical",IF(OR(C77="High",G77&gt;=2),"High",IF(G77&gt;=1,"Medium","Maintain"))))</f>
        <v/>
      </c>
      <c r="I77" s="12" t="str">
        <f aca="false">IF(OR(C77="",D77=""),"",IF(C77="High",IF(D77="Low","Keep Satisfied","Manage Closely"),IF(D77="High","Keep Informed","Monitor")))</f>
        <v/>
      </c>
    </row>
    <row r="78" customFormat="false" ht="15" hidden="false" customHeight="true" outlineLevel="0" collapsed="false">
      <c r="A78" s="4"/>
      <c r="B78" s="4"/>
      <c r="C78" s="4"/>
      <c r="D78" s="4"/>
      <c r="E78" s="4"/>
      <c r="F78" s="4"/>
      <c r="G78" s="12" t="str">
        <f aca="false">IF(OR(E78="",F78=""),"",MATCH(F78,'Reference Data'!$A$3:$A$6,0)-MATCH(E78,'Reference Data'!$A$3:$A$6,0))</f>
        <v/>
      </c>
      <c r="H78" s="12" t="str">
        <f aca="false">IF(OR(C78="",G78=""),"",IF(AND(C78="High",G78&gt;=1),"Critical",IF(OR(C78="High",G78&gt;=2),"High",IF(G78&gt;=1,"Medium","Maintain"))))</f>
        <v/>
      </c>
      <c r="I78" s="12" t="str">
        <f aca="false">IF(OR(C78="",D78=""),"",IF(C78="High",IF(D78="Low","Keep Satisfied","Manage Closely"),IF(D78="High","Keep Informed","Monitor")))</f>
        <v/>
      </c>
    </row>
    <row r="79" customFormat="false" ht="15" hidden="false" customHeight="true" outlineLevel="0" collapsed="false">
      <c r="A79" s="4"/>
      <c r="B79" s="4"/>
      <c r="C79" s="4"/>
      <c r="D79" s="4"/>
      <c r="E79" s="4"/>
      <c r="F79" s="4"/>
      <c r="G79" s="12" t="str">
        <f aca="false">IF(OR(E79="",F79=""),"",MATCH(F79,'Reference Data'!$A$3:$A$6,0)-MATCH(E79,'Reference Data'!$A$3:$A$6,0))</f>
        <v/>
      </c>
      <c r="H79" s="12" t="str">
        <f aca="false">IF(OR(C79="",G79=""),"",IF(AND(C79="High",G79&gt;=1),"Critical",IF(OR(C79="High",G79&gt;=2),"High",IF(G79&gt;=1,"Medium","Maintain"))))</f>
        <v/>
      </c>
      <c r="I79" s="12" t="str">
        <f aca="false">IF(OR(C79="",D79=""),"",IF(C79="High",IF(D79="Low","Keep Satisfied","Manage Closely"),IF(D79="High","Keep Informed","Monitor")))</f>
        <v/>
      </c>
    </row>
    <row r="80" customFormat="false" ht="15" hidden="false" customHeight="true" outlineLevel="0" collapsed="false">
      <c r="A80" s="4"/>
      <c r="B80" s="4"/>
      <c r="C80" s="4"/>
      <c r="D80" s="4"/>
      <c r="E80" s="4"/>
      <c r="F80" s="4"/>
      <c r="G80" s="12" t="str">
        <f aca="false">IF(OR(E80="",F80=""),"",MATCH(F80,'Reference Data'!$A$3:$A$6,0)-MATCH(E80,'Reference Data'!$A$3:$A$6,0))</f>
        <v/>
      </c>
      <c r="H80" s="12" t="str">
        <f aca="false">IF(OR(C80="",G80=""),"",IF(AND(C80="High",G80&gt;=1),"Critical",IF(OR(C80="High",G80&gt;=2),"High",IF(G80&gt;=1,"Medium","Maintain"))))</f>
        <v/>
      </c>
      <c r="I80" s="12" t="str">
        <f aca="false">IF(OR(C80="",D80=""),"",IF(C80="High",IF(D80="Low","Keep Satisfied","Manage Closely"),IF(D80="High","Keep Informed","Monitor")))</f>
        <v/>
      </c>
    </row>
    <row r="81" customFormat="false" ht="15" hidden="false" customHeight="true" outlineLevel="0" collapsed="false">
      <c r="A81" s="4"/>
      <c r="B81" s="4"/>
      <c r="C81" s="4"/>
      <c r="D81" s="4"/>
      <c r="E81" s="4"/>
      <c r="F81" s="4"/>
      <c r="G81" s="12" t="str">
        <f aca="false">IF(OR(E81="",F81=""),"",MATCH(F81,'Reference Data'!$A$3:$A$6,0)-MATCH(E81,'Reference Data'!$A$3:$A$6,0))</f>
        <v/>
      </c>
      <c r="H81" s="12" t="str">
        <f aca="false">IF(OR(C81="",G81=""),"",IF(AND(C81="High",G81&gt;=1),"Critical",IF(OR(C81="High",G81&gt;=2),"High",IF(G81&gt;=1,"Medium","Maintain"))))</f>
        <v/>
      </c>
      <c r="I81" s="12" t="str">
        <f aca="false">IF(OR(C81="",D81=""),"",IF(C81="High",IF(D81="Low","Keep Satisfied","Manage Closely"),IF(D81="High","Keep Informed","Monitor")))</f>
        <v/>
      </c>
    </row>
    <row r="82" customFormat="false" ht="15" hidden="false" customHeight="true" outlineLevel="0" collapsed="false">
      <c r="A82" s="4"/>
      <c r="B82" s="4"/>
      <c r="C82" s="4"/>
      <c r="D82" s="4"/>
      <c r="E82" s="4"/>
      <c r="F82" s="4"/>
      <c r="G82" s="12" t="str">
        <f aca="false">IF(OR(E82="",F82=""),"",MATCH(F82,'Reference Data'!$A$3:$A$6,0)-MATCH(E82,'Reference Data'!$A$3:$A$6,0))</f>
        <v/>
      </c>
      <c r="H82" s="12" t="str">
        <f aca="false">IF(OR(C82="",G82=""),"",IF(AND(C82="High",G82&gt;=1),"Critical",IF(OR(C82="High",G82&gt;=2),"High",IF(G82&gt;=1,"Medium","Maintain"))))</f>
        <v/>
      </c>
      <c r="I82" s="12" t="str">
        <f aca="false">IF(OR(C82="",D82=""),"",IF(C82="High",IF(D82="Low","Keep Satisfied","Manage Closely"),IF(D82="High","Keep Informed","Monitor")))</f>
        <v/>
      </c>
    </row>
    <row r="83" customFormat="false" ht="15" hidden="false" customHeight="true" outlineLevel="0" collapsed="false">
      <c r="A83" s="4"/>
      <c r="B83" s="4"/>
      <c r="C83" s="4"/>
      <c r="D83" s="4"/>
      <c r="E83" s="4"/>
      <c r="F83" s="4"/>
      <c r="G83" s="12" t="str">
        <f aca="false">IF(OR(E83="",F83=""),"",MATCH(F83,'Reference Data'!$A$3:$A$6,0)-MATCH(E83,'Reference Data'!$A$3:$A$6,0))</f>
        <v/>
      </c>
      <c r="H83" s="12" t="str">
        <f aca="false">IF(OR(C83="",G83=""),"",IF(AND(C83="High",G83&gt;=1),"Critical",IF(OR(C83="High",G83&gt;=2),"High",IF(G83&gt;=1,"Medium","Maintain"))))</f>
        <v/>
      </c>
      <c r="I83" s="12" t="str">
        <f aca="false">IF(OR(C83="",D83=""),"",IF(C83="High",IF(D83="Low","Keep Satisfied","Manage Closely"),IF(D83="High","Keep Informed","Monitor")))</f>
        <v/>
      </c>
    </row>
    <row r="84" customFormat="false" ht="15" hidden="false" customHeight="true" outlineLevel="0" collapsed="false">
      <c r="A84" s="4"/>
      <c r="B84" s="4"/>
      <c r="C84" s="4"/>
      <c r="D84" s="4"/>
      <c r="E84" s="4"/>
      <c r="F84" s="4"/>
      <c r="G84" s="12" t="str">
        <f aca="false">IF(OR(E84="",F84=""),"",MATCH(F84,'Reference Data'!$A$3:$A$6,0)-MATCH(E84,'Reference Data'!$A$3:$A$6,0))</f>
        <v/>
      </c>
      <c r="H84" s="12" t="str">
        <f aca="false">IF(OR(C84="",G84=""),"",IF(AND(C84="High",G84&gt;=1),"Critical",IF(OR(C84="High",G84&gt;=2),"High",IF(G84&gt;=1,"Medium","Maintain"))))</f>
        <v/>
      </c>
      <c r="I84" s="12" t="str">
        <f aca="false">IF(OR(C84="",D84=""),"",IF(C84="High",IF(D84="Low","Keep Satisfied","Manage Closely"),IF(D84="High","Keep Informed","Monitor")))</f>
        <v/>
      </c>
    </row>
    <row r="85" customFormat="false" ht="15" hidden="false" customHeight="true" outlineLevel="0" collapsed="false">
      <c r="A85" s="4"/>
      <c r="B85" s="4"/>
      <c r="C85" s="4"/>
      <c r="D85" s="4"/>
      <c r="E85" s="4"/>
      <c r="F85" s="4"/>
      <c r="G85" s="12" t="str">
        <f aca="false">IF(OR(E85="",F85=""),"",MATCH(F85,'Reference Data'!$A$3:$A$6,0)-MATCH(E85,'Reference Data'!$A$3:$A$6,0))</f>
        <v/>
      </c>
      <c r="H85" s="12" t="str">
        <f aca="false">IF(OR(C85="",G85=""),"",IF(AND(C85="High",G85&gt;=1),"Critical",IF(OR(C85="High",G85&gt;=2),"High",IF(G85&gt;=1,"Medium","Maintain"))))</f>
        <v/>
      </c>
      <c r="I85" s="12" t="str">
        <f aca="false">IF(OR(C85="",D85=""),"",IF(C85="High",IF(D85="Low","Keep Satisfied","Manage Closely"),IF(D85="High","Keep Informed","Monitor")))</f>
        <v/>
      </c>
    </row>
    <row r="86" customFormat="false" ht="15" hidden="false" customHeight="true" outlineLevel="0" collapsed="false">
      <c r="A86" s="4"/>
      <c r="B86" s="4"/>
      <c r="C86" s="4"/>
      <c r="D86" s="4"/>
      <c r="E86" s="4"/>
      <c r="F86" s="4"/>
      <c r="G86" s="12" t="str">
        <f aca="false">IF(OR(E86="",F86=""),"",MATCH(F86,'Reference Data'!$A$3:$A$6,0)-MATCH(E86,'Reference Data'!$A$3:$A$6,0))</f>
        <v/>
      </c>
      <c r="H86" s="12" t="str">
        <f aca="false">IF(OR(C86="",G86=""),"",IF(AND(C86="High",G86&gt;=1),"Critical",IF(OR(C86="High",G86&gt;=2),"High",IF(G86&gt;=1,"Medium","Maintain"))))</f>
        <v/>
      </c>
      <c r="I86" s="12" t="str">
        <f aca="false">IF(OR(C86="",D86=""),"",IF(C86="High",IF(D86="Low","Keep Satisfied","Manage Closely"),IF(D86="High","Keep Informed","Monitor")))</f>
        <v/>
      </c>
    </row>
    <row r="87" customFormat="false" ht="15" hidden="false" customHeight="true" outlineLevel="0" collapsed="false">
      <c r="A87" s="4"/>
      <c r="B87" s="4"/>
      <c r="C87" s="4"/>
      <c r="D87" s="4"/>
      <c r="E87" s="4"/>
      <c r="F87" s="4"/>
      <c r="G87" s="12" t="str">
        <f aca="false">IF(OR(E87="",F87=""),"",MATCH(F87,'Reference Data'!$A$3:$A$6,0)-MATCH(E87,'Reference Data'!$A$3:$A$6,0))</f>
        <v/>
      </c>
      <c r="H87" s="12" t="str">
        <f aca="false">IF(OR(C87="",G87=""),"",IF(AND(C87="High",G87&gt;=1),"Critical",IF(OR(C87="High",G87&gt;=2),"High",IF(G87&gt;=1,"Medium","Maintain"))))</f>
        <v/>
      </c>
      <c r="I87" s="12" t="str">
        <f aca="false">IF(OR(C87="",D87=""),"",IF(C87="High",IF(D87="Low","Keep Satisfied","Manage Closely"),IF(D87="High","Keep Informed","Monitor")))</f>
        <v/>
      </c>
    </row>
    <row r="88" customFormat="false" ht="15" hidden="false" customHeight="true" outlineLevel="0" collapsed="false">
      <c r="A88" s="4"/>
      <c r="B88" s="4"/>
      <c r="C88" s="4"/>
      <c r="D88" s="4"/>
      <c r="E88" s="4"/>
      <c r="F88" s="4"/>
      <c r="G88" s="12" t="str">
        <f aca="false">IF(OR(E88="",F88=""),"",MATCH(F88,'Reference Data'!$A$3:$A$6,0)-MATCH(E88,'Reference Data'!$A$3:$A$6,0))</f>
        <v/>
      </c>
      <c r="H88" s="12" t="str">
        <f aca="false">IF(OR(C88="",G88=""),"",IF(AND(C88="High",G88&gt;=1),"Critical",IF(OR(C88="High",G88&gt;=2),"High",IF(G88&gt;=1,"Medium","Maintain"))))</f>
        <v/>
      </c>
      <c r="I88" s="12" t="str">
        <f aca="false">IF(OR(C88="",D88=""),"",IF(C88="High",IF(D88="Low","Keep Satisfied","Manage Closely"),IF(D88="High","Keep Informed","Monitor")))</f>
        <v/>
      </c>
    </row>
    <row r="89" customFormat="false" ht="15" hidden="false" customHeight="true" outlineLevel="0" collapsed="false">
      <c r="A89" s="4"/>
      <c r="B89" s="4"/>
      <c r="C89" s="4"/>
      <c r="D89" s="4"/>
      <c r="E89" s="4"/>
      <c r="F89" s="4"/>
      <c r="G89" s="12" t="str">
        <f aca="false">IF(OR(E89="",F89=""),"",MATCH(F89,'Reference Data'!$A$3:$A$6,0)-MATCH(E89,'Reference Data'!$A$3:$A$6,0))</f>
        <v/>
      </c>
      <c r="H89" s="12" t="str">
        <f aca="false">IF(OR(C89="",G89=""),"",IF(AND(C89="High",G89&gt;=1),"Critical",IF(OR(C89="High",G89&gt;=2),"High",IF(G89&gt;=1,"Medium","Maintain"))))</f>
        <v/>
      </c>
      <c r="I89" s="12" t="str">
        <f aca="false">IF(OR(C89="",D89=""),"",IF(C89="High",IF(D89="Low","Keep Satisfied","Manage Closely"),IF(D89="High","Keep Informed","Monitor")))</f>
        <v/>
      </c>
    </row>
    <row r="90" customFormat="false" ht="15" hidden="false" customHeight="true" outlineLevel="0" collapsed="false">
      <c r="A90" s="4"/>
      <c r="B90" s="4"/>
      <c r="C90" s="4"/>
      <c r="D90" s="4"/>
      <c r="E90" s="4"/>
      <c r="F90" s="4"/>
      <c r="G90" s="12" t="str">
        <f aca="false">IF(OR(E90="",F90=""),"",MATCH(F90,'Reference Data'!$A$3:$A$6,0)-MATCH(E90,'Reference Data'!$A$3:$A$6,0))</f>
        <v/>
      </c>
      <c r="H90" s="12" t="str">
        <f aca="false">IF(OR(C90="",G90=""),"",IF(AND(C90="High",G90&gt;=1),"Critical",IF(OR(C90="High",G90&gt;=2),"High",IF(G90&gt;=1,"Medium","Maintain"))))</f>
        <v/>
      </c>
      <c r="I90" s="12" t="str">
        <f aca="false">IF(OR(C90="",D90=""),"",IF(C90="High",IF(D90="Low","Keep Satisfied","Manage Closely"),IF(D90="High","Keep Informed","Monitor")))</f>
        <v/>
      </c>
    </row>
    <row r="91" customFormat="false" ht="15" hidden="false" customHeight="true" outlineLevel="0" collapsed="false">
      <c r="A91" s="4"/>
      <c r="B91" s="4"/>
      <c r="C91" s="4"/>
      <c r="D91" s="4"/>
      <c r="E91" s="4"/>
      <c r="F91" s="4"/>
      <c r="G91" s="12" t="str">
        <f aca="false">IF(OR(E91="",F91=""),"",MATCH(F91,'Reference Data'!$A$3:$A$6,0)-MATCH(E91,'Reference Data'!$A$3:$A$6,0))</f>
        <v/>
      </c>
      <c r="H91" s="12" t="str">
        <f aca="false">IF(OR(C91="",G91=""),"",IF(AND(C91="High",G91&gt;=1),"Critical",IF(OR(C91="High",G91&gt;=2),"High",IF(G91&gt;=1,"Medium","Maintain"))))</f>
        <v/>
      </c>
      <c r="I91" s="12" t="str">
        <f aca="false">IF(OR(C91="",D91=""),"",IF(C91="High",IF(D91="Low","Keep Satisfied","Manage Closely"),IF(D91="High","Keep Informed","Monitor")))</f>
        <v/>
      </c>
    </row>
    <row r="92" customFormat="false" ht="15" hidden="false" customHeight="true" outlineLevel="0" collapsed="false">
      <c r="A92" s="4"/>
      <c r="B92" s="4"/>
      <c r="C92" s="4"/>
      <c r="D92" s="4"/>
      <c r="E92" s="4"/>
      <c r="F92" s="4"/>
      <c r="G92" s="12" t="str">
        <f aca="false">IF(OR(E92="",F92=""),"",MATCH(F92,'Reference Data'!$A$3:$A$6,0)-MATCH(E92,'Reference Data'!$A$3:$A$6,0))</f>
        <v/>
      </c>
      <c r="H92" s="12" t="str">
        <f aca="false">IF(OR(C92="",G92=""),"",IF(AND(C92="High",G92&gt;=1),"Critical",IF(OR(C92="High",G92&gt;=2),"High",IF(G92&gt;=1,"Medium","Maintain"))))</f>
        <v/>
      </c>
      <c r="I92" s="12" t="str">
        <f aca="false">IF(OR(C92="",D92=""),"",IF(C92="High",IF(D92="Low","Keep Satisfied","Manage Closely"),IF(D92="High","Keep Informed","Monitor")))</f>
        <v/>
      </c>
    </row>
    <row r="93" customFormat="false" ht="15" hidden="false" customHeight="true" outlineLevel="0" collapsed="false">
      <c r="A93" s="4"/>
      <c r="B93" s="4"/>
      <c r="C93" s="4"/>
      <c r="D93" s="4"/>
      <c r="E93" s="4"/>
      <c r="F93" s="4"/>
      <c r="G93" s="12" t="str">
        <f aca="false">IF(OR(E93="",F93=""),"",MATCH(F93,'Reference Data'!$A$3:$A$6,0)-MATCH(E93,'Reference Data'!$A$3:$A$6,0))</f>
        <v/>
      </c>
      <c r="H93" s="12" t="str">
        <f aca="false">IF(OR(C93="",G93=""),"",IF(AND(C93="High",G93&gt;=1),"Critical",IF(OR(C93="High",G93&gt;=2),"High",IF(G93&gt;=1,"Medium","Maintain"))))</f>
        <v/>
      </c>
      <c r="I93" s="12" t="str">
        <f aca="false">IF(OR(C93="",D93=""),"",IF(C93="High",IF(D93="Low","Keep Satisfied","Manage Closely"),IF(D93="High","Keep Informed","Monitor")))</f>
        <v/>
      </c>
    </row>
    <row r="94" customFormat="false" ht="15" hidden="false" customHeight="true" outlineLevel="0" collapsed="false">
      <c r="A94" s="4"/>
      <c r="B94" s="4"/>
      <c r="C94" s="4"/>
      <c r="D94" s="4"/>
      <c r="E94" s="4"/>
      <c r="F94" s="4"/>
      <c r="G94" s="12" t="str">
        <f aca="false">IF(OR(E94="",F94=""),"",MATCH(F94,'Reference Data'!$A$3:$A$6,0)-MATCH(E94,'Reference Data'!$A$3:$A$6,0))</f>
        <v/>
      </c>
      <c r="H94" s="12" t="str">
        <f aca="false">IF(OR(C94="",G94=""),"",IF(AND(C94="High",G94&gt;=1),"Critical",IF(OR(C94="High",G94&gt;=2),"High",IF(G94&gt;=1,"Medium","Maintain"))))</f>
        <v/>
      </c>
      <c r="I94" s="12" t="str">
        <f aca="false">IF(OR(C94="",D94=""),"",IF(C94="High",IF(D94="Low","Keep Satisfied","Manage Closely"),IF(D94="High","Keep Informed","Monitor")))</f>
        <v/>
      </c>
    </row>
    <row r="95" customFormat="false" ht="15" hidden="false" customHeight="true" outlineLevel="0" collapsed="false">
      <c r="A95" s="4"/>
      <c r="B95" s="4"/>
      <c r="C95" s="4"/>
      <c r="D95" s="4"/>
      <c r="E95" s="4"/>
      <c r="F95" s="4"/>
      <c r="G95" s="12" t="str">
        <f aca="false">IF(OR(E95="",F95=""),"",MATCH(F95,'Reference Data'!$A$3:$A$6,0)-MATCH(E95,'Reference Data'!$A$3:$A$6,0))</f>
        <v/>
      </c>
      <c r="H95" s="12" t="str">
        <f aca="false">IF(OR(C95="",G95=""),"",IF(AND(C95="High",G95&gt;=1),"Critical",IF(OR(C95="High",G95&gt;=2),"High",IF(G95&gt;=1,"Medium","Maintain"))))</f>
        <v/>
      </c>
      <c r="I95" s="12" t="str">
        <f aca="false">IF(OR(C95="",D95=""),"",IF(C95="High",IF(D95="Low","Keep Satisfied","Manage Closely"),IF(D95="High","Keep Informed","Monitor")))</f>
        <v/>
      </c>
    </row>
    <row r="96" customFormat="false" ht="15" hidden="false" customHeight="true" outlineLevel="0" collapsed="false">
      <c r="A96" s="4"/>
      <c r="B96" s="4"/>
      <c r="C96" s="4"/>
      <c r="D96" s="4"/>
      <c r="E96" s="4"/>
      <c r="F96" s="4"/>
      <c r="G96" s="12" t="str">
        <f aca="false">IF(OR(E96="",F96=""),"",MATCH(F96,'Reference Data'!$A$3:$A$6,0)-MATCH(E96,'Reference Data'!$A$3:$A$6,0))</f>
        <v/>
      </c>
      <c r="H96" s="12" t="str">
        <f aca="false">IF(OR(C96="",G96=""),"",IF(AND(C96="High",G96&gt;=1),"Critical",IF(OR(C96="High",G96&gt;=2),"High",IF(G96&gt;=1,"Medium","Maintain"))))</f>
        <v/>
      </c>
      <c r="I96" s="12" t="str">
        <f aca="false">IF(OR(C96="",D96=""),"",IF(C96="High",IF(D96="Low","Keep Satisfied","Manage Closely"),IF(D96="High","Keep Informed","Monitor")))</f>
        <v/>
      </c>
    </row>
    <row r="97" customFormat="false" ht="15" hidden="false" customHeight="true" outlineLevel="0" collapsed="false">
      <c r="A97" s="4"/>
      <c r="B97" s="4"/>
      <c r="C97" s="4"/>
      <c r="D97" s="4"/>
      <c r="E97" s="4"/>
      <c r="F97" s="4"/>
      <c r="G97" s="12" t="str">
        <f aca="false">IF(OR(E97="",F97=""),"",MATCH(F97,'Reference Data'!$A$3:$A$6,0)-MATCH(E97,'Reference Data'!$A$3:$A$6,0))</f>
        <v/>
      </c>
      <c r="H97" s="12" t="str">
        <f aca="false">IF(OR(C97="",G97=""),"",IF(AND(C97="High",G97&gt;=1),"Critical",IF(OR(C97="High",G97&gt;=2),"High",IF(G97&gt;=1,"Medium","Maintain"))))</f>
        <v/>
      </c>
      <c r="I97" s="12" t="str">
        <f aca="false">IF(OR(C97="",D97=""),"",IF(C97="High",IF(D97="Low","Keep Satisfied","Manage Closely"),IF(D97="High","Keep Informed","Monitor")))</f>
        <v/>
      </c>
    </row>
    <row r="98" customFormat="false" ht="15" hidden="false" customHeight="true" outlineLevel="0" collapsed="false">
      <c r="A98" s="4"/>
      <c r="B98" s="4"/>
      <c r="C98" s="4"/>
      <c r="D98" s="4"/>
      <c r="E98" s="4"/>
      <c r="F98" s="4"/>
      <c r="G98" s="12" t="str">
        <f aca="false">IF(OR(E98="",F98=""),"",MATCH(F98,'Reference Data'!$A$3:$A$6,0)-MATCH(E98,'Reference Data'!$A$3:$A$6,0))</f>
        <v/>
      </c>
      <c r="H98" s="12" t="str">
        <f aca="false">IF(OR(C98="",G98=""),"",IF(AND(C98="High",G98&gt;=1),"Critical",IF(OR(C98="High",G98&gt;=2),"High",IF(G98&gt;=1,"Medium","Maintain"))))</f>
        <v/>
      </c>
      <c r="I98" s="12" t="str">
        <f aca="false">IF(OR(C98="",D98=""),"",IF(C98="High",IF(D98="Low","Keep Satisfied","Manage Closely"),IF(D98="High","Keep Informed","Monitor")))</f>
        <v/>
      </c>
    </row>
    <row r="99" customFormat="false" ht="15" hidden="false" customHeight="true" outlineLevel="0" collapsed="false">
      <c r="A99" s="4"/>
      <c r="B99" s="4"/>
      <c r="C99" s="4"/>
      <c r="D99" s="4"/>
      <c r="E99" s="4"/>
      <c r="F99" s="4"/>
      <c r="G99" s="12" t="str">
        <f aca="false">IF(OR(E99="",F99=""),"",MATCH(F99,'Reference Data'!$A$3:$A$6,0)-MATCH(E99,'Reference Data'!$A$3:$A$6,0))</f>
        <v/>
      </c>
      <c r="H99" s="12" t="str">
        <f aca="false">IF(OR(C99="",G99=""),"",IF(AND(C99="High",G99&gt;=1),"Critical",IF(OR(C99="High",G99&gt;=2),"High",IF(G99&gt;=1,"Medium","Maintain"))))</f>
        <v/>
      </c>
      <c r="I99" s="12" t="str">
        <f aca="false">IF(OR(C99="",D99=""),"",IF(C99="High",IF(D99="Low","Keep Satisfied","Manage Closely"),IF(D99="High","Keep Informed","Monitor")))</f>
        <v/>
      </c>
    </row>
    <row r="100" customFormat="false" ht="15" hidden="false" customHeight="true" outlineLevel="0" collapsed="false">
      <c r="A100" s="4"/>
      <c r="B100" s="4"/>
      <c r="C100" s="4"/>
      <c r="D100" s="4"/>
      <c r="E100" s="4"/>
      <c r="F100" s="4"/>
      <c r="G100" s="12" t="str">
        <f aca="false">IF(OR(E100="",F100=""),"",MATCH(F100,'Reference Data'!$A$3:$A$6,0)-MATCH(E100,'Reference Data'!$A$3:$A$6,0))</f>
        <v/>
      </c>
      <c r="H100" s="12" t="str">
        <f aca="false">IF(OR(C100="",G100=""),"",IF(AND(C100="High",G100&gt;=1),"Critical",IF(OR(C100="High",G100&gt;=2),"High",IF(G100&gt;=1,"Medium","Maintain"))))</f>
        <v/>
      </c>
      <c r="I100" s="12" t="str">
        <f aca="false">IF(OR(C100="",D100=""),"",IF(C100="High",IF(D100="Low","Keep Satisfied","Manage Closely"),IF(D100="High","Keep Informed","Monitor")))</f>
        <v/>
      </c>
    </row>
    <row r="101" customFormat="false" ht="15" hidden="false" customHeight="true" outlineLevel="0" collapsed="false">
      <c r="A101" s="4"/>
      <c r="B101" s="4"/>
      <c r="C101" s="4"/>
      <c r="D101" s="4"/>
      <c r="E101" s="4"/>
      <c r="F101" s="4"/>
      <c r="G101" s="12" t="str">
        <f aca="false">IF(OR(E101="",F101=""),"",MATCH(F101,'Reference Data'!$A$3:$A$6,0)-MATCH(E101,'Reference Data'!$A$3:$A$6,0))</f>
        <v/>
      </c>
      <c r="H101" s="12" t="str">
        <f aca="false">IF(OR(C101="",G101=""),"",IF(AND(C101="High",G101&gt;=1),"Critical",IF(OR(C101="High",G101&gt;=2),"High",IF(G101&gt;=1,"Medium","Maintain"))))</f>
        <v/>
      </c>
      <c r="I101" s="12" t="str">
        <f aca="false">IF(OR(C101="",D101=""),"",IF(C101="High",IF(D101="Low","Keep Satisfied","Manage Closely"),IF(D101="High","Keep Informed","Monitor")))</f>
        <v/>
      </c>
    </row>
    <row r="102" customFormat="false" ht="15" hidden="false" customHeight="true" outlineLevel="0" collapsed="false">
      <c r="A102" s="4"/>
      <c r="B102" s="4"/>
      <c r="C102" s="4"/>
      <c r="D102" s="4"/>
      <c r="E102" s="4"/>
      <c r="F102" s="4"/>
      <c r="G102" s="12" t="str">
        <f aca="false">IF(OR(E102="",F102=""),"",MATCH(F102,'Reference Data'!$A$3:$A$6,0)-MATCH(E102,'Reference Data'!$A$3:$A$6,0))</f>
        <v/>
      </c>
      <c r="H102" s="12" t="str">
        <f aca="false">IF(OR(C102="",G102=""),"",IF(AND(C102="High",G102&gt;=1),"Critical",IF(OR(C102="High",G102&gt;=2),"High",IF(G102&gt;=1,"Medium","Maintain"))))</f>
        <v/>
      </c>
      <c r="I102" s="12" t="str">
        <f aca="false">IF(OR(C102="",D102=""),"",IF(C102="High",IF(D102="Low","Keep Satisfied","Manage Closely"),IF(D102="High","Keep Informed","Monitor")))</f>
        <v/>
      </c>
    </row>
    <row r="103" customFormat="false" ht="15" hidden="false" customHeight="true" outlineLevel="0" collapsed="false">
      <c r="A103" s="4"/>
      <c r="B103" s="4"/>
      <c r="C103" s="4"/>
      <c r="D103" s="4"/>
      <c r="E103" s="4"/>
      <c r="F103" s="4"/>
      <c r="G103" s="12" t="str">
        <f aca="false">IF(OR(E103="",F103=""),"",MATCH(F103,'Reference Data'!$A$3:$A$6,0)-MATCH(E103,'Reference Data'!$A$3:$A$6,0))</f>
        <v/>
      </c>
      <c r="H103" s="12" t="str">
        <f aca="false">IF(OR(C103="",G103=""),"",IF(AND(C103="High",G103&gt;=1),"Critical",IF(OR(C103="High",G103&gt;=2),"High",IF(G103&gt;=1,"Medium","Maintain"))))</f>
        <v/>
      </c>
      <c r="I103" s="12" t="str">
        <f aca="false">IF(OR(C103="",D103=""),"",IF(C103="High",IF(D103="Low","Keep Satisfied","Manage Closely"),IF(D103="High","Keep Informed","Monitor")))</f>
        <v/>
      </c>
    </row>
    <row r="104" customFormat="false" ht="15" hidden="false" customHeight="true" outlineLevel="0" collapsed="false">
      <c r="A104" s="4"/>
      <c r="B104" s="4"/>
      <c r="C104" s="4"/>
      <c r="D104" s="4"/>
      <c r="E104" s="4"/>
      <c r="F104" s="4"/>
      <c r="G104" s="12" t="str">
        <f aca="false">IF(OR(E104="",F104=""),"",MATCH(F104,'Reference Data'!$A$3:$A$6,0)-MATCH(E104,'Reference Data'!$A$3:$A$6,0))</f>
        <v/>
      </c>
      <c r="H104" s="12" t="str">
        <f aca="false">IF(OR(C104="",G104=""),"",IF(AND(C104="High",G104&gt;=1),"Critical",IF(OR(C104="High",G104&gt;=2),"High",IF(G104&gt;=1,"Medium","Maintain"))))</f>
        <v/>
      </c>
      <c r="I104" s="12" t="str">
        <f aca="false">IF(OR(C104="",D104=""),"",IF(C104="High",IF(D104="Low","Keep Satisfied","Manage Closely"),IF(D104="High","Keep Informed","Monitor")))</f>
        <v/>
      </c>
    </row>
    <row r="105" customFormat="false" ht="15" hidden="false" customHeight="true" outlineLevel="0" collapsed="false">
      <c r="A105" s="4"/>
      <c r="B105" s="4"/>
      <c r="C105" s="4"/>
      <c r="D105" s="4"/>
      <c r="E105" s="4"/>
      <c r="F105" s="4"/>
      <c r="G105" s="12" t="str">
        <f aca="false">IF(OR(E105="",F105=""),"",MATCH(F105,'Reference Data'!$A$3:$A$6,0)-MATCH(E105,'Reference Data'!$A$3:$A$6,0))</f>
        <v/>
      </c>
      <c r="H105" s="12" t="str">
        <f aca="false">IF(OR(C105="",G105=""),"",IF(AND(C105="High",G105&gt;=1),"Critical",IF(OR(C105="High",G105&gt;=2),"High",IF(G105&gt;=1,"Medium","Maintain"))))</f>
        <v/>
      </c>
      <c r="I105" s="12" t="str">
        <f aca="false">IF(OR(C105="",D105=""),"",IF(C105="High",IF(D105="Low","Keep Satisfied","Manage Closely"),IF(D105="High","Keep Informed","Monitor")))</f>
        <v/>
      </c>
    </row>
    <row r="106" customFormat="false" ht="15" hidden="false" customHeight="true" outlineLevel="0" collapsed="false">
      <c r="A106" s="4"/>
      <c r="B106" s="4"/>
      <c r="C106" s="4"/>
      <c r="D106" s="4"/>
      <c r="E106" s="4"/>
      <c r="F106" s="4"/>
      <c r="G106" s="12" t="str">
        <f aca="false">IF(OR(E106="",F106=""),"",MATCH(F106,'Reference Data'!$A$3:$A$6,0)-MATCH(E106,'Reference Data'!$A$3:$A$6,0))</f>
        <v/>
      </c>
      <c r="H106" s="12" t="str">
        <f aca="false">IF(OR(C106="",G106=""),"",IF(AND(C106="High",G106&gt;=1),"Critical",IF(OR(C106="High",G106&gt;=2),"High",IF(G106&gt;=1,"Medium","Maintain"))))</f>
        <v/>
      </c>
      <c r="I106" s="12" t="str">
        <f aca="false">IF(OR(C106="",D106=""),"",IF(C106="High",IF(D106="Low","Keep Satisfied","Manage Closely"),IF(D106="High","Keep Informed","Monitor")))</f>
        <v/>
      </c>
    </row>
    <row r="107" customFormat="false" ht="15" hidden="false" customHeight="true" outlineLevel="0" collapsed="false">
      <c r="A107" s="4"/>
      <c r="B107" s="4"/>
      <c r="C107" s="4"/>
      <c r="D107" s="4"/>
      <c r="E107" s="4"/>
      <c r="F107" s="4"/>
      <c r="G107" s="12" t="str">
        <f aca="false">IF(OR(E107="",F107=""),"",MATCH(F107,'Reference Data'!$A$3:$A$6,0)-MATCH(E107,'Reference Data'!$A$3:$A$6,0))</f>
        <v/>
      </c>
      <c r="H107" s="12" t="str">
        <f aca="false">IF(OR(C107="",G107=""),"",IF(AND(C107="High",G107&gt;=1),"Critical",IF(OR(C107="High",G107&gt;=2),"High",IF(G107&gt;=1,"Medium","Maintain"))))</f>
        <v/>
      </c>
      <c r="I107" s="12" t="str">
        <f aca="false">IF(OR(C107="",D107=""),"",IF(C107="High",IF(D107="Low","Keep Satisfied","Manage Closely"),IF(D107="High","Keep Informed","Monitor")))</f>
        <v/>
      </c>
    </row>
    <row r="108" customFormat="false" ht="15" hidden="false" customHeight="true" outlineLevel="0" collapsed="false">
      <c r="A108" s="4"/>
      <c r="B108" s="4"/>
      <c r="C108" s="4"/>
      <c r="D108" s="4"/>
      <c r="E108" s="4"/>
      <c r="F108" s="4"/>
      <c r="G108" s="12" t="str">
        <f aca="false">IF(OR(E108="",F108=""),"",MATCH(F108,'Reference Data'!$A$3:$A$6,0)-MATCH(E108,'Reference Data'!$A$3:$A$6,0))</f>
        <v/>
      </c>
      <c r="H108" s="12" t="str">
        <f aca="false">IF(OR(C108="",G108=""),"",IF(AND(C108="High",G108&gt;=1),"Critical",IF(OR(C108="High",G108&gt;=2),"High",IF(G108&gt;=1,"Medium","Maintain"))))</f>
        <v/>
      </c>
      <c r="I108" s="12" t="str">
        <f aca="false">IF(OR(C108="",D108=""),"",IF(C108="High",IF(D108="Low","Keep Satisfied","Manage Closely"),IF(D108="High","Keep Informed","Monitor")))</f>
        <v/>
      </c>
    </row>
    <row r="109" customFormat="false" ht="15" hidden="false" customHeight="true" outlineLevel="0" collapsed="false">
      <c r="A109" s="4"/>
      <c r="B109" s="4"/>
      <c r="C109" s="4"/>
      <c r="D109" s="4"/>
      <c r="E109" s="4"/>
      <c r="F109" s="4"/>
      <c r="G109" s="12" t="str">
        <f aca="false">IF(OR(E109="",F109=""),"",MATCH(F109,'Reference Data'!$A$3:$A$6,0)-MATCH(E109,'Reference Data'!$A$3:$A$6,0))</f>
        <v/>
      </c>
      <c r="H109" s="12" t="str">
        <f aca="false">IF(OR(C109="",G109=""),"",IF(AND(C109="High",G109&gt;=1),"Critical",IF(OR(C109="High",G109&gt;=2),"High",IF(G109&gt;=1,"Medium","Maintain"))))</f>
        <v/>
      </c>
      <c r="I109" s="12" t="str">
        <f aca="false">IF(OR(C109="",D109=""),"",IF(C109="High",IF(D109="Low","Keep Satisfied","Manage Closely"),IF(D109="High","Keep Informed","Monitor")))</f>
        <v/>
      </c>
    </row>
    <row r="110" customFormat="false" ht="15" hidden="false" customHeight="true" outlineLevel="0" collapsed="false">
      <c r="A110" s="4"/>
      <c r="B110" s="4"/>
      <c r="C110" s="4"/>
      <c r="D110" s="4"/>
      <c r="E110" s="4"/>
      <c r="F110" s="4"/>
      <c r="G110" s="12" t="str">
        <f aca="false">IF(OR(E110="",F110=""),"",MATCH(F110,'Reference Data'!$A$3:$A$6,0)-MATCH(E110,'Reference Data'!$A$3:$A$6,0))</f>
        <v/>
      </c>
      <c r="H110" s="12" t="str">
        <f aca="false">IF(OR(C110="",G110=""),"",IF(AND(C110="High",G110&gt;=1),"Critical",IF(OR(C110="High",G110&gt;=2),"High",IF(G110&gt;=1,"Medium","Maintain"))))</f>
        <v/>
      </c>
      <c r="I110" s="12" t="str">
        <f aca="false">IF(OR(C110="",D110=""),"",IF(C110="High",IF(D110="Low","Keep Satisfied","Manage Closely"),IF(D110="High","Keep Informed","Monitor")))</f>
        <v/>
      </c>
    </row>
    <row r="111" customFormat="false" ht="15" hidden="false" customHeight="true" outlineLevel="0" collapsed="false">
      <c r="A111" s="4"/>
      <c r="B111" s="4"/>
      <c r="C111" s="4"/>
      <c r="D111" s="4"/>
      <c r="E111" s="4"/>
      <c r="F111" s="4"/>
      <c r="G111" s="12" t="str">
        <f aca="false">IF(OR(E111="",F111=""),"",MATCH(F111,'Reference Data'!$A$3:$A$6,0)-MATCH(E111,'Reference Data'!$A$3:$A$6,0))</f>
        <v/>
      </c>
      <c r="H111" s="12" t="str">
        <f aca="false">IF(OR(C111="",G111=""),"",IF(AND(C111="High",G111&gt;=1),"Critical",IF(OR(C111="High",G111&gt;=2),"High",IF(G111&gt;=1,"Medium","Maintain"))))</f>
        <v/>
      </c>
      <c r="I111" s="12" t="str">
        <f aca="false">IF(OR(C111="",D111=""),"",IF(C111="High",IF(D111="Low","Keep Satisfied","Manage Closely"),IF(D111="High","Keep Informed","Monitor")))</f>
        <v/>
      </c>
    </row>
    <row r="112" customFormat="false" ht="15" hidden="false" customHeight="true" outlineLevel="0" collapsed="false">
      <c r="A112" s="4"/>
      <c r="B112" s="4"/>
      <c r="C112" s="4"/>
      <c r="D112" s="4"/>
      <c r="E112" s="4"/>
      <c r="F112" s="4"/>
      <c r="G112" s="12" t="str">
        <f aca="false">IF(OR(E112="",F112=""),"",MATCH(F112,'Reference Data'!$A$3:$A$6,0)-MATCH(E112,'Reference Data'!$A$3:$A$6,0))</f>
        <v/>
      </c>
      <c r="H112" s="12" t="str">
        <f aca="false">IF(OR(C112="",G112=""),"",IF(AND(C112="High",G112&gt;=1),"Critical",IF(OR(C112="High",G112&gt;=2),"High",IF(G112&gt;=1,"Medium","Maintain"))))</f>
        <v/>
      </c>
      <c r="I112" s="12" t="str">
        <f aca="false">IF(OR(C112="",D112=""),"",IF(C112="High",IF(D112="Low","Keep Satisfied","Manage Closely"),IF(D112="High","Keep Informed","Monitor")))</f>
        <v/>
      </c>
    </row>
    <row r="113" customFormat="false" ht="15" hidden="false" customHeight="true" outlineLevel="0" collapsed="false">
      <c r="A113" s="4"/>
      <c r="B113" s="4"/>
      <c r="C113" s="4"/>
      <c r="D113" s="4"/>
      <c r="E113" s="4"/>
      <c r="F113" s="4"/>
      <c r="G113" s="12" t="str">
        <f aca="false">IF(OR(E113="",F113=""),"",MATCH(F113,'Reference Data'!$A$3:$A$6,0)-MATCH(E113,'Reference Data'!$A$3:$A$6,0))</f>
        <v/>
      </c>
      <c r="H113" s="12" t="str">
        <f aca="false">IF(OR(C113="",G113=""),"",IF(AND(C113="High",G113&gt;=1),"Critical",IF(OR(C113="High",G113&gt;=2),"High",IF(G113&gt;=1,"Medium","Maintain"))))</f>
        <v/>
      </c>
      <c r="I113" s="12" t="str">
        <f aca="false">IF(OR(C113="",D113=""),"",IF(C113="High",IF(D113="Low","Keep Satisfied","Manage Closely"),IF(D113="High","Keep Informed","Monitor")))</f>
        <v/>
      </c>
    </row>
    <row r="114" customFormat="false" ht="15" hidden="false" customHeight="true" outlineLevel="0" collapsed="false">
      <c r="A114" s="4"/>
      <c r="B114" s="4"/>
      <c r="C114" s="4"/>
      <c r="D114" s="4"/>
      <c r="E114" s="4"/>
      <c r="F114" s="4"/>
      <c r="G114" s="12" t="str">
        <f aca="false">IF(OR(E114="",F114=""),"",MATCH(F114,'Reference Data'!$A$3:$A$6,0)-MATCH(E114,'Reference Data'!$A$3:$A$6,0))</f>
        <v/>
      </c>
      <c r="H114" s="12" t="str">
        <f aca="false">IF(OR(C114="",G114=""),"",IF(AND(C114="High",G114&gt;=1),"Critical",IF(OR(C114="High",G114&gt;=2),"High",IF(G114&gt;=1,"Medium","Maintain"))))</f>
        <v/>
      </c>
      <c r="I114" s="12" t="str">
        <f aca="false">IF(OR(C114="",D114=""),"",IF(C114="High",IF(D114="Low","Keep Satisfied","Manage Closely"),IF(D114="High","Keep Informed","Monitor")))</f>
        <v/>
      </c>
    </row>
    <row r="115" customFormat="false" ht="15" hidden="false" customHeight="true" outlineLevel="0" collapsed="false">
      <c r="A115" s="4"/>
      <c r="B115" s="4"/>
      <c r="C115" s="4"/>
      <c r="D115" s="4"/>
      <c r="E115" s="4"/>
      <c r="F115" s="4"/>
      <c r="G115" s="12" t="str">
        <f aca="false">IF(OR(E115="",F115=""),"",MATCH(F115,'Reference Data'!$A$3:$A$6,0)-MATCH(E115,'Reference Data'!$A$3:$A$6,0))</f>
        <v/>
      </c>
      <c r="H115" s="12" t="str">
        <f aca="false">IF(OR(C115="",G115=""),"",IF(AND(C115="High",G115&gt;=1),"Critical",IF(OR(C115="High",G115&gt;=2),"High",IF(G115&gt;=1,"Medium","Maintain"))))</f>
        <v/>
      </c>
      <c r="I115" s="12" t="str">
        <f aca="false">IF(OR(C115="",D115=""),"",IF(C115="High",IF(D115="Low","Keep Satisfied","Manage Closely"),IF(D115="High","Keep Informed","Monitor")))</f>
        <v/>
      </c>
    </row>
    <row r="116" customFormat="false" ht="15" hidden="false" customHeight="true" outlineLevel="0" collapsed="false">
      <c r="A116" s="4"/>
      <c r="B116" s="4"/>
      <c r="C116" s="4"/>
      <c r="D116" s="4"/>
      <c r="E116" s="4"/>
      <c r="F116" s="4"/>
      <c r="G116" s="12" t="str">
        <f aca="false">IF(OR(E116="",F116=""),"",MATCH(F116,'Reference Data'!$A$3:$A$6,0)-MATCH(E116,'Reference Data'!$A$3:$A$6,0))</f>
        <v/>
      </c>
      <c r="H116" s="12" t="str">
        <f aca="false">IF(OR(C116="",G116=""),"",IF(AND(C116="High",G116&gt;=1),"Critical",IF(OR(C116="High",G116&gt;=2),"High",IF(G116&gt;=1,"Medium","Maintain"))))</f>
        <v/>
      </c>
      <c r="I116" s="12" t="str">
        <f aca="false">IF(OR(C116="",D116=""),"",IF(C116="High",IF(D116="Low","Keep Satisfied","Manage Closely"),IF(D116="High","Keep Informed","Monitor")))</f>
        <v/>
      </c>
    </row>
    <row r="117" customFormat="false" ht="15" hidden="false" customHeight="true" outlineLevel="0" collapsed="false">
      <c r="A117" s="4"/>
      <c r="B117" s="4"/>
      <c r="C117" s="4"/>
      <c r="D117" s="4"/>
      <c r="E117" s="4"/>
      <c r="F117" s="4"/>
      <c r="G117" s="12" t="str">
        <f aca="false">IF(OR(E117="",F117=""),"",MATCH(F117,'Reference Data'!$A$3:$A$6,0)-MATCH(E117,'Reference Data'!$A$3:$A$6,0))</f>
        <v/>
      </c>
      <c r="H117" s="12" t="str">
        <f aca="false">IF(OR(C117="",G117=""),"",IF(AND(C117="High",G117&gt;=1),"Critical",IF(OR(C117="High",G117&gt;=2),"High",IF(G117&gt;=1,"Medium","Maintain"))))</f>
        <v/>
      </c>
      <c r="I117" s="12" t="str">
        <f aca="false">IF(OR(C117="",D117=""),"",IF(C117="High",IF(D117="Low","Keep Satisfied","Manage Closely"),IF(D117="High","Keep Informed","Monitor")))</f>
        <v/>
      </c>
    </row>
    <row r="118" customFormat="false" ht="15" hidden="false" customHeight="true" outlineLevel="0" collapsed="false">
      <c r="A118" s="4"/>
      <c r="B118" s="4"/>
      <c r="C118" s="4"/>
      <c r="D118" s="4"/>
      <c r="E118" s="4"/>
      <c r="F118" s="4"/>
      <c r="G118" s="12" t="str">
        <f aca="false">IF(OR(E118="",F118=""),"",MATCH(F118,'Reference Data'!$A$3:$A$6,0)-MATCH(E118,'Reference Data'!$A$3:$A$6,0))</f>
        <v/>
      </c>
      <c r="H118" s="12" t="str">
        <f aca="false">IF(OR(C118="",G118=""),"",IF(AND(C118="High",G118&gt;=1),"Critical",IF(OR(C118="High",G118&gt;=2),"High",IF(G118&gt;=1,"Medium","Maintain"))))</f>
        <v/>
      </c>
      <c r="I118" s="12" t="str">
        <f aca="false">IF(OR(C118="",D118=""),"",IF(C118="High",IF(D118="Low","Keep Satisfied","Manage Closely"),IF(D118="High","Keep Informed","Monitor")))</f>
        <v/>
      </c>
    </row>
    <row r="119" customFormat="false" ht="15" hidden="false" customHeight="true" outlineLevel="0" collapsed="false">
      <c r="A119" s="4"/>
      <c r="B119" s="4"/>
      <c r="C119" s="4"/>
      <c r="D119" s="4"/>
      <c r="E119" s="4"/>
      <c r="F119" s="4"/>
      <c r="G119" s="12" t="str">
        <f aca="false">IF(OR(E119="",F119=""),"",MATCH(F119,'Reference Data'!$A$3:$A$6,0)-MATCH(E119,'Reference Data'!$A$3:$A$6,0))</f>
        <v/>
      </c>
      <c r="H119" s="12" t="str">
        <f aca="false">IF(OR(C119="",G119=""),"",IF(AND(C119="High",G119&gt;=1),"Critical",IF(OR(C119="High",G119&gt;=2),"High",IF(G119&gt;=1,"Medium","Maintain"))))</f>
        <v/>
      </c>
      <c r="I119" s="12" t="str">
        <f aca="false">IF(OR(C119="",D119=""),"",IF(C119="High",IF(D119="Low","Keep Satisfied","Manage Closely"),IF(D119="High","Keep Informed","Monitor")))</f>
        <v/>
      </c>
    </row>
    <row r="120" customFormat="false" ht="15" hidden="false" customHeight="true" outlineLevel="0" collapsed="false">
      <c r="A120" s="4"/>
      <c r="B120" s="4"/>
      <c r="C120" s="4"/>
      <c r="D120" s="4"/>
      <c r="E120" s="4"/>
      <c r="F120" s="4"/>
      <c r="G120" s="12" t="str">
        <f aca="false">IF(OR(E120="",F120=""),"",MATCH(F120,'Reference Data'!$A$3:$A$6,0)-MATCH(E120,'Reference Data'!$A$3:$A$6,0))</f>
        <v/>
      </c>
      <c r="H120" s="12" t="str">
        <f aca="false">IF(OR(C120="",G120=""),"",IF(AND(C120="High",G120&gt;=1),"Critical",IF(OR(C120="High",G120&gt;=2),"High",IF(G120&gt;=1,"Medium","Maintain"))))</f>
        <v/>
      </c>
      <c r="I120" s="12" t="str">
        <f aca="false">IF(OR(C120="",D120=""),"",IF(C120="High",IF(D120="Low","Keep Satisfied","Manage Closely"),IF(D120="High","Keep Informed","Monitor")))</f>
        <v/>
      </c>
    </row>
    <row r="121" customFormat="false" ht="15" hidden="false" customHeight="true" outlineLevel="0" collapsed="false">
      <c r="A121" s="4"/>
      <c r="B121" s="4"/>
      <c r="C121" s="4"/>
      <c r="D121" s="4"/>
      <c r="E121" s="4"/>
      <c r="F121" s="4"/>
      <c r="G121" s="12" t="str">
        <f aca="false">IF(OR(E121="",F121=""),"",MATCH(F121,'Reference Data'!$A$3:$A$6,0)-MATCH(E121,'Reference Data'!$A$3:$A$6,0))</f>
        <v/>
      </c>
      <c r="H121" s="12" t="str">
        <f aca="false">IF(OR(C121="",G121=""),"",IF(AND(C121="High",G121&gt;=1),"Critical",IF(OR(C121="High",G121&gt;=2),"High",IF(G121&gt;=1,"Medium","Maintain"))))</f>
        <v/>
      </c>
      <c r="I121" s="12" t="str">
        <f aca="false">IF(OR(C121="",D121=""),"",IF(C121="High",IF(D121="Low","Keep Satisfied","Manage Closely"),IF(D121="High","Keep Informed","Monitor")))</f>
        <v/>
      </c>
    </row>
    <row r="122" customFormat="false" ht="15" hidden="false" customHeight="true" outlineLevel="0" collapsed="false">
      <c r="A122" s="4"/>
      <c r="B122" s="4"/>
      <c r="C122" s="4"/>
      <c r="D122" s="4"/>
      <c r="E122" s="4"/>
      <c r="F122" s="4"/>
      <c r="G122" s="12" t="str">
        <f aca="false">IF(OR(E122="",F122=""),"",MATCH(F122,'Reference Data'!$A$3:$A$6,0)-MATCH(E122,'Reference Data'!$A$3:$A$6,0))</f>
        <v/>
      </c>
      <c r="H122" s="12" t="str">
        <f aca="false">IF(OR(C122="",G122=""),"",IF(AND(C122="High",G122&gt;=1),"Critical",IF(OR(C122="High",G122&gt;=2),"High",IF(G122&gt;=1,"Medium","Maintain"))))</f>
        <v/>
      </c>
      <c r="I122" s="12" t="str">
        <f aca="false">IF(OR(C122="",D122=""),"",IF(C122="High",IF(D122="Low","Keep Satisfied","Manage Closely"),IF(D122="High","Keep Informed","Monitor")))</f>
        <v/>
      </c>
    </row>
  </sheetData>
  <mergeCells count="1">
    <mergeCell ref="A1:I1"/>
  </mergeCells>
  <conditionalFormatting sqref="E3:E122">
    <cfRule type="cellIs" priority="2" operator="equal" aboveAverage="0" equalAverage="0" bottom="0" percent="0" rank="0" text="" dxfId="0">
      <formula>"Disengaged"</formula>
    </cfRule>
    <cfRule type="cellIs" priority="3" operator="equal" aboveAverage="0" equalAverage="0" bottom="0" percent="0" rank="0" text="" dxfId="1">
      <formula>"Neutral"</formula>
    </cfRule>
    <cfRule type="cellIs" priority="4" operator="equal" aboveAverage="0" equalAverage="0" bottom="0" percent="0" rank="0" text="" dxfId="2">
      <formula>"Engaged"</formula>
    </cfRule>
    <cfRule type="cellIs" priority="5" operator="equal" aboveAverage="0" equalAverage="0" bottom="0" percent="0" rank="0" text="" dxfId="3">
      <formula>"Advocating"</formula>
    </cfRule>
  </conditionalFormatting>
  <conditionalFormatting sqref="H3:H122">
    <cfRule type="cellIs" priority="6" operator="equal" aboveAverage="0" equalAverage="0" bottom="0" percent="0" rank="0" text="" dxfId="0">
      <formula>"Critical"</formula>
    </cfRule>
    <cfRule type="cellIs" priority="7" operator="equal" aboveAverage="0" equalAverage="0" bottom="0" percent="0" rank="0" text="" dxfId="1">
      <formula>"High"</formula>
    </cfRule>
    <cfRule type="cellIs" priority="8" operator="equal" aboveAverage="0" equalAverage="0" bottom="0" percent="0" rank="0" text="" dxfId="3">
      <formula>"Maintain"</formula>
    </cfRule>
  </conditionalFormatting>
  <dataValidations count="2">
    <dataValidation allowBlank="true" errorStyle="stop" operator="between" showDropDown="false" showErrorMessage="false" showInputMessage="false" sqref="C3:D122" type="list">
      <formula1>"High,Medium,Low"</formula1>
      <formula2>0</formula2>
    </dataValidation>
    <dataValidation allowBlank="true" errorStyle="stop" operator="between" showDropDown="false" showErrorMessage="false" showInputMessage="false" sqref="E3:F122" type="list">
      <formula1>"Disengaged,Neutral,Engaged,Advocating"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3"/>
    <col collapsed="false" customWidth="true" hidden="false" outlineLevel="0" max="2" min="2" style="1" width="20"/>
    <col collapsed="false" customWidth="true" hidden="false" outlineLevel="0" max="3" min="3" style="1" width="15"/>
    <col collapsed="false" customWidth="true" hidden="false" outlineLevel="0" max="4" min="4" style="1" width="32"/>
    <col collapsed="false" customWidth="true" hidden="false" outlineLevel="0" max="5" min="5" style="1" width="30"/>
    <col collapsed="false" customWidth="true" hidden="false" outlineLevel="0" max="6" min="6" style="1" width="14"/>
    <col collapsed="false" customWidth="true" hidden="false" outlineLevel="0" max="7" min="7" style="1" width="16"/>
    <col collapsed="false" customWidth="true" hidden="false" outlineLevel="0" max="8" min="8" style="1" width="12"/>
    <col collapsed="false" customWidth="true" hidden="false" outlineLevel="0" max="9" min="9" style="1" width="16"/>
    <col collapsed="false" customWidth="true" hidden="false" outlineLevel="0" max="10" min="10" style="1" width="32"/>
    <col collapsed="false" customWidth="true" hidden="false" outlineLevel="0" max="11" min="11" style="1" width="13"/>
    <col collapsed="false" customWidth="true" hidden="false" outlineLevel="0" max="12" min="12" style="1" width="11"/>
  </cols>
  <sheetData>
    <row r="1" customFormat="false" ht="25.5" hidden="false" customHeight="true" outlineLevel="0" collapsed="false">
      <c r="A1" s="2" t="s">
        <v>97</v>
      </c>
      <c r="B1" s="2"/>
      <c r="C1" s="2"/>
      <c r="D1" s="2"/>
      <c r="E1" s="2"/>
      <c r="F1" s="2"/>
      <c r="G1" s="2"/>
      <c r="H1" s="2"/>
      <c r="I1" s="2"/>
      <c r="J1" s="2"/>
      <c r="K1" s="2"/>
      <c r="L1" s="2"/>
    </row>
    <row r="2" customFormat="false" ht="30" hidden="false" customHeight="true" outlineLevel="0" collapsed="false">
      <c r="A2" s="7" t="s">
        <v>75</v>
      </c>
      <c r="B2" s="7" t="s">
        <v>76</v>
      </c>
      <c r="C2" s="7" t="s">
        <v>98</v>
      </c>
      <c r="D2" s="7" t="s">
        <v>99</v>
      </c>
      <c r="E2" s="7" t="s">
        <v>100</v>
      </c>
      <c r="F2" s="7" t="s">
        <v>101</v>
      </c>
      <c r="G2" s="7" t="s">
        <v>102</v>
      </c>
      <c r="H2" s="7" t="s">
        <v>103</v>
      </c>
      <c r="I2" s="7" t="s">
        <v>104</v>
      </c>
      <c r="J2" s="7" t="s">
        <v>105</v>
      </c>
      <c r="K2" s="7" t="s">
        <v>106</v>
      </c>
      <c r="L2" s="7" t="s">
        <v>107</v>
      </c>
    </row>
    <row r="3" customFormat="false" ht="34.5" hidden="false" customHeight="true" outlineLevel="0" collapsed="false">
      <c r="A3" s="10" t="s">
        <v>82</v>
      </c>
      <c r="B3" s="10" t="s">
        <v>83</v>
      </c>
      <c r="C3" s="11" t="str">
        <f aca="false">IF(A3="","",IFERROR(INDEX('Stakeholder Assessment'!$I:$I,MATCH(A3,'Stakeholder Assessment'!$A:$A,0)),""))</f>
        <v>Manage Closely</v>
      </c>
      <c r="D3" s="10" t="s">
        <v>108</v>
      </c>
      <c r="E3" s="10" t="s">
        <v>109</v>
      </c>
      <c r="F3" s="10" t="s">
        <v>110</v>
      </c>
      <c r="G3" s="10" t="s">
        <v>111</v>
      </c>
      <c r="H3" s="10" t="s">
        <v>112</v>
      </c>
      <c r="I3" s="10" t="s">
        <v>86</v>
      </c>
      <c r="J3" s="10" t="s">
        <v>113</v>
      </c>
      <c r="K3" s="10" t="s">
        <v>114</v>
      </c>
      <c r="L3" s="10" t="s">
        <v>115</v>
      </c>
    </row>
    <row r="4" customFormat="false" ht="15" hidden="false" customHeight="true" outlineLevel="0" collapsed="false">
      <c r="A4" s="4"/>
      <c r="B4" s="4"/>
      <c r="C4" s="12" t="str">
        <f aca="false">IF(A4="","",IFERROR(INDEX('Stakeholder Assessment'!$I:$I,MATCH(A4,'Stakeholder Assessment'!$A:$A,0)),""))</f>
        <v/>
      </c>
      <c r="D4" s="4"/>
      <c r="E4" s="4"/>
      <c r="F4" s="4"/>
      <c r="G4" s="4"/>
      <c r="H4" s="4"/>
      <c r="I4" s="4"/>
      <c r="J4" s="4"/>
      <c r="K4" s="4"/>
      <c r="L4" s="4"/>
    </row>
    <row r="5" customFormat="false" ht="15" hidden="false" customHeight="true" outlineLevel="0" collapsed="false">
      <c r="A5" s="4"/>
      <c r="B5" s="4"/>
      <c r="C5" s="12" t="str">
        <f aca="false">IF(A5="","",IFERROR(INDEX('Stakeholder Assessment'!$I:$I,MATCH(A5,'Stakeholder Assessment'!$A:$A,0)),""))</f>
        <v/>
      </c>
      <c r="D5" s="4"/>
      <c r="E5" s="4"/>
      <c r="F5" s="4"/>
      <c r="G5" s="4"/>
      <c r="H5" s="4"/>
      <c r="I5" s="4"/>
      <c r="J5" s="4"/>
      <c r="K5" s="4"/>
      <c r="L5" s="4"/>
    </row>
    <row r="6" customFormat="false" ht="15" hidden="false" customHeight="true" outlineLevel="0" collapsed="false">
      <c r="A6" s="4"/>
      <c r="B6" s="4"/>
      <c r="C6" s="12" t="str">
        <f aca="false">IF(A6="","",IFERROR(INDEX('Stakeholder Assessment'!$I:$I,MATCH(A6,'Stakeholder Assessment'!$A:$A,0)),""))</f>
        <v/>
      </c>
      <c r="D6" s="4"/>
      <c r="E6" s="4"/>
      <c r="F6" s="4"/>
      <c r="G6" s="4"/>
      <c r="H6" s="4"/>
      <c r="I6" s="4"/>
      <c r="J6" s="4"/>
      <c r="K6" s="4"/>
      <c r="L6" s="4"/>
    </row>
    <row r="7" customFormat="false" ht="15" hidden="false" customHeight="true" outlineLevel="0" collapsed="false">
      <c r="A7" s="4"/>
      <c r="B7" s="4"/>
      <c r="C7" s="12" t="str">
        <f aca="false">IF(A7="","",IFERROR(INDEX('Stakeholder Assessment'!$I:$I,MATCH(A7,'Stakeholder Assessment'!$A:$A,0)),""))</f>
        <v/>
      </c>
      <c r="D7" s="4"/>
      <c r="E7" s="4"/>
      <c r="F7" s="4"/>
      <c r="G7" s="4"/>
      <c r="H7" s="4"/>
      <c r="I7" s="4"/>
      <c r="J7" s="4"/>
      <c r="K7" s="4"/>
      <c r="L7" s="4"/>
    </row>
    <row r="8" customFormat="false" ht="15" hidden="false" customHeight="true" outlineLevel="0" collapsed="false">
      <c r="A8" s="4"/>
      <c r="B8" s="4"/>
      <c r="C8" s="12" t="str">
        <f aca="false">IF(A8="","",IFERROR(INDEX('Stakeholder Assessment'!$I:$I,MATCH(A8,'Stakeholder Assessment'!$A:$A,0)),""))</f>
        <v/>
      </c>
      <c r="D8" s="4"/>
      <c r="E8" s="4"/>
      <c r="F8" s="4"/>
      <c r="G8" s="4"/>
      <c r="H8" s="4"/>
      <c r="I8" s="4"/>
      <c r="J8" s="4"/>
      <c r="K8" s="4"/>
      <c r="L8" s="4"/>
    </row>
    <row r="9" customFormat="false" ht="15" hidden="false" customHeight="true" outlineLevel="0" collapsed="false">
      <c r="A9" s="4"/>
      <c r="B9" s="4"/>
      <c r="C9" s="12" t="str">
        <f aca="false">IF(A9="","",IFERROR(INDEX('Stakeholder Assessment'!$I:$I,MATCH(A9,'Stakeholder Assessment'!$A:$A,0)),""))</f>
        <v/>
      </c>
      <c r="D9" s="4"/>
      <c r="E9" s="4"/>
      <c r="F9" s="4"/>
      <c r="G9" s="4"/>
      <c r="H9" s="4"/>
      <c r="I9" s="4"/>
      <c r="J9" s="4"/>
      <c r="K9" s="4"/>
      <c r="L9" s="4"/>
    </row>
    <row r="10" customFormat="false" ht="15" hidden="false" customHeight="true" outlineLevel="0" collapsed="false">
      <c r="A10" s="4"/>
      <c r="B10" s="4"/>
      <c r="C10" s="12" t="str">
        <f aca="false">IF(A10="","",IFERROR(INDEX('Stakeholder Assessment'!$I:$I,MATCH(A10,'Stakeholder Assessment'!$A:$A,0)),""))</f>
        <v/>
      </c>
      <c r="D10" s="4"/>
      <c r="E10" s="4"/>
      <c r="F10" s="4"/>
      <c r="G10" s="4"/>
      <c r="H10" s="4"/>
      <c r="I10" s="4"/>
      <c r="J10" s="4"/>
      <c r="K10" s="4"/>
      <c r="L10" s="4"/>
    </row>
    <row r="11" customFormat="false" ht="15" hidden="false" customHeight="true" outlineLevel="0" collapsed="false">
      <c r="A11" s="4"/>
      <c r="B11" s="4"/>
      <c r="C11" s="12" t="str">
        <f aca="false">IF(A11="","",IFERROR(INDEX('Stakeholder Assessment'!$I:$I,MATCH(A11,'Stakeholder Assessment'!$A:$A,0)),""))</f>
        <v/>
      </c>
      <c r="D11" s="4"/>
      <c r="E11" s="4"/>
      <c r="F11" s="4"/>
      <c r="G11" s="4"/>
      <c r="H11" s="4"/>
      <c r="I11" s="4"/>
      <c r="J11" s="4"/>
      <c r="K11" s="4"/>
      <c r="L11" s="4"/>
    </row>
    <row r="12" customFormat="false" ht="15" hidden="false" customHeight="true" outlineLevel="0" collapsed="false">
      <c r="A12" s="4"/>
      <c r="B12" s="4"/>
      <c r="C12" s="12" t="str">
        <f aca="false">IF(A12="","",IFERROR(INDEX('Stakeholder Assessment'!$I:$I,MATCH(A12,'Stakeholder Assessment'!$A:$A,0)),""))</f>
        <v/>
      </c>
      <c r="D12" s="4"/>
      <c r="E12" s="4"/>
      <c r="F12" s="4"/>
      <c r="G12" s="4"/>
      <c r="H12" s="4"/>
      <c r="I12" s="4"/>
      <c r="J12" s="4"/>
      <c r="K12" s="4"/>
      <c r="L12" s="4"/>
    </row>
    <row r="13" customFormat="false" ht="15" hidden="false" customHeight="true" outlineLevel="0" collapsed="false">
      <c r="A13" s="4"/>
      <c r="B13" s="4"/>
      <c r="C13" s="12" t="str">
        <f aca="false">IF(A13="","",IFERROR(INDEX('Stakeholder Assessment'!$I:$I,MATCH(A13,'Stakeholder Assessment'!$A:$A,0)),""))</f>
        <v/>
      </c>
      <c r="D13" s="4"/>
      <c r="E13" s="4"/>
      <c r="F13" s="4"/>
      <c r="G13" s="4"/>
      <c r="H13" s="4"/>
      <c r="I13" s="4"/>
      <c r="J13" s="4"/>
      <c r="K13" s="4"/>
      <c r="L13" s="4"/>
    </row>
    <row r="14" customFormat="false" ht="15" hidden="false" customHeight="true" outlineLevel="0" collapsed="false">
      <c r="A14" s="4"/>
      <c r="B14" s="4"/>
      <c r="C14" s="12" t="str">
        <f aca="false">IF(A14="","",IFERROR(INDEX('Stakeholder Assessment'!$I:$I,MATCH(A14,'Stakeholder Assessment'!$A:$A,0)),""))</f>
        <v/>
      </c>
      <c r="D14" s="4"/>
      <c r="E14" s="4"/>
      <c r="F14" s="4"/>
      <c r="G14" s="4"/>
      <c r="H14" s="4"/>
      <c r="I14" s="4"/>
      <c r="J14" s="4"/>
      <c r="K14" s="4"/>
      <c r="L14" s="4"/>
    </row>
    <row r="15" customFormat="false" ht="15" hidden="false" customHeight="true" outlineLevel="0" collapsed="false">
      <c r="A15" s="4"/>
      <c r="B15" s="4"/>
      <c r="C15" s="12" t="str">
        <f aca="false">IF(A15="","",IFERROR(INDEX('Stakeholder Assessment'!$I:$I,MATCH(A15,'Stakeholder Assessment'!$A:$A,0)),""))</f>
        <v/>
      </c>
      <c r="D15" s="4"/>
      <c r="E15" s="4"/>
      <c r="F15" s="4"/>
      <c r="G15" s="4"/>
      <c r="H15" s="4"/>
      <c r="I15" s="4"/>
      <c r="J15" s="4"/>
      <c r="K15" s="4"/>
      <c r="L15" s="4"/>
    </row>
    <row r="16" customFormat="false" ht="15" hidden="false" customHeight="true" outlineLevel="0" collapsed="false">
      <c r="A16" s="4"/>
      <c r="B16" s="4"/>
      <c r="C16" s="12" t="str">
        <f aca="false">IF(A16="","",IFERROR(INDEX('Stakeholder Assessment'!$I:$I,MATCH(A16,'Stakeholder Assessment'!$A:$A,0)),""))</f>
        <v/>
      </c>
      <c r="D16" s="4"/>
      <c r="E16" s="4"/>
      <c r="F16" s="4"/>
      <c r="G16" s="4"/>
      <c r="H16" s="4"/>
      <c r="I16" s="4"/>
      <c r="J16" s="4"/>
      <c r="K16" s="4"/>
      <c r="L16" s="4"/>
    </row>
    <row r="17" customFormat="false" ht="15" hidden="false" customHeight="true" outlineLevel="0" collapsed="false">
      <c r="A17" s="4"/>
      <c r="B17" s="4"/>
      <c r="C17" s="12" t="str">
        <f aca="false">IF(A17="","",IFERROR(INDEX('Stakeholder Assessment'!$I:$I,MATCH(A17,'Stakeholder Assessment'!$A:$A,0)),""))</f>
        <v/>
      </c>
      <c r="D17" s="4"/>
      <c r="E17" s="4"/>
      <c r="F17" s="4"/>
      <c r="G17" s="4"/>
      <c r="H17" s="4"/>
      <c r="I17" s="4"/>
      <c r="J17" s="4"/>
      <c r="K17" s="4"/>
      <c r="L17" s="4"/>
    </row>
    <row r="18" customFormat="false" ht="15" hidden="false" customHeight="true" outlineLevel="0" collapsed="false">
      <c r="A18" s="4"/>
      <c r="B18" s="4"/>
      <c r="C18" s="12" t="str">
        <f aca="false">IF(A18="","",IFERROR(INDEX('Stakeholder Assessment'!$I:$I,MATCH(A18,'Stakeholder Assessment'!$A:$A,0)),""))</f>
        <v/>
      </c>
      <c r="D18" s="4"/>
      <c r="E18" s="4"/>
      <c r="F18" s="4"/>
      <c r="G18" s="4"/>
      <c r="H18" s="4"/>
      <c r="I18" s="4"/>
      <c r="J18" s="4"/>
      <c r="K18" s="4"/>
      <c r="L18" s="4"/>
    </row>
    <row r="19" customFormat="false" ht="15" hidden="false" customHeight="true" outlineLevel="0" collapsed="false">
      <c r="A19" s="4"/>
      <c r="B19" s="4"/>
      <c r="C19" s="12" t="str">
        <f aca="false">IF(A19="","",IFERROR(INDEX('Stakeholder Assessment'!$I:$I,MATCH(A19,'Stakeholder Assessment'!$A:$A,0)),""))</f>
        <v/>
      </c>
      <c r="D19" s="4"/>
      <c r="E19" s="4"/>
      <c r="F19" s="4"/>
      <c r="G19" s="4"/>
      <c r="H19" s="4"/>
      <c r="I19" s="4"/>
      <c r="J19" s="4"/>
      <c r="K19" s="4"/>
      <c r="L19" s="4"/>
    </row>
    <row r="20" customFormat="false" ht="15" hidden="false" customHeight="true" outlineLevel="0" collapsed="false">
      <c r="A20" s="4"/>
      <c r="B20" s="4"/>
      <c r="C20" s="12" t="str">
        <f aca="false">IF(A20="","",IFERROR(INDEX('Stakeholder Assessment'!$I:$I,MATCH(A20,'Stakeholder Assessment'!$A:$A,0)),""))</f>
        <v/>
      </c>
      <c r="D20" s="4"/>
      <c r="E20" s="4"/>
      <c r="F20" s="4"/>
      <c r="G20" s="4"/>
      <c r="H20" s="4"/>
      <c r="I20" s="4"/>
      <c r="J20" s="4"/>
      <c r="K20" s="4"/>
      <c r="L20" s="4"/>
    </row>
    <row r="21" customFormat="false" ht="15" hidden="false" customHeight="true" outlineLevel="0" collapsed="false">
      <c r="A21" s="4"/>
      <c r="B21" s="4"/>
      <c r="C21" s="12" t="str">
        <f aca="false">IF(A21="","",IFERROR(INDEX('Stakeholder Assessment'!$I:$I,MATCH(A21,'Stakeholder Assessment'!$A:$A,0)),""))</f>
        <v/>
      </c>
      <c r="D21" s="4"/>
      <c r="E21" s="4"/>
      <c r="F21" s="4"/>
      <c r="G21" s="4"/>
      <c r="H21" s="4"/>
      <c r="I21" s="4"/>
      <c r="J21" s="4"/>
      <c r="K21" s="4"/>
      <c r="L21" s="4"/>
    </row>
    <row r="22" customFormat="false" ht="15" hidden="false" customHeight="true" outlineLevel="0" collapsed="false">
      <c r="A22" s="4"/>
      <c r="B22" s="4"/>
      <c r="C22" s="12" t="str">
        <f aca="false">IF(A22="","",IFERROR(INDEX('Stakeholder Assessment'!$I:$I,MATCH(A22,'Stakeholder Assessment'!$A:$A,0)),""))</f>
        <v/>
      </c>
      <c r="D22" s="4"/>
      <c r="E22" s="4"/>
      <c r="F22" s="4"/>
      <c r="G22" s="4"/>
      <c r="H22" s="4"/>
      <c r="I22" s="4"/>
      <c r="J22" s="4"/>
      <c r="K22" s="4"/>
      <c r="L22" s="4"/>
    </row>
    <row r="23" customFormat="false" ht="15" hidden="false" customHeight="true" outlineLevel="0" collapsed="false">
      <c r="A23" s="4"/>
      <c r="B23" s="4"/>
      <c r="C23" s="12" t="str">
        <f aca="false">IF(A23="","",IFERROR(INDEX('Stakeholder Assessment'!$I:$I,MATCH(A23,'Stakeholder Assessment'!$A:$A,0)),""))</f>
        <v/>
      </c>
      <c r="D23" s="4"/>
      <c r="E23" s="4"/>
      <c r="F23" s="4"/>
      <c r="G23" s="4"/>
      <c r="H23" s="4"/>
      <c r="I23" s="4"/>
      <c r="J23" s="4"/>
      <c r="K23" s="4"/>
      <c r="L23" s="4"/>
    </row>
    <row r="24" customFormat="false" ht="15" hidden="false" customHeight="true" outlineLevel="0" collapsed="false">
      <c r="A24" s="4"/>
      <c r="B24" s="4"/>
      <c r="C24" s="12" t="str">
        <f aca="false">IF(A24="","",IFERROR(INDEX('Stakeholder Assessment'!$I:$I,MATCH(A24,'Stakeholder Assessment'!$A:$A,0)),""))</f>
        <v/>
      </c>
      <c r="D24" s="4"/>
      <c r="E24" s="4"/>
      <c r="F24" s="4"/>
      <c r="G24" s="4"/>
      <c r="H24" s="4"/>
      <c r="I24" s="4"/>
      <c r="J24" s="4"/>
      <c r="K24" s="4"/>
      <c r="L24" s="4"/>
    </row>
    <row r="25" customFormat="false" ht="15" hidden="false" customHeight="true" outlineLevel="0" collapsed="false">
      <c r="A25" s="4"/>
      <c r="B25" s="4"/>
      <c r="C25" s="12" t="str">
        <f aca="false">IF(A25="","",IFERROR(INDEX('Stakeholder Assessment'!$I:$I,MATCH(A25,'Stakeholder Assessment'!$A:$A,0)),""))</f>
        <v/>
      </c>
      <c r="D25" s="4"/>
      <c r="E25" s="4"/>
      <c r="F25" s="4"/>
      <c r="G25" s="4"/>
      <c r="H25" s="4"/>
      <c r="I25" s="4"/>
      <c r="J25" s="4"/>
      <c r="K25" s="4"/>
      <c r="L25" s="4"/>
    </row>
    <row r="26" customFormat="false" ht="15" hidden="false" customHeight="true" outlineLevel="0" collapsed="false">
      <c r="A26" s="4"/>
      <c r="B26" s="4"/>
      <c r="C26" s="12" t="str">
        <f aca="false">IF(A26="","",IFERROR(INDEX('Stakeholder Assessment'!$I:$I,MATCH(A26,'Stakeholder Assessment'!$A:$A,0)),""))</f>
        <v/>
      </c>
      <c r="D26" s="4"/>
      <c r="E26" s="4"/>
      <c r="F26" s="4"/>
      <c r="G26" s="4"/>
      <c r="H26" s="4"/>
      <c r="I26" s="4"/>
      <c r="J26" s="4"/>
      <c r="K26" s="4"/>
      <c r="L26" s="4"/>
    </row>
    <row r="27" customFormat="false" ht="15" hidden="false" customHeight="true" outlineLevel="0" collapsed="false">
      <c r="A27" s="4"/>
      <c r="B27" s="4"/>
      <c r="C27" s="12" t="str">
        <f aca="false">IF(A27="","",IFERROR(INDEX('Stakeholder Assessment'!$I:$I,MATCH(A27,'Stakeholder Assessment'!$A:$A,0)),""))</f>
        <v/>
      </c>
      <c r="D27" s="4"/>
      <c r="E27" s="4"/>
      <c r="F27" s="4"/>
      <c r="G27" s="4"/>
      <c r="H27" s="4"/>
      <c r="I27" s="4"/>
      <c r="J27" s="4"/>
      <c r="K27" s="4"/>
      <c r="L27" s="4"/>
    </row>
    <row r="28" customFormat="false" ht="15" hidden="false" customHeight="true" outlineLevel="0" collapsed="false">
      <c r="A28" s="4"/>
      <c r="B28" s="4"/>
      <c r="C28" s="12" t="str">
        <f aca="false">IF(A28="","",IFERROR(INDEX('Stakeholder Assessment'!$I:$I,MATCH(A28,'Stakeholder Assessment'!$A:$A,0)),""))</f>
        <v/>
      </c>
      <c r="D28" s="4"/>
      <c r="E28" s="4"/>
      <c r="F28" s="4"/>
      <c r="G28" s="4"/>
      <c r="H28" s="4"/>
      <c r="I28" s="4"/>
      <c r="J28" s="4"/>
      <c r="K28" s="4"/>
      <c r="L28" s="4"/>
    </row>
    <row r="29" customFormat="false" ht="15" hidden="false" customHeight="true" outlineLevel="0" collapsed="false">
      <c r="A29" s="4"/>
      <c r="B29" s="4"/>
      <c r="C29" s="12" t="str">
        <f aca="false">IF(A29="","",IFERROR(INDEX('Stakeholder Assessment'!$I:$I,MATCH(A29,'Stakeholder Assessment'!$A:$A,0)),""))</f>
        <v/>
      </c>
      <c r="D29" s="4"/>
      <c r="E29" s="4"/>
      <c r="F29" s="4"/>
      <c r="G29" s="4"/>
      <c r="H29" s="4"/>
      <c r="I29" s="4"/>
      <c r="J29" s="4"/>
      <c r="K29" s="4"/>
      <c r="L29" s="4"/>
    </row>
    <row r="30" customFormat="false" ht="15" hidden="false" customHeight="true" outlineLevel="0" collapsed="false">
      <c r="A30" s="4"/>
      <c r="B30" s="4"/>
      <c r="C30" s="12" t="str">
        <f aca="false">IF(A30="","",IFERROR(INDEX('Stakeholder Assessment'!$I:$I,MATCH(A30,'Stakeholder Assessment'!$A:$A,0)),""))</f>
        <v/>
      </c>
      <c r="D30" s="4"/>
      <c r="E30" s="4"/>
      <c r="F30" s="4"/>
      <c r="G30" s="4"/>
      <c r="H30" s="4"/>
      <c r="I30" s="4"/>
      <c r="J30" s="4"/>
      <c r="K30" s="4"/>
      <c r="L30" s="4"/>
    </row>
    <row r="31" customFormat="false" ht="15" hidden="false" customHeight="true" outlineLevel="0" collapsed="false">
      <c r="A31" s="4"/>
      <c r="B31" s="4"/>
      <c r="C31" s="12" t="str">
        <f aca="false">IF(A31="","",IFERROR(INDEX('Stakeholder Assessment'!$I:$I,MATCH(A31,'Stakeholder Assessment'!$A:$A,0)),""))</f>
        <v/>
      </c>
      <c r="D31" s="4"/>
      <c r="E31" s="4"/>
      <c r="F31" s="4"/>
      <c r="G31" s="4"/>
      <c r="H31" s="4"/>
      <c r="I31" s="4"/>
      <c r="J31" s="4"/>
      <c r="K31" s="4"/>
      <c r="L31" s="4"/>
    </row>
    <row r="32" customFormat="false" ht="15" hidden="false" customHeight="true" outlineLevel="0" collapsed="false">
      <c r="A32" s="4"/>
      <c r="B32" s="4"/>
      <c r="C32" s="12" t="str">
        <f aca="false">IF(A32="","",IFERROR(INDEX('Stakeholder Assessment'!$I:$I,MATCH(A32,'Stakeholder Assessment'!$A:$A,0)),""))</f>
        <v/>
      </c>
      <c r="D32" s="4"/>
      <c r="E32" s="4"/>
      <c r="F32" s="4"/>
      <c r="G32" s="4"/>
      <c r="H32" s="4"/>
      <c r="I32" s="4"/>
      <c r="J32" s="4"/>
      <c r="K32" s="4"/>
      <c r="L32" s="4"/>
    </row>
    <row r="33" customFormat="false" ht="15" hidden="false" customHeight="true" outlineLevel="0" collapsed="false">
      <c r="A33" s="4"/>
      <c r="B33" s="4"/>
      <c r="C33" s="12" t="str">
        <f aca="false">IF(A33="","",IFERROR(INDEX('Stakeholder Assessment'!$I:$I,MATCH(A33,'Stakeholder Assessment'!$A:$A,0)),""))</f>
        <v/>
      </c>
      <c r="D33" s="4"/>
      <c r="E33" s="4"/>
      <c r="F33" s="4"/>
      <c r="G33" s="4"/>
      <c r="H33" s="4"/>
      <c r="I33" s="4"/>
      <c r="J33" s="4"/>
      <c r="K33" s="4"/>
      <c r="L33" s="4"/>
    </row>
    <row r="34" customFormat="false" ht="15" hidden="false" customHeight="true" outlineLevel="0" collapsed="false">
      <c r="A34" s="4"/>
      <c r="B34" s="4"/>
      <c r="C34" s="12" t="str">
        <f aca="false">IF(A34="","",IFERROR(INDEX('Stakeholder Assessment'!$I:$I,MATCH(A34,'Stakeholder Assessment'!$A:$A,0)),""))</f>
        <v/>
      </c>
      <c r="D34" s="4"/>
      <c r="E34" s="4"/>
      <c r="F34" s="4"/>
      <c r="G34" s="4"/>
      <c r="H34" s="4"/>
      <c r="I34" s="4"/>
      <c r="J34" s="4"/>
      <c r="K34" s="4"/>
      <c r="L34" s="4"/>
    </row>
    <row r="35" customFormat="false" ht="15" hidden="false" customHeight="true" outlineLevel="0" collapsed="false">
      <c r="A35" s="4"/>
      <c r="B35" s="4"/>
      <c r="C35" s="12" t="str">
        <f aca="false">IF(A35="","",IFERROR(INDEX('Stakeholder Assessment'!$I:$I,MATCH(A35,'Stakeholder Assessment'!$A:$A,0)),""))</f>
        <v/>
      </c>
      <c r="D35" s="4"/>
      <c r="E35" s="4"/>
      <c r="F35" s="4"/>
      <c r="G35" s="4"/>
      <c r="H35" s="4"/>
      <c r="I35" s="4"/>
      <c r="J35" s="4"/>
      <c r="K35" s="4"/>
      <c r="L35" s="4"/>
    </row>
    <row r="36" customFormat="false" ht="15" hidden="false" customHeight="true" outlineLevel="0" collapsed="false">
      <c r="A36" s="4"/>
      <c r="B36" s="4"/>
      <c r="C36" s="12" t="str">
        <f aca="false">IF(A36="","",IFERROR(INDEX('Stakeholder Assessment'!$I:$I,MATCH(A36,'Stakeholder Assessment'!$A:$A,0)),""))</f>
        <v/>
      </c>
      <c r="D36" s="4"/>
      <c r="E36" s="4"/>
      <c r="F36" s="4"/>
      <c r="G36" s="4"/>
      <c r="H36" s="4"/>
      <c r="I36" s="4"/>
      <c r="J36" s="4"/>
      <c r="K36" s="4"/>
      <c r="L36" s="4"/>
    </row>
    <row r="37" customFormat="false" ht="15" hidden="false" customHeight="true" outlineLevel="0" collapsed="false">
      <c r="A37" s="4"/>
      <c r="B37" s="4"/>
      <c r="C37" s="12" t="str">
        <f aca="false">IF(A37="","",IFERROR(INDEX('Stakeholder Assessment'!$I:$I,MATCH(A37,'Stakeholder Assessment'!$A:$A,0)),""))</f>
        <v/>
      </c>
      <c r="D37" s="4"/>
      <c r="E37" s="4"/>
      <c r="F37" s="4"/>
      <c r="G37" s="4"/>
      <c r="H37" s="4"/>
      <c r="I37" s="4"/>
      <c r="J37" s="4"/>
      <c r="K37" s="4"/>
      <c r="L37" s="4"/>
    </row>
    <row r="38" customFormat="false" ht="15" hidden="false" customHeight="true" outlineLevel="0" collapsed="false">
      <c r="A38" s="4"/>
      <c r="B38" s="4"/>
      <c r="C38" s="12" t="str">
        <f aca="false">IF(A38="","",IFERROR(INDEX('Stakeholder Assessment'!$I:$I,MATCH(A38,'Stakeholder Assessment'!$A:$A,0)),""))</f>
        <v/>
      </c>
      <c r="D38" s="4"/>
      <c r="E38" s="4"/>
      <c r="F38" s="4"/>
      <c r="G38" s="4"/>
      <c r="H38" s="4"/>
      <c r="I38" s="4"/>
      <c r="J38" s="4"/>
      <c r="K38" s="4"/>
      <c r="L38" s="4"/>
    </row>
    <row r="39" customFormat="false" ht="15" hidden="false" customHeight="true" outlineLevel="0" collapsed="false">
      <c r="A39" s="4"/>
      <c r="B39" s="4"/>
      <c r="C39" s="12" t="str">
        <f aca="false">IF(A39="","",IFERROR(INDEX('Stakeholder Assessment'!$I:$I,MATCH(A39,'Stakeholder Assessment'!$A:$A,0)),""))</f>
        <v/>
      </c>
      <c r="D39" s="4"/>
      <c r="E39" s="4"/>
      <c r="F39" s="4"/>
      <c r="G39" s="4"/>
      <c r="H39" s="4"/>
      <c r="I39" s="4"/>
      <c r="J39" s="4"/>
      <c r="K39" s="4"/>
      <c r="L39" s="4"/>
    </row>
    <row r="40" customFormat="false" ht="15" hidden="false" customHeight="true" outlineLevel="0" collapsed="false">
      <c r="A40" s="4"/>
      <c r="B40" s="4"/>
      <c r="C40" s="12" t="str">
        <f aca="false">IF(A40="","",IFERROR(INDEX('Stakeholder Assessment'!$I:$I,MATCH(A40,'Stakeholder Assessment'!$A:$A,0)),""))</f>
        <v/>
      </c>
      <c r="D40" s="4"/>
      <c r="E40" s="4"/>
      <c r="F40" s="4"/>
      <c r="G40" s="4"/>
      <c r="H40" s="4"/>
      <c r="I40" s="4"/>
      <c r="J40" s="4"/>
      <c r="K40" s="4"/>
      <c r="L40" s="4"/>
    </row>
    <row r="41" customFormat="false" ht="15" hidden="false" customHeight="true" outlineLevel="0" collapsed="false">
      <c r="A41" s="4"/>
      <c r="B41" s="4"/>
      <c r="C41" s="12" t="str">
        <f aca="false">IF(A41="","",IFERROR(INDEX('Stakeholder Assessment'!$I:$I,MATCH(A41,'Stakeholder Assessment'!$A:$A,0)),""))</f>
        <v/>
      </c>
      <c r="D41" s="4"/>
      <c r="E41" s="4"/>
      <c r="F41" s="4"/>
      <c r="G41" s="4"/>
      <c r="H41" s="4"/>
      <c r="I41" s="4"/>
      <c r="J41" s="4"/>
      <c r="K41" s="4"/>
      <c r="L41" s="4"/>
    </row>
    <row r="42" customFormat="false" ht="15" hidden="false" customHeight="true" outlineLevel="0" collapsed="false">
      <c r="A42" s="4"/>
      <c r="B42" s="4"/>
      <c r="C42" s="12" t="str">
        <f aca="false">IF(A42="","",IFERROR(INDEX('Stakeholder Assessment'!$I:$I,MATCH(A42,'Stakeholder Assessment'!$A:$A,0)),""))</f>
        <v/>
      </c>
      <c r="D42" s="4"/>
      <c r="E42" s="4"/>
      <c r="F42" s="4"/>
      <c r="G42" s="4"/>
      <c r="H42" s="4"/>
      <c r="I42" s="4"/>
      <c r="J42" s="4"/>
      <c r="K42" s="4"/>
      <c r="L42" s="4"/>
    </row>
    <row r="43" customFormat="false" ht="15" hidden="false" customHeight="true" outlineLevel="0" collapsed="false">
      <c r="A43" s="4"/>
      <c r="B43" s="4"/>
      <c r="C43" s="12" t="str">
        <f aca="false">IF(A43="","",IFERROR(INDEX('Stakeholder Assessment'!$I:$I,MATCH(A43,'Stakeholder Assessment'!$A:$A,0)),""))</f>
        <v/>
      </c>
      <c r="D43" s="4"/>
      <c r="E43" s="4"/>
      <c r="F43" s="4"/>
      <c r="G43" s="4"/>
      <c r="H43" s="4"/>
      <c r="I43" s="4"/>
      <c r="J43" s="4"/>
      <c r="K43" s="4"/>
      <c r="L43" s="4"/>
    </row>
    <row r="44" customFormat="false" ht="15" hidden="false" customHeight="true" outlineLevel="0" collapsed="false">
      <c r="A44" s="4"/>
      <c r="B44" s="4"/>
      <c r="C44" s="12" t="str">
        <f aca="false">IF(A44="","",IFERROR(INDEX('Stakeholder Assessment'!$I:$I,MATCH(A44,'Stakeholder Assessment'!$A:$A,0)),""))</f>
        <v/>
      </c>
      <c r="D44" s="4"/>
      <c r="E44" s="4"/>
      <c r="F44" s="4"/>
      <c r="G44" s="4"/>
      <c r="H44" s="4"/>
      <c r="I44" s="4"/>
      <c r="J44" s="4"/>
      <c r="K44" s="4"/>
      <c r="L44" s="4"/>
    </row>
    <row r="45" customFormat="false" ht="15" hidden="false" customHeight="true" outlineLevel="0" collapsed="false">
      <c r="A45" s="4"/>
      <c r="B45" s="4"/>
      <c r="C45" s="12" t="str">
        <f aca="false">IF(A45="","",IFERROR(INDEX('Stakeholder Assessment'!$I:$I,MATCH(A45,'Stakeholder Assessment'!$A:$A,0)),""))</f>
        <v/>
      </c>
      <c r="D45" s="4"/>
      <c r="E45" s="4"/>
      <c r="F45" s="4"/>
      <c r="G45" s="4"/>
      <c r="H45" s="4"/>
      <c r="I45" s="4"/>
      <c r="J45" s="4"/>
      <c r="K45" s="4"/>
      <c r="L45" s="4"/>
    </row>
    <row r="46" customFormat="false" ht="15" hidden="false" customHeight="true" outlineLevel="0" collapsed="false">
      <c r="A46" s="4"/>
      <c r="B46" s="4"/>
      <c r="C46" s="12" t="str">
        <f aca="false">IF(A46="","",IFERROR(INDEX('Stakeholder Assessment'!$I:$I,MATCH(A46,'Stakeholder Assessment'!$A:$A,0)),""))</f>
        <v/>
      </c>
      <c r="D46" s="4"/>
      <c r="E46" s="4"/>
      <c r="F46" s="4"/>
      <c r="G46" s="4"/>
      <c r="H46" s="4"/>
      <c r="I46" s="4"/>
      <c r="J46" s="4"/>
      <c r="K46" s="4"/>
      <c r="L46" s="4"/>
    </row>
    <row r="47" customFormat="false" ht="15" hidden="false" customHeight="true" outlineLevel="0" collapsed="false">
      <c r="A47" s="4"/>
      <c r="B47" s="4"/>
      <c r="C47" s="12" t="str">
        <f aca="false">IF(A47="","",IFERROR(INDEX('Stakeholder Assessment'!$I:$I,MATCH(A47,'Stakeholder Assessment'!$A:$A,0)),""))</f>
        <v/>
      </c>
      <c r="D47" s="4"/>
      <c r="E47" s="4"/>
      <c r="F47" s="4"/>
      <c r="G47" s="4"/>
      <c r="H47" s="4"/>
      <c r="I47" s="4"/>
      <c r="J47" s="4"/>
      <c r="K47" s="4"/>
      <c r="L47" s="4"/>
    </row>
    <row r="48" customFormat="false" ht="15" hidden="false" customHeight="true" outlineLevel="0" collapsed="false">
      <c r="A48" s="4"/>
      <c r="B48" s="4"/>
      <c r="C48" s="12" t="str">
        <f aca="false">IF(A48="","",IFERROR(INDEX('Stakeholder Assessment'!$I:$I,MATCH(A48,'Stakeholder Assessment'!$A:$A,0)),""))</f>
        <v/>
      </c>
      <c r="D48" s="4"/>
      <c r="E48" s="4"/>
      <c r="F48" s="4"/>
      <c r="G48" s="4"/>
      <c r="H48" s="4"/>
      <c r="I48" s="4"/>
      <c r="J48" s="4"/>
      <c r="K48" s="4"/>
      <c r="L48" s="4"/>
    </row>
    <row r="49" customFormat="false" ht="15" hidden="false" customHeight="true" outlineLevel="0" collapsed="false">
      <c r="A49" s="4"/>
      <c r="B49" s="4"/>
      <c r="C49" s="12" t="str">
        <f aca="false">IF(A49="","",IFERROR(INDEX('Stakeholder Assessment'!$I:$I,MATCH(A49,'Stakeholder Assessment'!$A:$A,0)),""))</f>
        <v/>
      </c>
      <c r="D49" s="4"/>
      <c r="E49" s="4"/>
      <c r="F49" s="4"/>
      <c r="G49" s="4"/>
      <c r="H49" s="4"/>
      <c r="I49" s="4"/>
      <c r="J49" s="4"/>
      <c r="K49" s="4"/>
      <c r="L49" s="4"/>
    </row>
    <row r="50" customFormat="false" ht="15" hidden="false" customHeight="true" outlineLevel="0" collapsed="false">
      <c r="A50" s="4"/>
      <c r="B50" s="4"/>
      <c r="C50" s="12" t="str">
        <f aca="false">IF(A50="","",IFERROR(INDEX('Stakeholder Assessment'!$I:$I,MATCH(A50,'Stakeholder Assessment'!$A:$A,0)),""))</f>
        <v/>
      </c>
      <c r="D50" s="4"/>
      <c r="E50" s="4"/>
      <c r="F50" s="4"/>
      <c r="G50" s="4"/>
      <c r="H50" s="4"/>
      <c r="I50" s="4"/>
      <c r="J50" s="4"/>
      <c r="K50" s="4"/>
      <c r="L50" s="4"/>
    </row>
    <row r="51" customFormat="false" ht="15" hidden="false" customHeight="true" outlineLevel="0" collapsed="false">
      <c r="A51" s="4"/>
      <c r="B51" s="4"/>
      <c r="C51" s="12" t="str">
        <f aca="false">IF(A51="","",IFERROR(INDEX('Stakeholder Assessment'!$I:$I,MATCH(A51,'Stakeholder Assessment'!$A:$A,0)),""))</f>
        <v/>
      </c>
      <c r="D51" s="4"/>
      <c r="E51" s="4"/>
      <c r="F51" s="4"/>
      <c r="G51" s="4"/>
      <c r="H51" s="4"/>
      <c r="I51" s="4"/>
      <c r="J51" s="4"/>
      <c r="K51" s="4"/>
      <c r="L51" s="4"/>
    </row>
    <row r="52" customFormat="false" ht="15" hidden="false" customHeight="true" outlineLevel="0" collapsed="false">
      <c r="A52" s="4"/>
      <c r="B52" s="4"/>
      <c r="C52" s="12" t="str">
        <f aca="false">IF(A52="","",IFERROR(INDEX('Stakeholder Assessment'!$I:$I,MATCH(A52,'Stakeholder Assessment'!$A:$A,0)),""))</f>
        <v/>
      </c>
      <c r="D52" s="4"/>
      <c r="E52" s="4"/>
      <c r="F52" s="4"/>
      <c r="G52" s="4"/>
      <c r="H52" s="4"/>
      <c r="I52" s="4"/>
      <c r="J52" s="4"/>
      <c r="K52" s="4"/>
      <c r="L52" s="4"/>
    </row>
    <row r="53" customFormat="false" ht="15" hidden="false" customHeight="true" outlineLevel="0" collapsed="false">
      <c r="A53" s="4"/>
      <c r="B53" s="4"/>
      <c r="C53" s="12" t="str">
        <f aca="false">IF(A53="","",IFERROR(INDEX('Stakeholder Assessment'!$I:$I,MATCH(A53,'Stakeholder Assessment'!$A:$A,0)),""))</f>
        <v/>
      </c>
      <c r="D53" s="4"/>
      <c r="E53" s="4"/>
      <c r="F53" s="4"/>
      <c r="G53" s="4"/>
      <c r="H53" s="4"/>
      <c r="I53" s="4"/>
      <c r="J53" s="4"/>
      <c r="K53" s="4"/>
      <c r="L53" s="4"/>
    </row>
    <row r="54" customFormat="false" ht="15" hidden="false" customHeight="true" outlineLevel="0" collapsed="false">
      <c r="A54" s="4"/>
      <c r="B54" s="4"/>
      <c r="C54" s="12" t="str">
        <f aca="false">IF(A54="","",IFERROR(INDEX('Stakeholder Assessment'!$I:$I,MATCH(A54,'Stakeholder Assessment'!$A:$A,0)),""))</f>
        <v/>
      </c>
      <c r="D54" s="4"/>
      <c r="E54" s="4"/>
      <c r="F54" s="4"/>
      <c r="G54" s="4"/>
      <c r="H54" s="4"/>
      <c r="I54" s="4"/>
      <c r="J54" s="4"/>
      <c r="K54" s="4"/>
      <c r="L54" s="4"/>
    </row>
    <row r="55" customFormat="false" ht="15" hidden="false" customHeight="true" outlineLevel="0" collapsed="false">
      <c r="A55" s="4"/>
      <c r="B55" s="4"/>
      <c r="C55" s="12" t="str">
        <f aca="false">IF(A55="","",IFERROR(INDEX('Stakeholder Assessment'!$I:$I,MATCH(A55,'Stakeholder Assessment'!$A:$A,0)),""))</f>
        <v/>
      </c>
      <c r="D55" s="4"/>
      <c r="E55" s="4"/>
      <c r="F55" s="4"/>
      <c r="G55" s="4"/>
      <c r="H55" s="4"/>
      <c r="I55" s="4"/>
      <c r="J55" s="4"/>
      <c r="K55" s="4"/>
      <c r="L55" s="4"/>
    </row>
    <row r="56" customFormat="false" ht="15" hidden="false" customHeight="true" outlineLevel="0" collapsed="false">
      <c r="A56" s="4"/>
      <c r="B56" s="4"/>
      <c r="C56" s="12" t="str">
        <f aca="false">IF(A56="","",IFERROR(INDEX('Stakeholder Assessment'!$I:$I,MATCH(A56,'Stakeholder Assessment'!$A:$A,0)),""))</f>
        <v/>
      </c>
      <c r="D56" s="4"/>
      <c r="E56" s="4"/>
      <c r="F56" s="4"/>
      <c r="G56" s="4"/>
      <c r="H56" s="4"/>
      <c r="I56" s="4"/>
      <c r="J56" s="4"/>
      <c r="K56" s="4"/>
      <c r="L56" s="4"/>
    </row>
    <row r="57" customFormat="false" ht="15" hidden="false" customHeight="true" outlineLevel="0" collapsed="false">
      <c r="A57" s="4"/>
      <c r="B57" s="4"/>
      <c r="C57" s="12" t="str">
        <f aca="false">IF(A57="","",IFERROR(INDEX('Stakeholder Assessment'!$I:$I,MATCH(A57,'Stakeholder Assessment'!$A:$A,0)),""))</f>
        <v/>
      </c>
      <c r="D57" s="4"/>
      <c r="E57" s="4"/>
      <c r="F57" s="4"/>
      <c r="G57" s="4"/>
      <c r="H57" s="4"/>
      <c r="I57" s="4"/>
      <c r="J57" s="4"/>
      <c r="K57" s="4"/>
      <c r="L57" s="4"/>
    </row>
    <row r="58" customFormat="false" ht="15" hidden="false" customHeight="true" outlineLevel="0" collapsed="false">
      <c r="A58" s="4"/>
      <c r="B58" s="4"/>
      <c r="C58" s="12" t="str">
        <f aca="false">IF(A58="","",IFERROR(INDEX('Stakeholder Assessment'!$I:$I,MATCH(A58,'Stakeholder Assessment'!$A:$A,0)),""))</f>
        <v/>
      </c>
      <c r="D58" s="4"/>
      <c r="E58" s="4"/>
      <c r="F58" s="4"/>
      <c r="G58" s="4"/>
      <c r="H58" s="4"/>
      <c r="I58" s="4"/>
      <c r="J58" s="4"/>
      <c r="K58" s="4"/>
      <c r="L58" s="4"/>
    </row>
    <row r="59" customFormat="false" ht="15" hidden="false" customHeight="true" outlineLevel="0" collapsed="false">
      <c r="A59" s="4"/>
      <c r="B59" s="4"/>
      <c r="C59" s="12" t="str">
        <f aca="false">IF(A59="","",IFERROR(INDEX('Stakeholder Assessment'!$I:$I,MATCH(A59,'Stakeholder Assessment'!$A:$A,0)),""))</f>
        <v/>
      </c>
      <c r="D59" s="4"/>
      <c r="E59" s="4"/>
      <c r="F59" s="4"/>
      <c r="G59" s="4"/>
      <c r="H59" s="4"/>
      <c r="I59" s="4"/>
      <c r="J59" s="4"/>
      <c r="K59" s="4"/>
      <c r="L59" s="4"/>
    </row>
    <row r="60" customFormat="false" ht="15" hidden="false" customHeight="true" outlineLevel="0" collapsed="false">
      <c r="A60" s="4"/>
      <c r="B60" s="4"/>
      <c r="C60" s="12" t="str">
        <f aca="false">IF(A60="","",IFERROR(INDEX('Stakeholder Assessment'!$I:$I,MATCH(A60,'Stakeholder Assessment'!$A:$A,0)),""))</f>
        <v/>
      </c>
      <c r="D60" s="4"/>
      <c r="E60" s="4"/>
      <c r="F60" s="4"/>
      <c r="G60" s="4"/>
      <c r="H60" s="4"/>
      <c r="I60" s="4"/>
      <c r="J60" s="4"/>
      <c r="K60" s="4"/>
      <c r="L60" s="4"/>
    </row>
    <row r="61" customFormat="false" ht="15" hidden="false" customHeight="true" outlineLevel="0" collapsed="false">
      <c r="A61" s="4"/>
      <c r="B61" s="4"/>
      <c r="C61" s="12" t="str">
        <f aca="false">IF(A61="","",IFERROR(INDEX('Stakeholder Assessment'!$I:$I,MATCH(A61,'Stakeholder Assessment'!$A:$A,0)),""))</f>
        <v/>
      </c>
      <c r="D61" s="4"/>
      <c r="E61" s="4"/>
      <c r="F61" s="4"/>
      <c r="G61" s="4"/>
      <c r="H61" s="4"/>
      <c r="I61" s="4"/>
      <c r="J61" s="4"/>
      <c r="K61" s="4"/>
      <c r="L61" s="4"/>
    </row>
    <row r="62" customFormat="false" ht="15" hidden="false" customHeight="true" outlineLevel="0" collapsed="false">
      <c r="A62" s="4"/>
      <c r="B62" s="4"/>
      <c r="C62" s="12" t="str">
        <f aca="false">IF(A62="","",IFERROR(INDEX('Stakeholder Assessment'!$I:$I,MATCH(A62,'Stakeholder Assessment'!$A:$A,0)),""))</f>
        <v/>
      </c>
      <c r="D62" s="4"/>
      <c r="E62" s="4"/>
      <c r="F62" s="4"/>
      <c r="G62" s="4"/>
      <c r="H62" s="4"/>
      <c r="I62" s="4"/>
      <c r="J62" s="4"/>
      <c r="K62" s="4"/>
      <c r="L62" s="4"/>
    </row>
    <row r="63" customFormat="false" ht="15" hidden="false" customHeight="true" outlineLevel="0" collapsed="false">
      <c r="A63" s="4"/>
      <c r="B63" s="4"/>
      <c r="C63" s="12" t="str">
        <f aca="false">IF(A63="","",IFERROR(INDEX('Stakeholder Assessment'!$I:$I,MATCH(A63,'Stakeholder Assessment'!$A:$A,0)),""))</f>
        <v/>
      </c>
      <c r="D63" s="4"/>
      <c r="E63" s="4"/>
      <c r="F63" s="4"/>
      <c r="G63" s="4"/>
      <c r="H63" s="4"/>
      <c r="I63" s="4"/>
      <c r="J63" s="4"/>
      <c r="K63" s="4"/>
      <c r="L63" s="4"/>
    </row>
    <row r="64" customFormat="false" ht="15" hidden="false" customHeight="true" outlineLevel="0" collapsed="false">
      <c r="A64" s="4"/>
      <c r="B64" s="4"/>
      <c r="C64" s="12" t="str">
        <f aca="false">IF(A64="","",IFERROR(INDEX('Stakeholder Assessment'!$I:$I,MATCH(A64,'Stakeholder Assessment'!$A:$A,0)),""))</f>
        <v/>
      </c>
      <c r="D64" s="4"/>
      <c r="E64" s="4"/>
      <c r="F64" s="4"/>
      <c r="G64" s="4"/>
      <c r="H64" s="4"/>
      <c r="I64" s="4"/>
      <c r="J64" s="4"/>
      <c r="K64" s="4"/>
      <c r="L64" s="4"/>
    </row>
    <row r="65" customFormat="false" ht="15" hidden="false" customHeight="true" outlineLevel="0" collapsed="false">
      <c r="A65" s="4"/>
      <c r="B65" s="4"/>
      <c r="C65" s="12" t="str">
        <f aca="false">IF(A65="","",IFERROR(INDEX('Stakeholder Assessment'!$I:$I,MATCH(A65,'Stakeholder Assessment'!$A:$A,0)),""))</f>
        <v/>
      </c>
      <c r="D65" s="4"/>
      <c r="E65" s="4"/>
      <c r="F65" s="4"/>
      <c r="G65" s="4"/>
      <c r="H65" s="4"/>
      <c r="I65" s="4"/>
      <c r="J65" s="4"/>
      <c r="K65" s="4"/>
      <c r="L65" s="4"/>
    </row>
    <row r="66" customFormat="false" ht="15" hidden="false" customHeight="true" outlineLevel="0" collapsed="false">
      <c r="A66" s="4"/>
      <c r="B66" s="4"/>
      <c r="C66" s="12" t="str">
        <f aca="false">IF(A66="","",IFERROR(INDEX('Stakeholder Assessment'!$I:$I,MATCH(A66,'Stakeholder Assessment'!$A:$A,0)),""))</f>
        <v/>
      </c>
      <c r="D66" s="4"/>
      <c r="E66" s="4"/>
      <c r="F66" s="4"/>
      <c r="G66" s="4"/>
      <c r="H66" s="4"/>
      <c r="I66" s="4"/>
      <c r="J66" s="4"/>
      <c r="K66" s="4"/>
      <c r="L66" s="4"/>
    </row>
    <row r="67" customFormat="false" ht="15" hidden="false" customHeight="true" outlineLevel="0" collapsed="false">
      <c r="A67" s="4"/>
      <c r="B67" s="4"/>
      <c r="C67" s="12" t="str">
        <f aca="false">IF(A67="","",IFERROR(INDEX('Stakeholder Assessment'!$I:$I,MATCH(A67,'Stakeholder Assessment'!$A:$A,0)),""))</f>
        <v/>
      </c>
      <c r="D67" s="4"/>
      <c r="E67" s="4"/>
      <c r="F67" s="4"/>
      <c r="G67" s="4"/>
      <c r="H67" s="4"/>
      <c r="I67" s="4"/>
      <c r="J67" s="4"/>
      <c r="K67" s="4"/>
      <c r="L67" s="4"/>
    </row>
    <row r="68" customFormat="false" ht="15" hidden="false" customHeight="true" outlineLevel="0" collapsed="false">
      <c r="A68" s="4"/>
      <c r="B68" s="4"/>
      <c r="C68" s="12" t="str">
        <f aca="false">IF(A68="","",IFERROR(INDEX('Stakeholder Assessment'!$I:$I,MATCH(A68,'Stakeholder Assessment'!$A:$A,0)),""))</f>
        <v/>
      </c>
      <c r="D68" s="4"/>
      <c r="E68" s="4"/>
      <c r="F68" s="4"/>
      <c r="G68" s="4"/>
      <c r="H68" s="4"/>
      <c r="I68" s="4"/>
      <c r="J68" s="4"/>
      <c r="K68" s="4"/>
      <c r="L68" s="4"/>
    </row>
    <row r="69" customFormat="false" ht="15" hidden="false" customHeight="true" outlineLevel="0" collapsed="false">
      <c r="A69" s="4"/>
      <c r="B69" s="4"/>
      <c r="C69" s="12" t="str">
        <f aca="false">IF(A69="","",IFERROR(INDEX('Stakeholder Assessment'!$I:$I,MATCH(A69,'Stakeholder Assessment'!$A:$A,0)),""))</f>
        <v/>
      </c>
      <c r="D69" s="4"/>
      <c r="E69" s="4"/>
      <c r="F69" s="4"/>
      <c r="G69" s="4"/>
      <c r="H69" s="4"/>
      <c r="I69" s="4"/>
      <c r="J69" s="4"/>
      <c r="K69" s="4"/>
      <c r="L69" s="4"/>
    </row>
    <row r="70" customFormat="false" ht="15" hidden="false" customHeight="true" outlineLevel="0" collapsed="false">
      <c r="A70" s="4"/>
      <c r="B70" s="4"/>
      <c r="C70" s="12" t="str">
        <f aca="false">IF(A70="","",IFERROR(INDEX('Stakeholder Assessment'!$I:$I,MATCH(A70,'Stakeholder Assessment'!$A:$A,0)),""))</f>
        <v/>
      </c>
      <c r="D70" s="4"/>
      <c r="E70" s="4"/>
      <c r="F70" s="4"/>
      <c r="G70" s="4"/>
      <c r="H70" s="4"/>
      <c r="I70" s="4"/>
      <c r="J70" s="4"/>
      <c r="K70" s="4"/>
      <c r="L70" s="4"/>
    </row>
    <row r="71" customFormat="false" ht="15" hidden="false" customHeight="true" outlineLevel="0" collapsed="false">
      <c r="A71" s="4"/>
      <c r="B71" s="4"/>
      <c r="C71" s="12" t="str">
        <f aca="false">IF(A71="","",IFERROR(INDEX('Stakeholder Assessment'!$I:$I,MATCH(A71,'Stakeholder Assessment'!$A:$A,0)),""))</f>
        <v/>
      </c>
      <c r="D71" s="4"/>
      <c r="E71" s="4"/>
      <c r="F71" s="4"/>
      <c r="G71" s="4"/>
      <c r="H71" s="4"/>
      <c r="I71" s="4"/>
      <c r="J71" s="4"/>
      <c r="K71" s="4"/>
      <c r="L71" s="4"/>
    </row>
    <row r="72" customFormat="false" ht="15" hidden="false" customHeight="true" outlineLevel="0" collapsed="false">
      <c r="A72" s="4"/>
      <c r="B72" s="4"/>
      <c r="C72" s="12" t="str">
        <f aca="false">IF(A72="","",IFERROR(INDEX('Stakeholder Assessment'!$I:$I,MATCH(A72,'Stakeholder Assessment'!$A:$A,0)),""))</f>
        <v/>
      </c>
      <c r="D72" s="4"/>
      <c r="E72" s="4"/>
      <c r="F72" s="4"/>
      <c r="G72" s="4"/>
      <c r="H72" s="4"/>
      <c r="I72" s="4"/>
      <c r="J72" s="4"/>
      <c r="K72" s="4"/>
      <c r="L72" s="4"/>
    </row>
    <row r="73" customFormat="false" ht="15" hidden="false" customHeight="true" outlineLevel="0" collapsed="false">
      <c r="A73" s="4"/>
      <c r="B73" s="4"/>
      <c r="C73" s="12" t="str">
        <f aca="false">IF(A73="","",IFERROR(INDEX('Stakeholder Assessment'!$I:$I,MATCH(A73,'Stakeholder Assessment'!$A:$A,0)),""))</f>
        <v/>
      </c>
      <c r="D73" s="4"/>
      <c r="E73" s="4"/>
      <c r="F73" s="4"/>
      <c r="G73" s="4"/>
      <c r="H73" s="4"/>
      <c r="I73" s="4"/>
      <c r="J73" s="4"/>
      <c r="K73" s="4"/>
      <c r="L73" s="4"/>
    </row>
    <row r="74" customFormat="false" ht="15" hidden="false" customHeight="true" outlineLevel="0" collapsed="false">
      <c r="A74" s="4"/>
      <c r="B74" s="4"/>
      <c r="C74" s="12" t="str">
        <f aca="false">IF(A74="","",IFERROR(INDEX('Stakeholder Assessment'!$I:$I,MATCH(A74,'Stakeholder Assessment'!$A:$A,0)),""))</f>
        <v/>
      </c>
      <c r="D74" s="4"/>
      <c r="E74" s="4"/>
      <c r="F74" s="4"/>
      <c r="G74" s="4"/>
      <c r="H74" s="4"/>
      <c r="I74" s="4"/>
      <c r="J74" s="4"/>
      <c r="K74" s="4"/>
      <c r="L74" s="4"/>
    </row>
    <row r="75" customFormat="false" ht="15" hidden="false" customHeight="true" outlineLevel="0" collapsed="false">
      <c r="A75" s="4"/>
      <c r="B75" s="4"/>
      <c r="C75" s="12" t="str">
        <f aca="false">IF(A75="","",IFERROR(INDEX('Stakeholder Assessment'!$I:$I,MATCH(A75,'Stakeholder Assessment'!$A:$A,0)),""))</f>
        <v/>
      </c>
      <c r="D75" s="4"/>
      <c r="E75" s="4"/>
      <c r="F75" s="4"/>
      <c r="G75" s="4"/>
      <c r="H75" s="4"/>
      <c r="I75" s="4"/>
      <c r="J75" s="4"/>
      <c r="K75" s="4"/>
      <c r="L75" s="4"/>
    </row>
    <row r="76" customFormat="false" ht="15" hidden="false" customHeight="true" outlineLevel="0" collapsed="false">
      <c r="A76" s="4"/>
      <c r="B76" s="4"/>
      <c r="C76" s="12" t="str">
        <f aca="false">IF(A76="","",IFERROR(INDEX('Stakeholder Assessment'!$I:$I,MATCH(A76,'Stakeholder Assessment'!$A:$A,0)),""))</f>
        <v/>
      </c>
      <c r="D76" s="4"/>
      <c r="E76" s="4"/>
      <c r="F76" s="4"/>
      <c r="G76" s="4"/>
      <c r="H76" s="4"/>
      <c r="I76" s="4"/>
      <c r="J76" s="4"/>
      <c r="K76" s="4"/>
      <c r="L76" s="4"/>
    </row>
    <row r="77" customFormat="false" ht="15" hidden="false" customHeight="true" outlineLevel="0" collapsed="false">
      <c r="A77" s="4"/>
      <c r="B77" s="4"/>
      <c r="C77" s="12" t="str">
        <f aca="false">IF(A77="","",IFERROR(INDEX('Stakeholder Assessment'!$I:$I,MATCH(A77,'Stakeholder Assessment'!$A:$A,0)),""))</f>
        <v/>
      </c>
      <c r="D77" s="4"/>
      <c r="E77" s="4"/>
      <c r="F77" s="4"/>
      <c r="G77" s="4"/>
      <c r="H77" s="4"/>
      <c r="I77" s="4"/>
      <c r="J77" s="4"/>
      <c r="K77" s="4"/>
      <c r="L77" s="4"/>
    </row>
    <row r="78" customFormat="false" ht="15" hidden="false" customHeight="true" outlineLevel="0" collapsed="false">
      <c r="A78" s="4"/>
      <c r="B78" s="4"/>
      <c r="C78" s="12" t="str">
        <f aca="false">IF(A78="","",IFERROR(INDEX('Stakeholder Assessment'!$I:$I,MATCH(A78,'Stakeholder Assessment'!$A:$A,0)),""))</f>
        <v/>
      </c>
      <c r="D78" s="4"/>
      <c r="E78" s="4"/>
      <c r="F78" s="4"/>
      <c r="G78" s="4"/>
      <c r="H78" s="4"/>
      <c r="I78" s="4"/>
      <c r="J78" s="4"/>
      <c r="K78" s="4"/>
      <c r="L78" s="4"/>
    </row>
    <row r="79" customFormat="false" ht="15" hidden="false" customHeight="true" outlineLevel="0" collapsed="false">
      <c r="A79" s="4"/>
      <c r="B79" s="4"/>
      <c r="C79" s="12" t="str">
        <f aca="false">IF(A79="","",IFERROR(INDEX('Stakeholder Assessment'!$I:$I,MATCH(A79,'Stakeholder Assessment'!$A:$A,0)),""))</f>
        <v/>
      </c>
      <c r="D79" s="4"/>
      <c r="E79" s="4"/>
      <c r="F79" s="4"/>
      <c r="G79" s="4"/>
      <c r="H79" s="4"/>
      <c r="I79" s="4"/>
      <c r="J79" s="4"/>
      <c r="K79" s="4"/>
      <c r="L79" s="4"/>
    </row>
    <row r="80" customFormat="false" ht="15" hidden="false" customHeight="true" outlineLevel="0" collapsed="false">
      <c r="A80" s="4"/>
      <c r="B80" s="4"/>
      <c r="C80" s="12" t="str">
        <f aca="false">IF(A80="","",IFERROR(INDEX('Stakeholder Assessment'!$I:$I,MATCH(A80,'Stakeholder Assessment'!$A:$A,0)),""))</f>
        <v/>
      </c>
      <c r="D80" s="4"/>
      <c r="E80" s="4"/>
      <c r="F80" s="4"/>
      <c r="G80" s="4"/>
      <c r="H80" s="4"/>
      <c r="I80" s="4"/>
      <c r="J80" s="4"/>
      <c r="K80" s="4"/>
      <c r="L80" s="4"/>
    </row>
    <row r="81" customFormat="false" ht="15" hidden="false" customHeight="true" outlineLevel="0" collapsed="false">
      <c r="A81" s="4"/>
      <c r="B81" s="4"/>
      <c r="C81" s="12" t="str">
        <f aca="false">IF(A81="","",IFERROR(INDEX('Stakeholder Assessment'!$I:$I,MATCH(A81,'Stakeholder Assessment'!$A:$A,0)),""))</f>
        <v/>
      </c>
      <c r="D81" s="4"/>
      <c r="E81" s="4"/>
      <c r="F81" s="4"/>
      <c r="G81" s="4"/>
      <c r="H81" s="4"/>
      <c r="I81" s="4"/>
      <c r="J81" s="4"/>
      <c r="K81" s="4"/>
      <c r="L81" s="4"/>
    </row>
    <row r="82" customFormat="false" ht="15" hidden="false" customHeight="true" outlineLevel="0" collapsed="false">
      <c r="A82" s="4"/>
      <c r="B82" s="4"/>
      <c r="C82" s="12" t="str">
        <f aca="false">IF(A82="","",IFERROR(INDEX('Stakeholder Assessment'!$I:$I,MATCH(A82,'Stakeholder Assessment'!$A:$A,0)),""))</f>
        <v/>
      </c>
      <c r="D82" s="4"/>
      <c r="E82" s="4"/>
      <c r="F82" s="4"/>
      <c r="G82" s="4"/>
      <c r="H82" s="4"/>
      <c r="I82" s="4"/>
      <c r="J82" s="4"/>
      <c r="K82" s="4"/>
      <c r="L82" s="4"/>
    </row>
    <row r="83" customFormat="false" ht="15" hidden="false" customHeight="true" outlineLevel="0" collapsed="false">
      <c r="A83" s="4"/>
      <c r="B83" s="4"/>
      <c r="C83" s="12" t="str">
        <f aca="false">IF(A83="","",IFERROR(INDEX('Stakeholder Assessment'!$I:$I,MATCH(A83,'Stakeholder Assessment'!$A:$A,0)),""))</f>
        <v/>
      </c>
      <c r="D83" s="4"/>
      <c r="E83" s="4"/>
      <c r="F83" s="4"/>
      <c r="G83" s="4"/>
      <c r="H83" s="4"/>
      <c r="I83" s="4"/>
      <c r="J83" s="4"/>
      <c r="K83" s="4"/>
      <c r="L83" s="4"/>
    </row>
    <row r="84" customFormat="false" ht="15" hidden="false" customHeight="true" outlineLevel="0" collapsed="false">
      <c r="A84" s="4"/>
      <c r="B84" s="4"/>
      <c r="C84" s="12" t="str">
        <f aca="false">IF(A84="","",IFERROR(INDEX('Stakeholder Assessment'!$I:$I,MATCH(A84,'Stakeholder Assessment'!$A:$A,0)),""))</f>
        <v/>
      </c>
      <c r="D84" s="4"/>
      <c r="E84" s="4"/>
      <c r="F84" s="4"/>
      <c r="G84" s="4"/>
      <c r="H84" s="4"/>
      <c r="I84" s="4"/>
      <c r="J84" s="4"/>
      <c r="K84" s="4"/>
      <c r="L84" s="4"/>
    </row>
    <row r="85" customFormat="false" ht="15" hidden="false" customHeight="true" outlineLevel="0" collapsed="false">
      <c r="A85" s="4"/>
      <c r="B85" s="4"/>
      <c r="C85" s="12" t="str">
        <f aca="false">IF(A85="","",IFERROR(INDEX('Stakeholder Assessment'!$I:$I,MATCH(A85,'Stakeholder Assessment'!$A:$A,0)),""))</f>
        <v/>
      </c>
      <c r="D85" s="4"/>
      <c r="E85" s="4"/>
      <c r="F85" s="4"/>
      <c r="G85" s="4"/>
      <c r="H85" s="4"/>
      <c r="I85" s="4"/>
      <c r="J85" s="4"/>
      <c r="K85" s="4"/>
      <c r="L85" s="4"/>
    </row>
    <row r="86" customFormat="false" ht="15" hidden="false" customHeight="true" outlineLevel="0" collapsed="false">
      <c r="A86" s="4"/>
      <c r="B86" s="4"/>
      <c r="C86" s="12" t="str">
        <f aca="false">IF(A86="","",IFERROR(INDEX('Stakeholder Assessment'!$I:$I,MATCH(A86,'Stakeholder Assessment'!$A:$A,0)),""))</f>
        <v/>
      </c>
      <c r="D86" s="4"/>
      <c r="E86" s="4"/>
      <c r="F86" s="4"/>
      <c r="G86" s="4"/>
      <c r="H86" s="4"/>
      <c r="I86" s="4"/>
      <c r="J86" s="4"/>
      <c r="K86" s="4"/>
      <c r="L86" s="4"/>
    </row>
    <row r="87" customFormat="false" ht="15" hidden="false" customHeight="true" outlineLevel="0" collapsed="false">
      <c r="A87" s="4"/>
      <c r="B87" s="4"/>
      <c r="C87" s="12" t="str">
        <f aca="false">IF(A87="","",IFERROR(INDEX('Stakeholder Assessment'!$I:$I,MATCH(A87,'Stakeholder Assessment'!$A:$A,0)),""))</f>
        <v/>
      </c>
      <c r="D87" s="4"/>
      <c r="E87" s="4"/>
      <c r="F87" s="4"/>
      <c r="G87" s="4"/>
      <c r="H87" s="4"/>
      <c r="I87" s="4"/>
      <c r="J87" s="4"/>
      <c r="K87" s="4"/>
      <c r="L87" s="4"/>
    </row>
    <row r="88" customFormat="false" ht="15" hidden="false" customHeight="true" outlineLevel="0" collapsed="false">
      <c r="A88" s="4"/>
      <c r="B88" s="4"/>
      <c r="C88" s="12" t="str">
        <f aca="false">IF(A88="","",IFERROR(INDEX('Stakeholder Assessment'!$I:$I,MATCH(A88,'Stakeholder Assessment'!$A:$A,0)),""))</f>
        <v/>
      </c>
      <c r="D88" s="4"/>
      <c r="E88" s="4"/>
      <c r="F88" s="4"/>
      <c r="G88" s="4"/>
      <c r="H88" s="4"/>
      <c r="I88" s="4"/>
      <c r="J88" s="4"/>
      <c r="K88" s="4"/>
      <c r="L88" s="4"/>
    </row>
    <row r="89" customFormat="false" ht="15" hidden="false" customHeight="true" outlineLevel="0" collapsed="false">
      <c r="A89" s="4"/>
      <c r="B89" s="4"/>
      <c r="C89" s="12" t="str">
        <f aca="false">IF(A89="","",IFERROR(INDEX('Stakeholder Assessment'!$I:$I,MATCH(A89,'Stakeholder Assessment'!$A:$A,0)),""))</f>
        <v/>
      </c>
      <c r="D89" s="4"/>
      <c r="E89" s="4"/>
      <c r="F89" s="4"/>
      <c r="G89" s="4"/>
      <c r="H89" s="4"/>
      <c r="I89" s="4"/>
      <c r="J89" s="4"/>
      <c r="K89" s="4"/>
      <c r="L89" s="4"/>
    </row>
    <row r="90" customFormat="false" ht="15" hidden="false" customHeight="true" outlineLevel="0" collapsed="false">
      <c r="A90" s="4"/>
      <c r="B90" s="4"/>
      <c r="C90" s="12" t="str">
        <f aca="false">IF(A90="","",IFERROR(INDEX('Stakeholder Assessment'!$I:$I,MATCH(A90,'Stakeholder Assessment'!$A:$A,0)),""))</f>
        <v/>
      </c>
      <c r="D90" s="4"/>
      <c r="E90" s="4"/>
      <c r="F90" s="4"/>
      <c r="G90" s="4"/>
      <c r="H90" s="4"/>
      <c r="I90" s="4"/>
      <c r="J90" s="4"/>
      <c r="K90" s="4"/>
      <c r="L90" s="4"/>
    </row>
    <row r="91" customFormat="false" ht="15" hidden="false" customHeight="true" outlineLevel="0" collapsed="false">
      <c r="A91" s="4"/>
      <c r="B91" s="4"/>
      <c r="C91" s="12" t="str">
        <f aca="false">IF(A91="","",IFERROR(INDEX('Stakeholder Assessment'!$I:$I,MATCH(A91,'Stakeholder Assessment'!$A:$A,0)),""))</f>
        <v/>
      </c>
      <c r="D91" s="4"/>
      <c r="E91" s="4"/>
      <c r="F91" s="4"/>
      <c r="G91" s="4"/>
      <c r="H91" s="4"/>
      <c r="I91" s="4"/>
      <c r="J91" s="4"/>
      <c r="K91" s="4"/>
      <c r="L91" s="4"/>
    </row>
    <row r="92" customFormat="false" ht="15" hidden="false" customHeight="true" outlineLevel="0" collapsed="false">
      <c r="A92" s="4"/>
      <c r="B92" s="4"/>
      <c r="C92" s="12" t="str">
        <f aca="false">IF(A92="","",IFERROR(INDEX('Stakeholder Assessment'!$I:$I,MATCH(A92,'Stakeholder Assessment'!$A:$A,0)),""))</f>
        <v/>
      </c>
      <c r="D92" s="4"/>
      <c r="E92" s="4"/>
      <c r="F92" s="4"/>
      <c r="G92" s="4"/>
      <c r="H92" s="4"/>
      <c r="I92" s="4"/>
      <c r="J92" s="4"/>
      <c r="K92" s="4"/>
      <c r="L92" s="4"/>
    </row>
    <row r="93" customFormat="false" ht="15" hidden="false" customHeight="true" outlineLevel="0" collapsed="false">
      <c r="A93" s="4"/>
      <c r="B93" s="4"/>
      <c r="C93" s="12" t="str">
        <f aca="false">IF(A93="","",IFERROR(INDEX('Stakeholder Assessment'!$I:$I,MATCH(A93,'Stakeholder Assessment'!$A:$A,0)),""))</f>
        <v/>
      </c>
      <c r="D93" s="4"/>
      <c r="E93" s="4"/>
      <c r="F93" s="4"/>
      <c r="G93" s="4"/>
      <c r="H93" s="4"/>
      <c r="I93" s="4"/>
      <c r="J93" s="4"/>
      <c r="K93" s="4"/>
      <c r="L93" s="4"/>
    </row>
    <row r="94" customFormat="false" ht="15" hidden="false" customHeight="true" outlineLevel="0" collapsed="false">
      <c r="A94" s="4"/>
      <c r="B94" s="4"/>
      <c r="C94" s="12" t="str">
        <f aca="false">IF(A94="","",IFERROR(INDEX('Stakeholder Assessment'!$I:$I,MATCH(A94,'Stakeholder Assessment'!$A:$A,0)),""))</f>
        <v/>
      </c>
      <c r="D94" s="4"/>
      <c r="E94" s="4"/>
      <c r="F94" s="4"/>
      <c r="G94" s="4"/>
      <c r="H94" s="4"/>
      <c r="I94" s="4"/>
      <c r="J94" s="4"/>
      <c r="K94" s="4"/>
      <c r="L94" s="4"/>
    </row>
    <row r="95" customFormat="false" ht="15" hidden="false" customHeight="true" outlineLevel="0" collapsed="false">
      <c r="A95" s="4"/>
      <c r="B95" s="4"/>
      <c r="C95" s="12" t="str">
        <f aca="false">IF(A95="","",IFERROR(INDEX('Stakeholder Assessment'!$I:$I,MATCH(A95,'Stakeholder Assessment'!$A:$A,0)),""))</f>
        <v/>
      </c>
      <c r="D95" s="4"/>
      <c r="E95" s="4"/>
      <c r="F95" s="4"/>
      <c r="G95" s="4"/>
      <c r="H95" s="4"/>
      <c r="I95" s="4"/>
      <c r="J95" s="4"/>
      <c r="K95" s="4"/>
      <c r="L95" s="4"/>
    </row>
    <row r="96" customFormat="false" ht="15" hidden="false" customHeight="true" outlineLevel="0" collapsed="false">
      <c r="A96" s="4"/>
      <c r="B96" s="4"/>
      <c r="C96" s="12" t="str">
        <f aca="false">IF(A96="","",IFERROR(INDEX('Stakeholder Assessment'!$I:$I,MATCH(A96,'Stakeholder Assessment'!$A:$A,0)),""))</f>
        <v/>
      </c>
      <c r="D96" s="4"/>
      <c r="E96" s="4"/>
      <c r="F96" s="4"/>
      <c r="G96" s="4"/>
      <c r="H96" s="4"/>
      <c r="I96" s="4"/>
      <c r="J96" s="4"/>
      <c r="K96" s="4"/>
      <c r="L96" s="4"/>
    </row>
    <row r="97" customFormat="false" ht="15" hidden="false" customHeight="true" outlineLevel="0" collapsed="false">
      <c r="A97" s="4"/>
      <c r="B97" s="4"/>
      <c r="C97" s="12" t="str">
        <f aca="false">IF(A97="","",IFERROR(INDEX('Stakeholder Assessment'!$I:$I,MATCH(A97,'Stakeholder Assessment'!$A:$A,0)),""))</f>
        <v/>
      </c>
      <c r="D97" s="4"/>
      <c r="E97" s="4"/>
      <c r="F97" s="4"/>
      <c r="G97" s="4"/>
      <c r="H97" s="4"/>
      <c r="I97" s="4"/>
      <c r="J97" s="4"/>
      <c r="K97" s="4"/>
      <c r="L97" s="4"/>
    </row>
    <row r="98" customFormat="false" ht="15" hidden="false" customHeight="true" outlineLevel="0" collapsed="false">
      <c r="A98" s="4"/>
      <c r="B98" s="4"/>
      <c r="C98" s="12" t="str">
        <f aca="false">IF(A98="","",IFERROR(INDEX('Stakeholder Assessment'!$I:$I,MATCH(A98,'Stakeholder Assessment'!$A:$A,0)),""))</f>
        <v/>
      </c>
      <c r="D98" s="4"/>
      <c r="E98" s="4"/>
      <c r="F98" s="4"/>
      <c r="G98" s="4"/>
      <c r="H98" s="4"/>
      <c r="I98" s="4"/>
      <c r="J98" s="4"/>
      <c r="K98" s="4"/>
      <c r="L98" s="4"/>
    </row>
    <row r="99" customFormat="false" ht="15" hidden="false" customHeight="true" outlineLevel="0" collapsed="false">
      <c r="A99" s="4"/>
      <c r="B99" s="4"/>
      <c r="C99" s="12" t="str">
        <f aca="false">IF(A99="","",IFERROR(INDEX('Stakeholder Assessment'!$I:$I,MATCH(A99,'Stakeholder Assessment'!$A:$A,0)),""))</f>
        <v/>
      </c>
      <c r="D99" s="4"/>
      <c r="E99" s="4"/>
      <c r="F99" s="4"/>
      <c r="G99" s="4"/>
      <c r="H99" s="4"/>
      <c r="I99" s="4"/>
      <c r="J99" s="4"/>
      <c r="K99" s="4"/>
      <c r="L99" s="4"/>
    </row>
    <row r="100" customFormat="false" ht="15" hidden="false" customHeight="true" outlineLevel="0" collapsed="false">
      <c r="A100" s="4"/>
      <c r="B100" s="4"/>
      <c r="C100" s="12" t="str">
        <f aca="false">IF(A100="","",IFERROR(INDEX('Stakeholder Assessment'!$I:$I,MATCH(A100,'Stakeholder Assessment'!$A:$A,0)),""))</f>
        <v/>
      </c>
      <c r="D100" s="4"/>
      <c r="E100" s="4"/>
      <c r="F100" s="4"/>
      <c r="G100" s="4"/>
      <c r="H100" s="4"/>
      <c r="I100" s="4"/>
      <c r="J100" s="4"/>
      <c r="K100" s="4"/>
      <c r="L100" s="4"/>
    </row>
    <row r="101" customFormat="false" ht="15" hidden="false" customHeight="true" outlineLevel="0" collapsed="false">
      <c r="A101" s="4"/>
      <c r="B101" s="4"/>
      <c r="C101" s="12" t="str">
        <f aca="false">IF(A101="","",IFERROR(INDEX('Stakeholder Assessment'!$I:$I,MATCH(A101,'Stakeholder Assessment'!$A:$A,0)),""))</f>
        <v/>
      </c>
      <c r="D101" s="4"/>
      <c r="E101" s="4"/>
      <c r="F101" s="4"/>
      <c r="G101" s="4"/>
      <c r="H101" s="4"/>
      <c r="I101" s="4"/>
      <c r="J101" s="4"/>
      <c r="K101" s="4"/>
      <c r="L101" s="4"/>
    </row>
    <row r="102" customFormat="false" ht="15" hidden="false" customHeight="true" outlineLevel="0" collapsed="false">
      <c r="A102" s="4"/>
      <c r="B102" s="4"/>
      <c r="C102" s="12" t="str">
        <f aca="false">IF(A102="","",IFERROR(INDEX('Stakeholder Assessment'!$I:$I,MATCH(A102,'Stakeholder Assessment'!$A:$A,0)),""))</f>
        <v/>
      </c>
      <c r="D102" s="4"/>
      <c r="E102" s="4"/>
      <c r="F102" s="4"/>
      <c r="G102" s="4"/>
      <c r="H102" s="4"/>
      <c r="I102" s="4"/>
      <c r="J102" s="4"/>
      <c r="K102" s="4"/>
      <c r="L102" s="4"/>
    </row>
    <row r="103" customFormat="false" ht="15" hidden="false" customHeight="true" outlineLevel="0" collapsed="false">
      <c r="A103" s="4"/>
      <c r="B103" s="4"/>
      <c r="C103" s="12" t="str">
        <f aca="false">IF(A103="","",IFERROR(INDEX('Stakeholder Assessment'!$I:$I,MATCH(A103,'Stakeholder Assessment'!$A:$A,0)),""))</f>
        <v/>
      </c>
      <c r="D103" s="4"/>
      <c r="E103" s="4"/>
      <c r="F103" s="4"/>
      <c r="G103" s="4"/>
      <c r="H103" s="4"/>
      <c r="I103" s="4"/>
      <c r="J103" s="4"/>
      <c r="K103" s="4"/>
      <c r="L103" s="4"/>
    </row>
    <row r="104" customFormat="false" ht="15" hidden="false" customHeight="true" outlineLevel="0" collapsed="false">
      <c r="A104" s="4"/>
      <c r="B104" s="4"/>
      <c r="C104" s="12" t="str">
        <f aca="false">IF(A104="","",IFERROR(INDEX('Stakeholder Assessment'!$I:$I,MATCH(A104,'Stakeholder Assessment'!$A:$A,0)),""))</f>
        <v/>
      </c>
      <c r="D104" s="4"/>
      <c r="E104" s="4"/>
      <c r="F104" s="4"/>
      <c r="G104" s="4"/>
      <c r="H104" s="4"/>
      <c r="I104" s="4"/>
      <c r="J104" s="4"/>
      <c r="K104" s="4"/>
      <c r="L104" s="4"/>
    </row>
    <row r="105" customFormat="false" ht="15" hidden="false" customHeight="true" outlineLevel="0" collapsed="false">
      <c r="A105" s="4"/>
      <c r="B105" s="4"/>
      <c r="C105" s="12" t="str">
        <f aca="false">IF(A105="","",IFERROR(INDEX('Stakeholder Assessment'!$I:$I,MATCH(A105,'Stakeholder Assessment'!$A:$A,0)),""))</f>
        <v/>
      </c>
      <c r="D105" s="4"/>
      <c r="E105" s="4"/>
      <c r="F105" s="4"/>
      <c r="G105" s="4"/>
      <c r="H105" s="4"/>
      <c r="I105" s="4"/>
      <c r="J105" s="4"/>
      <c r="K105" s="4"/>
      <c r="L105" s="4"/>
    </row>
    <row r="106" customFormat="false" ht="15" hidden="false" customHeight="true" outlineLevel="0" collapsed="false">
      <c r="A106" s="4"/>
      <c r="B106" s="4"/>
      <c r="C106" s="12" t="str">
        <f aca="false">IF(A106="","",IFERROR(INDEX('Stakeholder Assessment'!$I:$I,MATCH(A106,'Stakeholder Assessment'!$A:$A,0)),""))</f>
        <v/>
      </c>
      <c r="D106" s="4"/>
      <c r="E106" s="4"/>
      <c r="F106" s="4"/>
      <c r="G106" s="4"/>
      <c r="H106" s="4"/>
      <c r="I106" s="4"/>
      <c r="J106" s="4"/>
      <c r="K106" s="4"/>
      <c r="L106" s="4"/>
    </row>
    <row r="107" customFormat="false" ht="15" hidden="false" customHeight="true" outlineLevel="0" collapsed="false">
      <c r="A107" s="4"/>
      <c r="B107" s="4"/>
      <c r="C107" s="12" t="str">
        <f aca="false">IF(A107="","",IFERROR(INDEX('Stakeholder Assessment'!$I:$I,MATCH(A107,'Stakeholder Assessment'!$A:$A,0)),""))</f>
        <v/>
      </c>
      <c r="D107" s="4"/>
      <c r="E107" s="4"/>
      <c r="F107" s="4"/>
      <c r="G107" s="4"/>
      <c r="H107" s="4"/>
      <c r="I107" s="4"/>
      <c r="J107" s="4"/>
      <c r="K107" s="4"/>
      <c r="L107" s="4"/>
    </row>
    <row r="108" customFormat="false" ht="15" hidden="false" customHeight="true" outlineLevel="0" collapsed="false">
      <c r="A108" s="4"/>
      <c r="B108" s="4"/>
      <c r="C108" s="12" t="str">
        <f aca="false">IF(A108="","",IFERROR(INDEX('Stakeholder Assessment'!$I:$I,MATCH(A108,'Stakeholder Assessment'!$A:$A,0)),""))</f>
        <v/>
      </c>
      <c r="D108" s="4"/>
      <c r="E108" s="4"/>
      <c r="F108" s="4"/>
      <c r="G108" s="4"/>
      <c r="H108" s="4"/>
      <c r="I108" s="4"/>
      <c r="J108" s="4"/>
      <c r="K108" s="4"/>
      <c r="L108" s="4"/>
    </row>
    <row r="109" customFormat="false" ht="15" hidden="false" customHeight="true" outlineLevel="0" collapsed="false">
      <c r="A109" s="4"/>
      <c r="B109" s="4"/>
      <c r="C109" s="12" t="str">
        <f aca="false">IF(A109="","",IFERROR(INDEX('Stakeholder Assessment'!$I:$I,MATCH(A109,'Stakeholder Assessment'!$A:$A,0)),""))</f>
        <v/>
      </c>
      <c r="D109" s="4"/>
      <c r="E109" s="4"/>
      <c r="F109" s="4"/>
      <c r="G109" s="4"/>
      <c r="H109" s="4"/>
      <c r="I109" s="4"/>
      <c r="J109" s="4"/>
      <c r="K109" s="4"/>
      <c r="L109" s="4"/>
    </row>
    <row r="110" customFormat="false" ht="15" hidden="false" customHeight="true" outlineLevel="0" collapsed="false">
      <c r="A110" s="4"/>
      <c r="B110" s="4"/>
      <c r="C110" s="12" t="str">
        <f aca="false">IF(A110="","",IFERROR(INDEX('Stakeholder Assessment'!$I:$I,MATCH(A110,'Stakeholder Assessment'!$A:$A,0)),""))</f>
        <v/>
      </c>
      <c r="D110" s="4"/>
      <c r="E110" s="4"/>
      <c r="F110" s="4"/>
      <c r="G110" s="4"/>
      <c r="H110" s="4"/>
      <c r="I110" s="4"/>
      <c r="J110" s="4"/>
      <c r="K110" s="4"/>
      <c r="L110" s="4"/>
    </row>
    <row r="111" customFormat="false" ht="15" hidden="false" customHeight="true" outlineLevel="0" collapsed="false">
      <c r="A111" s="4"/>
      <c r="B111" s="4"/>
      <c r="C111" s="12" t="str">
        <f aca="false">IF(A111="","",IFERROR(INDEX('Stakeholder Assessment'!$I:$I,MATCH(A111,'Stakeholder Assessment'!$A:$A,0)),""))</f>
        <v/>
      </c>
      <c r="D111" s="4"/>
      <c r="E111" s="4"/>
      <c r="F111" s="4"/>
      <c r="G111" s="4"/>
      <c r="H111" s="4"/>
      <c r="I111" s="4"/>
      <c r="J111" s="4"/>
      <c r="K111" s="4"/>
      <c r="L111" s="4"/>
    </row>
    <row r="112" customFormat="false" ht="15" hidden="false" customHeight="true" outlineLevel="0" collapsed="false">
      <c r="A112" s="4"/>
      <c r="B112" s="4"/>
      <c r="C112" s="12" t="str">
        <f aca="false">IF(A112="","",IFERROR(INDEX('Stakeholder Assessment'!$I:$I,MATCH(A112,'Stakeholder Assessment'!$A:$A,0)),""))</f>
        <v/>
      </c>
      <c r="D112" s="4"/>
      <c r="E112" s="4"/>
      <c r="F112" s="4"/>
      <c r="G112" s="4"/>
      <c r="H112" s="4"/>
      <c r="I112" s="4"/>
      <c r="J112" s="4"/>
      <c r="K112" s="4"/>
      <c r="L112" s="4"/>
    </row>
    <row r="113" customFormat="false" ht="15" hidden="false" customHeight="true" outlineLevel="0" collapsed="false">
      <c r="A113" s="4"/>
      <c r="B113" s="4"/>
      <c r="C113" s="12" t="str">
        <f aca="false">IF(A113="","",IFERROR(INDEX('Stakeholder Assessment'!$I:$I,MATCH(A113,'Stakeholder Assessment'!$A:$A,0)),""))</f>
        <v/>
      </c>
      <c r="D113" s="4"/>
      <c r="E113" s="4"/>
      <c r="F113" s="4"/>
      <c r="G113" s="4"/>
      <c r="H113" s="4"/>
      <c r="I113" s="4"/>
      <c r="J113" s="4"/>
      <c r="K113" s="4"/>
      <c r="L113" s="4"/>
    </row>
    <row r="114" customFormat="false" ht="15" hidden="false" customHeight="true" outlineLevel="0" collapsed="false">
      <c r="A114" s="4"/>
      <c r="B114" s="4"/>
      <c r="C114" s="12" t="str">
        <f aca="false">IF(A114="","",IFERROR(INDEX('Stakeholder Assessment'!$I:$I,MATCH(A114,'Stakeholder Assessment'!$A:$A,0)),""))</f>
        <v/>
      </c>
      <c r="D114" s="4"/>
      <c r="E114" s="4"/>
      <c r="F114" s="4"/>
      <c r="G114" s="4"/>
      <c r="H114" s="4"/>
      <c r="I114" s="4"/>
      <c r="J114" s="4"/>
      <c r="K114" s="4"/>
      <c r="L114" s="4"/>
    </row>
    <row r="115" customFormat="false" ht="15" hidden="false" customHeight="true" outlineLevel="0" collapsed="false">
      <c r="A115" s="4"/>
      <c r="B115" s="4"/>
      <c r="C115" s="12" t="str">
        <f aca="false">IF(A115="","",IFERROR(INDEX('Stakeholder Assessment'!$I:$I,MATCH(A115,'Stakeholder Assessment'!$A:$A,0)),""))</f>
        <v/>
      </c>
      <c r="D115" s="4"/>
      <c r="E115" s="4"/>
      <c r="F115" s="4"/>
      <c r="G115" s="4"/>
      <c r="H115" s="4"/>
      <c r="I115" s="4"/>
      <c r="J115" s="4"/>
      <c r="K115" s="4"/>
      <c r="L115" s="4"/>
    </row>
    <row r="116" customFormat="false" ht="15" hidden="false" customHeight="true" outlineLevel="0" collapsed="false">
      <c r="A116" s="4"/>
      <c r="B116" s="4"/>
      <c r="C116" s="12" t="str">
        <f aca="false">IF(A116="","",IFERROR(INDEX('Stakeholder Assessment'!$I:$I,MATCH(A116,'Stakeholder Assessment'!$A:$A,0)),""))</f>
        <v/>
      </c>
      <c r="D116" s="4"/>
      <c r="E116" s="4"/>
      <c r="F116" s="4"/>
      <c r="G116" s="4"/>
      <c r="H116" s="4"/>
      <c r="I116" s="4"/>
      <c r="J116" s="4"/>
      <c r="K116" s="4"/>
      <c r="L116" s="4"/>
    </row>
    <row r="117" customFormat="false" ht="15" hidden="false" customHeight="true" outlineLevel="0" collapsed="false">
      <c r="A117" s="4"/>
      <c r="B117" s="4"/>
      <c r="C117" s="12" t="str">
        <f aca="false">IF(A117="","",IFERROR(INDEX('Stakeholder Assessment'!$I:$I,MATCH(A117,'Stakeholder Assessment'!$A:$A,0)),""))</f>
        <v/>
      </c>
      <c r="D117" s="4"/>
      <c r="E117" s="4"/>
      <c r="F117" s="4"/>
      <c r="G117" s="4"/>
      <c r="H117" s="4"/>
      <c r="I117" s="4"/>
      <c r="J117" s="4"/>
      <c r="K117" s="4"/>
      <c r="L117" s="4"/>
    </row>
    <row r="118" customFormat="false" ht="15" hidden="false" customHeight="true" outlineLevel="0" collapsed="false">
      <c r="A118" s="4"/>
      <c r="B118" s="4"/>
      <c r="C118" s="12" t="str">
        <f aca="false">IF(A118="","",IFERROR(INDEX('Stakeholder Assessment'!$I:$I,MATCH(A118,'Stakeholder Assessment'!$A:$A,0)),""))</f>
        <v/>
      </c>
      <c r="D118" s="4"/>
      <c r="E118" s="4"/>
      <c r="F118" s="4"/>
      <c r="G118" s="4"/>
      <c r="H118" s="4"/>
      <c r="I118" s="4"/>
      <c r="J118" s="4"/>
      <c r="K118" s="4"/>
      <c r="L118" s="4"/>
    </row>
    <row r="119" customFormat="false" ht="15" hidden="false" customHeight="true" outlineLevel="0" collapsed="false">
      <c r="A119" s="4"/>
      <c r="B119" s="4"/>
      <c r="C119" s="12" t="str">
        <f aca="false">IF(A119="","",IFERROR(INDEX('Stakeholder Assessment'!$I:$I,MATCH(A119,'Stakeholder Assessment'!$A:$A,0)),""))</f>
        <v/>
      </c>
      <c r="D119" s="4"/>
      <c r="E119" s="4"/>
      <c r="F119" s="4"/>
      <c r="G119" s="4"/>
      <c r="H119" s="4"/>
      <c r="I119" s="4"/>
      <c r="J119" s="4"/>
      <c r="K119" s="4"/>
      <c r="L119" s="4"/>
    </row>
    <row r="120" customFormat="false" ht="15" hidden="false" customHeight="true" outlineLevel="0" collapsed="false">
      <c r="A120" s="4"/>
      <c r="B120" s="4"/>
      <c r="C120" s="12" t="str">
        <f aca="false">IF(A120="","",IFERROR(INDEX('Stakeholder Assessment'!$I:$I,MATCH(A120,'Stakeholder Assessment'!$A:$A,0)),""))</f>
        <v/>
      </c>
      <c r="D120" s="4"/>
      <c r="E120" s="4"/>
      <c r="F120" s="4"/>
      <c r="G120" s="4"/>
      <c r="H120" s="4"/>
      <c r="I120" s="4"/>
      <c r="J120" s="4"/>
      <c r="K120" s="4"/>
      <c r="L120" s="4"/>
    </row>
    <row r="121" customFormat="false" ht="15" hidden="false" customHeight="true" outlineLevel="0" collapsed="false">
      <c r="A121" s="4"/>
      <c r="B121" s="4"/>
      <c r="C121" s="12" t="str">
        <f aca="false">IF(A121="","",IFERROR(INDEX('Stakeholder Assessment'!$I:$I,MATCH(A121,'Stakeholder Assessment'!$A:$A,0)),""))</f>
        <v/>
      </c>
      <c r="D121" s="4"/>
      <c r="E121" s="4"/>
      <c r="F121" s="4"/>
      <c r="G121" s="4"/>
      <c r="H121" s="4"/>
      <c r="I121" s="4"/>
      <c r="J121" s="4"/>
      <c r="K121" s="4"/>
      <c r="L121" s="4"/>
    </row>
    <row r="122" customFormat="false" ht="15" hidden="false" customHeight="true" outlineLevel="0" collapsed="false">
      <c r="A122" s="4"/>
      <c r="B122" s="4"/>
      <c r="C122" s="12" t="str">
        <f aca="false">IF(A122="","",IFERROR(INDEX('Stakeholder Assessment'!$I:$I,MATCH(A122,'Stakeholder Assessment'!$A:$A,0)),""))</f>
        <v/>
      </c>
      <c r="D122" s="4"/>
      <c r="E122" s="4"/>
      <c r="F122" s="4"/>
      <c r="G122" s="4"/>
      <c r="H122" s="4"/>
      <c r="I122" s="4"/>
      <c r="J122" s="4"/>
      <c r="K122" s="4"/>
      <c r="L122" s="4"/>
    </row>
  </sheetData>
  <mergeCells count="1">
    <mergeCell ref="A1:L1"/>
  </mergeCells>
  <dataValidations count="4">
    <dataValidation allowBlank="true" errorStyle="stop" operator="between" showDropDown="false" showErrorMessage="false" showInputMessage="false" sqref="F3:F122" type="list">
      <formula1>"Safer,Simpler,Ready"</formula1>
      <formula2>0</formula2>
    </dataValidation>
    <dataValidation allowBlank="true" errorStyle="stop" operator="between" showDropDown="false" showErrorMessage="false" showInputMessage="false" sqref="G3:G122" type="list">
      <formula1>"1:1 meeting,Team briefing,Email,Steering committee,Workshop,Office hours"</formula1>
      <formula2>0</formula2>
    </dataValidation>
    <dataValidation allowBlank="true" errorStyle="stop" operator="between" showDropDown="false" showErrorMessage="false" showInputMessage="false" sqref="H3:H122" type="list">
      <formula1>"Weekly,Biweekly,Monthly,Per milestone"</formula1>
      <formula2>0</formula2>
    </dataValidation>
    <dataValidation allowBlank="true" errorStyle="stop" operator="between" showDropDown="false" showErrorMessage="false" showInputMessage="false" sqref="L3:L122" type="list">
      <formula1>"Open,In Progress,Done"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3"/>
    <col collapsed="false" customWidth="true" hidden="false" outlineLevel="0" max="3" min="3" style="1" width="24"/>
    <col collapsed="false" customWidth="true" hidden="false" outlineLevel="0" max="4" min="4" style="1" width="32"/>
    <col collapsed="false" customWidth="true" hidden="false" outlineLevel="0" max="6" min="5" style="1" width="30"/>
    <col collapsed="false" customWidth="true" hidden="false" outlineLevel="0" max="7" min="7" style="1" width="15"/>
    <col collapsed="false" customWidth="true" hidden="false" outlineLevel="0" max="8" min="8" style="1" width="14"/>
    <col collapsed="false" customWidth="true" hidden="false" outlineLevel="0" max="9" min="9" style="1" width="30"/>
    <col collapsed="false" customWidth="true" hidden="false" outlineLevel="0" max="10" min="10" style="1" width="16"/>
  </cols>
  <sheetData>
    <row r="1" customFormat="false" ht="25.5" hidden="false" customHeight="true" outlineLevel="0" collapsed="false">
      <c r="A1" s="2" t="s">
        <v>116</v>
      </c>
      <c r="B1" s="2"/>
      <c r="C1" s="2"/>
      <c r="D1" s="2"/>
      <c r="E1" s="2"/>
      <c r="F1" s="2"/>
      <c r="G1" s="2"/>
      <c r="H1" s="2"/>
      <c r="I1" s="2"/>
      <c r="J1" s="2"/>
    </row>
    <row r="2" customFormat="false" ht="30" hidden="false" customHeight="true" outlineLevel="0" collapsed="false">
      <c r="A2" s="7" t="s">
        <v>117</v>
      </c>
      <c r="B2" s="7" t="s">
        <v>118</v>
      </c>
      <c r="C2" s="7" t="s">
        <v>119</v>
      </c>
      <c r="D2" s="7" t="s">
        <v>120</v>
      </c>
      <c r="E2" s="7" t="s">
        <v>121</v>
      </c>
      <c r="F2" s="7" t="s">
        <v>122</v>
      </c>
      <c r="G2" s="7" t="s">
        <v>123</v>
      </c>
      <c r="H2" s="7" t="s">
        <v>124</v>
      </c>
      <c r="I2" s="7" t="s">
        <v>125</v>
      </c>
      <c r="J2" s="7" t="s">
        <v>126</v>
      </c>
    </row>
    <row r="3" customFormat="false" ht="34.5" hidden="false" customHeight="true" outlineLevel="0" collapsed="false">
      <c r="A3" s="10" t="s">
        <v>127</v>
      </c>
      <c r="B3" s="10" t="s">
        <v>128</v>
      </c>
      <c r="C3" s="10" t="s">
        <v>69</v>
      </c>
      <c r="D3" s="10" t="s">
        <v>129</v>
      </c>
      <c r="E3" s="10" t="s">
        <v>130</v>
      </c>
      <c r="F3" s="10" t="s">
        <v>131</v>
      </c>
      <c r="G3" s="10" t="s">
        <v>132</v>
      </c>
      <c r="H3" s="10" t="s">
        <v>133</v>
      </c>
      <c r="I3" s="10" t="s">
        <v>134</v>
      </c>
      <c r="J3" s="10" t="s">
        <v>8</v>
      </c>
    </row>
    <row r="4" customFormat="false" ht="15" hidden="false" customHeight="true" outlineLevel="0" collapsed="false">
      <c r="A4" s="4"/>
      <c r="B4" s="4"/>
      <c r="C4" s="4"/>
      <c r="D4" s="4"/>
      <c r="E4" s="4"/>
      <c r="F4" s="4"/>
      <c r="G4" s="4"/>
      <c r="H4" s="4"/>
      <c r="I4" s="4"/>
      <c r="J4" s="4"/>
    </row>
    <row r="5" customFormat="false" ht="15" hidden="false" customHeight="true" outlineLevel="0" collapsed="false">
      <c r="A5" s="4"/>
      <c r="B5" s="4"/>
      <c r="C5" s="4"/>
      <c r="D5" s="4"/>
      <c r="E5" s="4"/>
      <c r="F5" s="4"/>
      <c r="G5" s="4"/>
      <c r="H5" s="4"/>
      <c r="I5" s="4"/>
      <c r="J5" s="4"/>
    </row>
    <row r="6" customFormat="false" ht="15" hidden="false" customHeight="true" outlineLevel="0" collapsed="false">
      <c r="A6" s="4"/>
      <c r="B6" s="4"/>
      <c r="C6" s="4"/>
      <c r="D6" s="4"/>
      <c r="E6" s="4"/>
      <c r="F6" s="4"/>
      <c r="G6" s="4"/>
      <c r="H6" s="4"/>
      <c r="I6" s="4"/>
      <c r="J6" s="4"/>
    </row>
    <row r="7" customFormat="false" ht="15" hidden="false" customHeight="true" outlineLevel="0" collapsed="false">
      <c r="A7" s="4"/>
      <c r="B7" s="4"/>
      <c r="C7" s="4"/>
      <c r="D7" s="4"/>
      <c r="E7" s="4"/>
      <c r="F7" s="4"/>
      <c r="G7" s="4"/>
      <c r="H7" s="4"/>
      <c r="I7" s="4"/>
      <c r="J7" s="4"/>
    </row>
    <row r="8" customFormat="false" ht="15" hidden="false" customHeight="true" outlineLevel="0" collapsed="false">
      <c r="A8" s="4"/>
      <c r="B8" s="4"/>
      <c r="C8" s="4"/>
      <c r="D8" s="4"/>
      <c r="E8" s="4"/>
      <c r="F8" s="4"/>
      <c r="G8" s="4"/>
      <c r="H8" s="4"/>
      <c r="I8" s="4"/>
      <c r="J8" s="4"/>
    </row>
    <row r="9" customFormat="false" ht="15" hidden="false" customHeight="true" outlineLevel="0" collapsed="false">
      <c r="A9" s="4"/>
      <c r="B9" s="4"/>
      <c r="C9" s="4"/>
      <c r="D9" s="4"/>
      <c r="E9" s="4"/>
      <c r="F9" s="4"/>
      <c r="G9" s="4"/>
      <c r="H9" s="4"/>
      <c r="I9" s="4"/>
      <c r="J9" s="4"/>
    </row>
    <row r="10" customFormat="false" ht="15" hidden="false" customHeight="true" outlineLevel="0" collapsed="false">
      <c r="A10" s="4"/>
      <c r="B10" s="4"/>
      <c r="C10" s="4"/>
      <c r="D10" s="4"/>
      <c r="E10" s="4"/>
      <c r="F10" s="4"/>
      <c r="G10" s="4"/>
      <c r="H10" s="4"/>
      <c r="I10" s="4"/>
      <c r="J10" s="4"/>
    </row>
    <row r="11" customFormat="false" ht="15" hidden="false" customHeight="true" outlineLevel="0" collapsed="false">
      <c r="A11" s="4"/>
      <c r="B11" s="4"/>
      <c r="C11" s="4"/>
      <c r="D11" s="4"/>
      <c r="E11" s="4"/>
      <c r="F11" s="4"/>
      <c r="G11" s="4"/>
      <c r="H11" s="4"/>
      <c r="I11" s="4"/>
      <c r="J11" s="4"/>
    </row>
    <row r="12" customFormat="false" ht="15" hidden="false" customHeight="true" outlineLevel="0" collapsed="false">
      <c r="A12" s="4"/>
      <c r="B12" s="4"/>
      <c r="C12" s="4"/>
      <c r="D12" s="4"/>
      <c r="E12" s="4"/>
      <c r="F12" s="4"/>
      <c r="G12" s="4"/>
      <c r="H12" s="4"/>
      <c r="I12" s="4"/>
      <c r="J12" s="4"/>
    </row>
    <row r="13" customFormat="false" ht="15" hidden="false" customHeight="true" outlineLevel="0" collapsed="false">
      <c r="A13" s="4"/>
      <c r="B13" s="4"/>
      <c r="C13" s="4"/>
      <c r="D13" s="4"/>
      <c r="E13" s="4"/>
      <c r="F13" s="4"/>
      <c r="G13" s="4"/>
      <c r="H13" s="4"/>
      <c r="I13" s="4"/>
      <c r="J13" s="4"/>
    </row>
    <row r="14" customFormat="false" ht="15" hidden="false" customHeight="true" outlineLevel="0" collapsed="false">
      <c r="A14" s="4"/>
      <c r="B14" s="4"/>
      <c r="C14" s="4"/>
      <c r="D14" s="4"/>
      <c r="E14" s="4"/>
      <c r="F14" s="4"/>
      <c r="G14" s="4"/>
      <c r="H14" s="4"/>
      <c r="I14" s="4"/>
      <c r="J14" s="4"/>
    </row>
    <row r="15" customFormat="false" ht="15" hidden="false" customHeight="true" outlineLevel="0" collapsed="false">
      <c r="A15" s="4"/>
      <c r="B15" s="4"/>
      <c r="C15" s="4"/>
      <c r="D15" s="4"/>
      <c r="E15" s="4"/>
      <c r="F15" s="4"/>
      <c r="G15" s="4"/>
      <c r="H15" s="4"/>
      <c r="I15" s="4"/>
      <c r="J15" s="4"/>
    </row>
    <row r="16" customFormat="false" ht="15" hidden="false" customHeight="true" outlineLevel="0" collapsed="false">
      <c r="A16" s="4"/>
      <c r="B16" s="4"/>
      <c r="C16" s="4"/>
      <c r="D16" s="4"/>
      <c r="E16" s="4"/>
      <c r="F16" s="4"/>
      <c r="G16" s="4"/>
      <c r="H16" s="4"/>
      <c r="I16" s="4"/>
      <c r="J16" s="4"/>
    </row>
    <row r="17" customFormat="false" ht="15" hidden="false" customHeight="true" outlineLevel="0" collapsed="false">
      <c r="A17" s="4"/>
      <c r="B17" s="4"/>
      <c r="C17" s="4"/>
      <c r="D17" s="4"/>
      <c r="E17" s="4"/>
      <c r="F17" s="4"/>
      <c r="G17" s="4"/>
      <c r="H17" s="4"/>
      <c r="I17" s="4"/>
      <c r="J17" s="4"/>
    </row>
    <row r="18" customFormat="false" ht="15" hidden="false" customHeight="true" outlineLevel="0" collapsed="false">
      <c r="A18" s="4"/>
      <c r="B18" s="4"/>
      <c r="C18" s="4"/>
      <c r="D18" s="4"/>
      <c r="E18" s="4"/>
      <c r="F18" s="4"/>
      <c r="G18" s="4"/>
      <c r="H18" s="4"/>
      <c r="I18" s="4"/>
      <c r="J18" s="4"/>
    </row>
    <row r="19" customFormat="false" ht="15" hidden="false" customHeight="true" outlineLevel="0" collapsed="false">
      <c r="A19" s="4"/>
      <c r="B19" s="4"/>
      <c r="C19" s="4"/>
      <c r="D19" s="4"/>
      <c r="E19" s="4"/>
      <c r="F19" s="4"/>
      <c r="G19" s="4"/>
      <c r="H19" s="4"/>
      <c r="I19" s="4"/>
      <c r="J19" s="4"/>
    </row>
    <row r="20" customFormat="false" ht="15" hidden="false" customHeight="true" outlineLevel="0" collapsed="false">
      <c r="A20" s="4"/>
      <c r="B20" s="4"/>
      <c r="C20" s="4"/>
      <c r="D20" s="4"/>
      <c r="E20" s="4"/>
      <c r="F20" s="4"/>
      <c r="G20" s="4"/>
      <c r="H20" s="4"/>
      <c r="I20" s="4"/>
      <c r="J20" s="4"/>
    </row>
    <row r="21" customFormat="false" ht="15" hidden="false" customHeight="true" outlineLevel="0" collapsed="false">
      <c r="A21" s="4"/>
      <c r="B21" s="4"/>
      <c r="C21" s="4"/>
      <c r="D21" s="4"/>
      <c r="E21" s="4"/>
      <c r="F21" s="4"/>
      <c r="G21" s="4"/>
      <c r="H21" s="4"/>
      <c r="I21" s="4"/>
      <c r="J21" s="4"/>
    </row>
    <row r="22" customFormat="false" ht="15" hidden="false" customHeight="true" outlineLevel="0" collapsed="false">
      <c r="A22" s="4"/>
      <c r="B22" s="4"/>
      <c r="C22" s="4"/>
      <c r="D22" s="4"/>
      <c r="E22" s="4"/>
      <c r="F22" s="4"/>
      <c r="G22" s="4"/>
      <c r="H22" s="4"/>
      <c r="I22" s="4"/>
      <c r="J22" s="4"/>
    </row>
    <row r="23" customFormat="false" ht="15" hidden="false" customHeight="true" outlineLevel="0" collapsed="false">
      <c r="A23" s="4"/>
      <c r="B23" s="4"/>
      <c r="C23" s="4"/>
      <c r="D23" s="4"/>
      <c r="E23" s="4"/>
      <c r="F23" s="4"/>
      <c r="G23" s="4"/>
      <c r="H23" s="4"/>
      <c r="I23" s="4"/>
      <c r="J23" s="4"/>
    </row>
    <row r="24" customFormat="false" ht="15" hidden="false" customHeight="true" outlineLevel="0" collapsed="false">
      <c r="A24" s="4"/>
      <c r="B24" s="4"/>
      <c r="C24" s="4"/>
      <c r="D24" s="4"/>
      <c r="E24" s="4"/>
      <c r="F24" s="4"/>
      <c r="G24" s="4"/>
      <c r="H24" s="4"/>
      <c r="I24" s="4"/>
      <c r="J24" s="4"/>
    </row>
    <row r="25" customFormat="false" ht="15" hidden="false" customHeight="true" outlineLevel="0" collapsed="false">
      <c r="A25" s="4"/>
      <c r="B25" s="4"/>
      <c r="C25" s="4"/>
      <c r="D25" s="4"/>
      <c r="E25" s="4"/>
      <c r="F25" s="4"/>
      <c r="G25" s="4"/>
      <c r="H25" s="4"/>
      <c r="I25" s="4"/>
      <c r="J25" s="4"/>
    </row>
    <row r="26" customFormat="false" ht="15" hidden="false" customHeight="true" outlineLevel="0" collapsed="false">
      <c r="A26" s="4"/>
      <c r="B26" s="4"/>
      <c r="C26" s="4"/>
      <c r="D26" s="4"/>
      <c r="E26" s="4"/>
      <c r="F26" s="4"/>
      <c r="G26" s="4"/>
      <c r="H26" s="4"/>
      <c r="I26" s="4"/>
      <c r="J26" s="4"/>
    </row>
    <row r="27" customFormat="false" ht="15" hidden="false" customHeight="true" outlineLevel="0" collapsed="false">
      <c r="A27" s="4"/>
      <c r="B27" s="4"/>
      <c r="C27" s="4"/>
      <c r="D27" s="4"/>
      <c r="E27" s="4"/>
      <c r="F27" s="4"/>
      <c r="G27" s="4"/>
      <c r="H27" s="4"/>
      <c r="I27" s="4"/>
      <c r="J27" s="4"/>
    </row>
    <row r="28" customFormat="false" ht="15" hidden="false" customHeight="true" outlineLevel="0" collapsed="false">
      <c r="A28" s="4"/>
      <c r="B28" s="4"/>
      <c r="C28" s="4"/>
      <c r="D28" s="4"/>
      <c r="E28" s="4"/>
      <c r="F28" s="4"/>
      <c r="G28" s="4"/>
      <c r="H28" s="4"/>
      <c r="I28" s="4"/>
      <c r="J28" s="4"/>
    </row>
    <row r="29" customFormat="false" ht="15" hidden="false" customHeight="true" outlineLevel="0" collapsed="false">
      <c r="A29" s="4"/>
      <c r="B29" s="4"/>
      <c r="C29" s="4"/>
      <c r="D29" s="4"/>
      <c r="E29" s="4"/>
      <c r="F29" s="4"/>
      <c r="G29" s="4"/>
      <c r="H29" s="4"/>
      <c r="I29" s="4"/>
      <c r="J29" s="4"/>
    </row>
    <row r="30" customFormat="false" ht="15" hidden="false" customHeight="true" outlineLevel="0" collapsed="false">
      <c r="A30" s="4"/>
      <c r="B30" s="4"/>
      <c r="C30" s="4"/>
      <c r="D30" s="4"/>
      <c r="E30" s="4"/>
      <c r="F30" s="4"/>
      <c r="G30" s="4"/>
      <c r="H30" s="4"/>
      <c r="I30" s="4"/>
      <c r="J30" s="4"/>
    </row>
    <row r="31" customFormat="false" ht="15" hidden="false" customHeight="true" outlineLevel="0" collapsed="false">
      <c r="A31" s="4"/>
      <c r="B31" s="4"/>
      <c r="C31" s="4"/>
      <c r="D31" s="4"/>
      <c r="E31" s="4"/>
      <c r="F31" s="4"/>
      <c r="G31" s="4"/>
      <c r="H31" s="4"/>
      <c r="I31" s="4"/>
      <c r="J31" s="4"/>
    </row>
    <row r="32" customFormat="false" ht="15" hidden="false" customHeight="true" outlineLevel="0" collapsed="false">
      <c r="A32" s="4"/>
      <c r="B32" s="4"/>
      <c r="C32" s="4"/>
      <c r="D32" s="4"/>
      <c r="E32" s="4"/>
      <c r="F32" s="4"/>
      <c r="G32" s="4"/>
      <c r="H32" s="4"/>
      <c r="I32" s="4"/>
      <c r="J32" s="4"/>
    </row>
    <row r="33" customFormat="false" ht="15" hidden="false" customHeight="true" outlineLevel="0" collapsed="false">
      <c r="A33" s="4"/>
      <c r="B33" s="4"/>
      <c r="C33" s="4"/>
      <c r="D33" s="4"/>
      <c r="E33" s="4"/>
      <c r="F33" s="4"/>
      <c r="G33" s="4"/>
      <c r="H33" s="4"/>
      <c r="I33" s="4"/>
      <c r="J33" s="4"/>
    </row>
    <row r="34" customFormat="false" ht="15" hidden="false" customHeight="true" outlineLevel="0" collapsed="false">
      <c r="A34" s="4"/>
      <c r="B34" s="4"/>
      <c r="C34" s="4"/>
      <c r="D34" s="4"/>
      <c r="E34" s="4"/>
      <c r="F34" s="4"/>
      <c r="G34" s="4"/>
      <c r="H34" s="4"/>
      <c r="I34" s="4"/>
      <c r="J34" s="4"/>
    </row>
    <row r="35" customFormat="false" ht="15" hidden="false" customHeight="true" outlineLevel="0" collapsed="false">
      <c r="A35" s="4"/>
      <c r="B35" s="4"/>
      <c r="C35" s="4"/>
      <c r="D35" s="4"/>
      <c r="E35" s="4"/>
      <c r="F35" s="4"/>
      <c r="G35" s="4"/>
      <c r="H35" s="4"/>
      <c r="I35" s="4"/>
      <c r="J35" s="4"/>
    </row>
    <row r="36" customFormat="false" ht="15" hidden="false" customHeight="true" outlineLevel="0" collapsed="false">
      <c r="A36" s="4"/>
      <c r="B36" s="4"/>
      <c r="C36" s="4"/>
      <c r="D36" s="4"/>
      <c r="E36" s="4"/>
      <c r="F36" s="4"/>
      <c r="G36" s="4"/>
      <c r="H36" s="4"/>
      <c r="I36" s="4"/>
      <c r="J36" s="4"/>
    </row>
    <row r="37" customFormat="false" ht="15" hidden="false" customHeight="true" outlineLevel="0" collapsed="false">
      <c r="A37" s="4"/>
      <c r="B37" s="4"/>
      <c r="C37" s="4"/>
      <c r="D37" s="4"/>
      <c r="E37" s="4"/>
      <c r="F37" s="4"/>
      <c r="G37" s="4"/>
      <c r="H37" s="4"/>
      <c r="I37" s="4"/>
      <c r="J37" s="4"/>
    </row>
    <row r="38" customFormat="false" ht="15" hidden="false" customHeight="true" outlineLevel="0" collapsed="false">
      <c r="A38" s="4"/>
      <c r="B38" s="4"/>
      <c r="C38" s="4"/>
      <c r="D38" s="4"/>
      <c r="E38" s="4"/>
      <c r="F38" s="4"/>
      <c r="G38" s="4"/>
      <c r="H38" s="4"/>
      <c r="I38" s="4"/>
      <c r="J38" s="4"/>
    </row>
    <row r="39" customFormat="false" ht="15" hidden="false" customHeight="true" outlineLevel="0" collapsed="false">
      <c r="A39" s="4"/>
      <c r="B39" s="4"/>
      <c r="C39" s="4"/>
      <c r="D39" s="4"/>
      <c r="E39" s="4"/>
      <c r="F39" s="4"/>
      <c r="G39" s="4"/>
      <c r="H39" s="4"/>
      <c r="I39" s="4"/>
      <c r="J39" s="4"/>
    </row>
    <row r="40" customFormat="false" ht="15" hidden="false" customHeight="true" outlineLevel="0" collapsed="false">
      <c r="A40" s="4"/>
      <c r="B40" s="4"/>
      <c r="C40" s="4"/>
      <c r="D40" s="4"/>
      <c r="E40" s="4"/>
      <c r="F40" s="4"/>
      <c r="G40" s="4"/>
      <c r="H40" s="4"/>
      <c r="I40" s="4"/>
      <c r="J40" s="4"/>
    </row>
    <row r="41" customFormat="false" ht="15" hidden="false" customHeight="true" outlineLevel="0" collapsed="false">
      <c r="A41" s="4"/>
      <c r="B41" s="4"/>
      <c r="C41" s="4"/>
      <c r="D41" s="4"/>
      <c r="E41" s="4"/>
      <c r="F41" s="4"/>
      <c r="G41" s="4"/>
      <c r="H41" s="4"/>
      <c r="I41" s="4"/>
      <c r="J41" s="4"/>
    </row>
    <row r="42" customFormat="false" ht="15" hidden="false" customHeight="true" outlineLevel="0" collapsed="false">
      <c r="A42" s="4"/>
      <c r="B42" s="4"/>
      <c r="C42" s="4"/>
      <c r="D42" s="4"/>
      <c r="E42" s="4"/>
      <c r="F42" s="4"/>
      <c r="G42" s="4"/>
      <c r="H42" s="4"/>
      <c r="I42" s="4"/>
      <c r="J42" s="4"/>
    </row>
    <row r="43" customFormat="false" ht="15" hidden="false" customHeight="true" outlineLevel="0" collapsed="false">
      <c r="A43" s="4"/>
      <c r="B43" s="4"/>
      <c r="C43" s="4"/>
      <c r="D43" s="4"/>
      <c r="E43" s="4"/>
      <c r="F43" s="4"/>
      <c r="G43" s="4"/>
      <c r="H43" s="4"/>
      <c r="I43" s="4"/>
      <c r="J43" s="4"/>
    </row>
    <row r="44" customFormat="false" ht="15" hidden="false" customHeight="true" outlineLevel="0" collapsed="false">
      <c r="A44" s="4"/>
      <c r="B44" s="4"/>
      <c r="C44" s="4"/>
      <c r="D44" s="4"/>
      <c r="E44" s="4"/>
      <c r="F44" s="4"/>
      <c r="G44" s="4"/>
      <c r="H44" s="4"/>
      <c r="I44" s="4"/>
      <c r="J44" s="4"/>
    </row>
    <row r="45" customFormat="false" ht="15" hidden="false" customHeight="true" outlineLevel="0" collapsed="false">
      <c r="A45" s="4"/>
      <c r="B45" s="4"/>
      <c r="C45" s="4"/>
      <c r="D45" s="4"/>
      <c r="E45" s="4"/>
      <c r="F45" s="4"/>
      <c r="G45" s="4"/>
      <c r="H45" s="4"/>
      <c r="I45" s="4"/>
      <c r="J45" s="4"/>
    </row>
    <row r="46" customFormat="false" ht="15" hidden="false" customHeight="true" outlineLevel="0" collapsed="false">
      <c r="A46" s="4"/>
      <c r="B46" s="4"/>
      <c r="C46" s="4"/>
      <c r="D46" s="4"/>
      <c r="E46" s="4"/>
      <c r="F46" s="4"/>
      <c r="G46" s="4"/>
      <c r="H46" s="4"/>
      <c r="I46" s="4"/>
      <c r="J46" s="4"/>
    </row>
    <row r="47" customFormat="false" ht="15" hidden="false" customHeight="true" outlineLevel="0" collapsed="false">
      <c r="A47" s="4"/>
      <c r="B47" s="4"/>
      <c r="C47" s="4"/>
      <c r="D47" s="4"/>
      <c r="E47" s="4"/>
      <c r="F47" s="4"/>
      <c r="G47" s="4"/>
      <c r="H47" s="4"/>
      <c r="I47" s="4"/>
      <c r="J47" s="4"/>
    </row>
    <row r="48" customFormat="false" ht="15" hidden="false" customHeight="true" outlineLevel="0" collapsed="false">
      <c r="A48" s="4"/>
      <c r="B48" s="4"/>
      <c r="C48" s="4"/>
      <c r="D48" s="4"/>
      <c r="E48" s="4"/>
      <c r="F48" s="4"/>
      <c r="G48" s="4"/>
      <c r="H48" s="4"/>
      <c r="I48" s="4"/>
      <c r="J48" s="4"/>
    </row>
    <row r="49" customFormat="false" ht="15" hidden="false" customHeight="true" outlineLevel="0" collapsed="false">
      <c r="A49" s="4"/>
      <c r="B49" s="4"/>
      <c r="C49" s="4"/>
      <c r="D49" s="4"/>
      <c r="E49" s="4"/>
      <c r="F49" s="4"/>
      <c r="G49" s="4"/>
      <c r="H49" s="4"/>
      <c r="I49" s="4"/>
      <c r="J49" s="4"/>
    </row>
    <row r="50" customFormat="false" ht="15" hidden="false" customHeight="true" outlineLevel="0" collapsed="false">
      <c r="A50" s="4"/>
      <c r="B50" s="4"/>
      <c r="C50" s="4"/>
      <c r="D50" s="4"/>
      <c r="E50" s="4"/>
      <c r="F50" s="4"/>
      <c r="G50" s="4"/>
      <c r="H50" s="4"/>
      <c r="I50" s="4"/>
      <c r="J50" s="4"/>
    </row>
    <row r="51" customFormat="false" ht="15" hidden="false" customHeight="true" outlineLevel="0" collapsed="false">
      <c r="A51" s="4"/>
      <c r="B51" s="4"/>
      <c r="C51" s="4"/>
      <c r="D51" s="4"/>
      <c r="E51" s="4"/>
      <c r="F51" s="4"/>
      <c r="G51" s="4"/>
      <c r="H51" s="4"/>
      <c r="I51" s="4"/>
      <c r="J51" s="4"/>
    </row>
    <row r="52" customFormat="false" ht="15" hidden="false" customHeight="true" outlineLevel="0" collapsed="false">
      <c r="A52" s="4"/>
      <c r="B52" s="4"/>
      <c r="C52" s="4"/>
      <c r="D52" s="4"/>
      <c r="E52" s="4"/>
      <c r="F52" s="4"/>
      <c r="G52" s="4"/>
      <c r="H52" s="4"/>
      <c r="I52" s="4"/>
      <c r="J52" s="4"/>
    </row>
    <row r="53" customFormat="false" ht="15" hidden="false" customHeight="true" outlineLevel="0" collapsed="false">
      <c r="A53" s="4"/>
      <c r="B53" s="4"/>
      <c r="C53" s="4"/>
      <c r="D53" s="4"/>
      <c r="E53" s="4"/>
      <c r="F53" s="4"/>
      <c r="G53" s="4"/>
      <c r="H53" s="4"/>
      <c r="I53" s="4"/>
      <c r="J53" s="4"/>
    </row>
    <row r="54" customFormat="false" ht="15" hidden="false" customHeight="true" outlineLevel="0" collapsed="false">
      <c r="A54" s="4"/>
      <c r="B54" s="4"/>
      <c r="C54" s="4"/>
      <c r="D54" s="4"/>
      <c r="E54" s="4"/>
      <c r="F54" s="4"/>
      <c r="G54" s="4"/>
      <c r="H54" s="4"/>
      <c r="I54" s="4"/>
      <c r="J54" s="4"/>
    </row>
    <row r="55" customFormat="false" ht="15" hidden="false" customHeight="true" outlineLevel="0" collapsed="false">
      <c r="A55" s="4"/>
      <c r="B55" s="4"/>
      <c r="C55" s="4"/>
      <c r="D55" s="4"/>
      <c r="E55" s="4"/>
      <c r="F55" s="4"/>
      <c r="G55" s="4"/>
      <c r="H55" s="4"/>
      <c r="I55" s="4"/>
      <c r="J55" s="4"/>
    </row>
    <row r="56" customFormat="false" ht="15" hidden="false" customHeight="true" outlineLevel="0" collapsed="false">
      <c r="A56" s="4"/>
      <c r="B56" s="4"/>
      <c r="C56" s="4"/>
      <c r="D56" s="4"/>
      <c r="E56" s="4"/>
      <c r="F56" s="4"/>
      <c r="G56" s="4"/>
      <c r="H56" s="4"/>
      <c r="I56" s="4"/>
      <c r="J56" s="4"/>
    </row>
    <row r="57" customFormat="false" ht="15" hidden="false" customHeight="true" outlineLevel="0" collapsed="false">
      <c r="A57" s="4"/>
      <c r="B57" s="4"/>
      <c r="C57" s="4"/>
      <c r="D57" s="4"/>
      <c r="E57" s="4"/>
      <c r="F57" s="4"/>
      <c r="G57" s="4"/>
      <c r="H57" s="4"/>
      <c r="I57" s="4"/>
      <c r="J57" s="4"/>
    </row>
    <row r="58" customFormat="false" ht="15" hidden="false" customHeight="true" outlineLevel="0" collapsed="false">
      <c r="A58" s="4"/>
      <c r="B58" s="4"/>
      <c r="C58" s="4"/>
      <c r="D58" s="4"/>
      <c r="E58" s="4"/>
      <c r="F58" s="4"/>
      <c r="G58" s="4"/>
      <c r="H58" s="4"/>
      <c r="I58" s="4"/>
      <c r="J58" s="4"/>
    </row>
    <row r="59" customFormat="false" ht="15" hidden="false" customHeight="true" outlineLevel="0" collapsed="false">
      <c r="A59" s="4"/>
      <c r="B59" s="4"/>
      <c r="C59" s="4"/>
      <c r="D59" s="4"/>
      <c r="E59" s="4"/>
      <c r="F59" s="4"/>
      <c r="G59" s="4"/>
      <c r="H59" s="4"/>
      <c r="I59" s="4"/>
      <c r="J59" s="4"/>
    </row>
    <row r="60" customFormat="false" ht="15" hidden="false" customHeight="true" outlineLevel="0" collapsed="false">
      <c r="A60" s="4"/>
      <c r="B60" s="4"/>
      <c r="C60" s="4"/>
      <c r="D60" s="4"/>
      <c r="E60" s="4"/>
      <c r="F60" s="4"/>
      <c r="G60" s="4"/>
      <c r="H60" s="4"/>
      <c r="I60" s="4"/>
      <c r="J60" s="4"/>
    </row>
    <row r="61" customFormat="false" ht="15" hidden="false" customHeight="true" outlineLevel="0" collapsed="false">
      <c r="A61" s="4"/>
      <c r="B61" s="4"/>
      <c r="C61" s="4"/>
      <c r="D61" s="4"/>
      <c r="E61" s="4"/>
      <c r="F61" s="4"/>
      <c r="G61" s="4"/>
      <c r="H61" s="4"/>
      <c r="I61" s="4"/>
      <c r="J61" s="4"/>
    </row>
    <row r="62" customFormat="false" ht="15" hidden="false" customHeight="true" outlineLevel="0" collapsed="false">
      <c r="A62" s="4"/>
      <c r="B62" s="4"/>
      <c r="C62" s="4"/>
      <c r="D62" s="4"/>
      <c r="E62" s="4"/>
      <c r="F62" s="4"/>
      <c r="G62" s="4"/>
      <c r="H62" s="4"/>
      <c r="I62" s="4"/>
      <c r="J62" s="4"/>
    </row>
    <row r="63" customFormat="false" ht="15" hidden="false" customHeight="true" outlineLevel="0" collapsed="false">
      <c r="A63" s="4"/>
      <c r="B63" s="4"/>
      <c r="C63" s="4"/>
      <c r="D63" s="4"/>
      <c r="E63" s="4"/>
      <c r="F63" s="4"/>
      <c r="G63" s="4"/>
      <c r="H63" s="4"/>
      <c r="I63" s="4"/>
      <c r="J63" s="4"/>
    </row>
    <row r="64" customFormat="false" ht="15" hidden="false" customHeight="true" outlineLevel="0" collapsed="false">
      <c r="A64" s="4"/>
      <c r="B64" s="4"/>
      <c r="C64" s="4"/>
      <c r="D64" s="4"/>
      <c r="E64" s="4"/>
      <c r="F64" s="4"/>
      <c r="G64" s="4"/>
      <c r="H64" s="4"/>
      <c r="I64" s="4"/>
      <c r="J64" s="4"/>
    </row>
    <row r="65" customFormat="false" ht="15" hidden="false" customHeight="true" outlineLevel="0" collapsed="false">
      <c r="A65" s="4"/>
      <c r="B65" s="4"/>
      <c r="C65" s="4"/>
      <c r="D65" s="4"/>
      <c r="E65" s="4"/>
      <c r="F65" s="4"/>
      <c r="G65" s="4"/>
      <c r="H65" s="4"/>
      <c r="I65" s="4"/>
      <c r="J65" s="4"/>
    </row>
    <row r="66" customFormat="false" ht="15" hidden="false" customHeight="true" outlineLevel="0" collapsed="false">
      <c r="A66" s="4"/>
      <c r="B66" s="4"/>
      <c r="C66" s="4"/>
      <c r="D66" s="4"/>
      <c r="E66" s="4"/>
      <c r="F66" s="4"/>
      <c r="G66" s="4"/>
      <c r="H66" s="4"/>
      <c r="I66" s="4"/>
      <c r="J66" s="4"/>
    </row>
    <row r="67" customFormat="false" ht="15" hidden="false" customHeight="true" outlineLevel="0" collapsed="false">
      <c r="A67" s="4"/>
      <c r="B67" s="4"/>
      <c r="C67" s="4"/>
      <c r="D67" s="4"/>
      <c r="E67" s="4"/>
      <c r="F67" s="4"/>
      <c r="G67" s="4"/>
      <c r="H67" s="4"/>
      <c r="I67" s="4"/>
      <c r="J67" s="4"/>
    </row>
    <row r="68" customFormat="false" ht="15" hidden="false" customHeight="true" outlineLevel="0" collapsed="false">
      <c r="A68" s="4"/>
      <c r="B68" s="4"/>
      <c r="C68" s="4"/>
      <c r="D68" s="4"/>
      <c r="E68" s="4"/>
      <c r="F68" s="4"/>
      <c r="G68" s="4"/>
      <c r="H68" s="4"/>
      <c r="I68" s="4"/>
      <c r="J68" s="4"/>
    </row>
    <row r="69" customFormat="false" ht="15" hidden="false" customHeight="true" outlineLevel="0" collapsed="false">
      <c r="A69" s="4"/>
      <c r="B69" s="4"/>
      <c r="C69" s="4"/>
      <c r="D69" s="4"/>
      <c r="E69" s="4"/>
      <c r="F69" s="4"/>
      <c r="G69" s="4"/>
      <c r="H69" s="4"/>
      <c r="I69" s="4"/>
      <c r="J69" s="4"/>
    </row>
    <row r="70" customFormat="false" ht="15" hidden="false" customHeight="true" outlineLevel="0" collapsed="false">
      <c r="A70" s="4"/>
      <c r="B70" s="4"/>
      <c r="C70" s="4"/>
      <c r="D70" s="4"/>
      <c r="E70" s="4"/>
      <c r="F70" s="4"/>
      <c r="G70" s="4"/>
      <c r="H70" s="4"/>
      <c r="I70" s="4"/>
      <c r="J70" s="4"/>
    </row>
    <row r="71" customFormat="false" ht="15" hidden="false" customHeight="true" outlineLevel="0" collapsed="false">
      <c r="A71" s="4"/>
      <c r="B71" s="4"/>
      <c r="C71" s="4"/>
      <c r="D71" s="4"/>
      <c r="E71" s="4"/>
      <c r="F71" s="4"/>
      <c r="G71" s="4"/>
      <c r="H71" s="4"/>
      <c r="I71" s="4"/>
      <c r="J71" s="4"/>
    </row>
    <row r="72" customFormat="false" ht="15" hidden="false" customHeight="true" outlineLevel="0" collapsed="false">
      <c r="A72" s="4"/>
      <c r="B72" s="4"/>
      <c r="C72" s="4"/>
      <c r="D72" s="4"/>
      <c r="E72" s="4"/>
      <c r="F72" s="4"/>
      <c r="G72" s="4"/>
      <c r="H72" s="4"/>
      <c r="I72" s="4"/>
      <c r="J72" s="4"/>
    </row>
    <row r="73" customFormat="false" ht="15" hidden="false" customHeight="true" outlineLevel="0" collapsed="false">
      <c r="A73" s="4"/>
      <c r="B73" s="4"/>
      <c r="C73" s="4"/>
      <c r="D73" s="4"/>
      <c r="E73" s="4"/>
      <c r="F73" s="4"/>
      <c r="G73" s="4"/>
      <c r="H73" s="4"/>
      <c r="I73" s="4"/>
      <c r="J73" s="4"/>
    </row>
    <row r="74" customFormat="false" ht="15" hidden="false" customHeight="true" outlineLevel="0" collapsed="false">
      <c r="A74" s="4"/>
      <c r="B74" s="4"/>
      <c r="C74" s="4"/>
      <c r="D74" s="4"/>
      <c r="E74" s="4"/>
      <c r="F74" s="4"/>
      <c r="G74" s="4"/>
      <c r="H74" s="4"/>
      <c r="I74" s="4"/>
      <c r="J74" s="4"/>
    </row>
    <row r="75" customFormat="false" ht="15" hidden="false" customHeight="true" outlineLevel="0" collapsed="false">
      <c r="A75" s="4"/>
      <c r="B75" s="4"/>
      <c r="C75" s="4"/>
      <c r="D75" s="4"/>
      <c r="E75" s="4"/>
      <c r="F75" s="4"/>
      <c r="G75" s="4"/>
      <c r="H75" s="4"/>
      <c r="I75" s="4"/>
      <c r="J75" s="4"/>
    </row>
    <row r="76" customFormat="false" ht="15" hidden="false" customHeight="true" outlineLevel="0" collapsed="false">
      <c r="A76" s="4"/>
      <c r="B76" s="4"/>
      <c r="C76" s="4"/>
      <c r="D76" s="4"/>
      <c r="E76" s="4"/>
      <c r="F76" s="4"/>
      <c r="G76" s="4"/>
      <c r="H76" s="4"/>
      <c r="I76" s="4"/>
      <c r="J76" s="4"/>
    </row>
    <row r="77" customFormat="false" ht="15" hidden="false" customHeight="true" outlineLevel="0" collapsed="false">
      <c r="A77" s="4"/>
      <c r="B77" s="4"/>
      <c r="C77" s="4"/>
      <c r="D77" s="4"/>
      <c r="E77" s="4"/>
      <c r="F77" s="4"/>
      <c r="G77" s="4"/>
      <c r="H77" s="4"/>
      <c r="I77" s="4"/>
      <c r="J77" s="4"/>
    </row>
    <row r="78" customFormat="false" ht="15" hidden="false" customHeight="true" outlineLevel="0" collapsed="false">
      <c r="A78" s="4"/>
      <c r="B78" s="4"/>
      <c r="C78" s="4"/>
      <c r="D78" s="4"/>
      <c r="E78" s="4"/>
      <c r="F78" s="4"/>
      <c r="G78" s="4"/>
      <c r="H78" s="4"/>
      <c r="I78" s="4"/>
      <c r="J78" s="4"/>
    </row>
    <row r="79" customFormat="false" ht="15" hidden="false" customHeight="true" outlineLevel="0" collapsed="false">
      <c r="A79" s="4"/>
      <c r="B79" s="4"/>
      <c r="C79" s="4"/>
      <c r="D79" s="4"/>
      <c r="E79" s="4"/>
      <c r="F79" s="4"/>
      <c r="G79" s="4"/>
      <c r="H79" s="4"/>
      <c r="I79" s="4"/>
      <c r="J79" s="4"/>
    </row>
    <row r="80" customFormat="false" ht="15" hidden="false" customHeight="true" outlineLevel="0" collapsed="false">
      <c r="A80" s="4"/>
      <c r="B80" s="4"/>
      <c r="C80" s="4"/>
      <c r="D80" s="4"/>
      <c r="E80" s="4"/>
      <c r="F80" s="4"/>
      <c r="G80" s="4"/>
      <c r="H80" s="4"/>
      <c r="I80" s="4"/>
      <c r="J80" s="4"/>
    </row>
    <row r="81" customFormat="false" ht="15" hidden="false" customHeight="true" outlineLevel="0" collapsed="false">
      <c r="A81" s="4"/>
      <c r="B81" s="4"/>
      <c r="C81" s="4"/>
      <c r="D81" s="4"/>
      <c r="E81" s="4"/>
      <c r="F81" s="4"/>
      <c r="G81" s="4"/>
      <c r="H81" s="4"/>
      <c r="I81" s="4"/>
      <c r="J81" s="4"/>
    </row>
    <row r="82" customFormat="false" ht="15" hidden="false" customHeight="true" outlineLevel="0" collapsed="false">
      <c r="A82" s="4"/>
      <c r="B82" s="4"/>
      <c r="C82" s="4"/>
      <c r="D82" s="4"/>
      <c r="E82" s="4"/>
      <c r="F82" s="4"/>
      <c r="G82" s="4"/>
      <c r="H82" s="4"/>
      <c r="I82" s="4"/>
      <c r="J82" s="4"/>
    </row>
    <row r="83" customFormat="false" ht="15" hidden="false" customHeight="true" outlineLevel="0" collapsed="false">
      <c r="A83" s="4"/>
      <c r="B83" s="4"/>
      <c r="C83" s="4"/>
      <c r="D83" s="4"/>
      <c r="E83" s="4"/>
      <c r="F83" s="4"/>
      <c r="G83" s="4"/>
      <c r="H83" s="4"/>
      <c r="I83" s="4"/>
      <c r="J83" s="4"/>
    </row>
    <row r="84" customFormat="false" ht="15" hidden="false" customHeight="true" outlineLevel="0" collapsed="false">
      <c r="A84" s="4"/>
      <c r="B84" s="4"/>
      <c r="C84" s="4"/>
      <c r="D84" s="4"/>
      <c r="E84" s="4"/>
      <c r="F84" s="4"/>
      <c r="G84" s="4"/>
      <c r="H84" s="4"/>
      <c r="I84" s="4"/>
      <c r="J84" s="4"/>
    </row>
    <row r="85" customFormat="false" ht="15" hidden="false" customHeight="true" outlineLevel="0" collapsed="false">
      <c r="A85" s="4"/>
      <c r="B85" s="4"/>
      <c r="C85" s="4"/>
      <c r="D85" s="4"/>
      <c r="E85" s="4"/>
      <c r="F85" s="4"/>
      <c r="G85" s="4"/>
      <c r="H85" s="4"/>
      <c r="I85" s="4"/>
      <c r="J85" s="4"/>
    </row>
    <row r="86" customFormat="false" ht="15" hidden="false" customHeight="true" outlineLevel="0" collapsed="false">
      <c r="A86" s="4"/>
      <c r="B86" s="4"/>
      <c r="C86" s="4"/>
      <c r="D86" s="4"/>
      <c r="E86" s="4"/>
      <c r="F86" s="4"/>
      <c r="G86" s="4"/>
      <c r="H86" s="4"/>
      <c r="I86" s="4"/>
      <c r="J86" s="4"/>
    </row>
    <row r="87" customFormat="false" ht="15" hidden="false" customHeight="true" outlineLevel="0" collapsed="false">
      <c r="A87" s="4"/>
      <c r="B87" s="4"/>
      <c r="C87" s="4"/>
      <c r="D87" s="4"/>
      <c r="E87" s="4"/>
      <c r="F87" s="4"/>
      <c r="G87" s="4"/>
      <c r="H87" s="4"/>
      <c r="I87" s="4"/>
      <c r="J87" s="4"/>
    </row>
    <row r="88" customFormat="false" ht="15" hidden="false" customHeight="true" outlineLevel="0" collapsed="false">
      <c r="A88" s="4"/>
      <c r="B88" s="4"/>
      <c r="C88" s="4"/>
      <c r="D88" s="4"/>
      <c r="E88" s="4"/>
      <c r="F88" s="4"/>
      <c r="G88" s="4"/>
      <c r="H88" s="4"/>
      <c r="I88" s="4"/>
      <c r="J88" s="4"/>
    </row>
    <row r="89" customFormat="false" ht="15" hidden="false" customHeight="true" outlineLevel="0" collapsed="false">
      <c r="A89" s="4"/>
      <c r="B89" s="4"/>
      <c r="C89" s="4"/>
      <c r="D89" s="4"/>
      <c r="E89" s="4"/>
      <c r="F89" s="4"/>
      <c r="G89" s="4"/>
      <c r="H89" s="4"/>
      <c r="I89" s="4"/>
      <c r="J89" s="4"/>
    </row>
    <row r="90" customFormat="false" ht="15" hidden="false" customHeight="true" outlineLevel="0" collapsed="false">
      <c r="A90" s="4"/>
      <c r="B90" s="4"/>
      <c r="C90" s="4"/>
      <c r="D90" s="4"/>
      <c r="E90" s="4"/>
      <c r="F90" s="4"/>
      <c r="G90" s="4"/>
      <c r="H90" s="4"/>
      <c r="I90" s="4"/>
      <c r="J90" s="4"/>
    </row>
    <row r="91" customFormat="false" ht="15" hidden="false" customHeight="true" outlineLevel="0" collapsed="false">
      <c r="A91" s="4"/>
      <c r="B91" s="4"/>
      <c r="C91" s="4"/>
      <c r="D91" s="4"/>
      <c r="E91" s="4"/>
      <c r="F91" s="4"/>
      <c r="G91" s="4"/>
      <c r="H91" s="4"/>
      <c r="I91" s="4"/>
      <c r="J91" s="4"/>
    </row>
    <row r="92" customFormat="false" ht="15" hidden="false" customHeight="true" outlineLevel="0" collapsed="false">
      <c r="A92" s="4"/>
      <c r="B92" s="4"/>
      <c r="C92" s="4"/>
      <c r="D92" s="4"/>
      <c r="E92" s="4"/>
      <c r="F92" s="4"/>
      <c r="G92" s="4"/>
      <c r="H92" s="4"/>
      <c r="I92" s="4"/>
      <c r="J92" s="4"/>
    </row>
    <row r="93" customFormat="false" ht="15" hidden="false" customHeight="true" outlineLevel="0" collapsed="false">
      <c r="A93" s="4"/>
      <c r="B93" s="4"/>
      <c r="C93" s="4"/>
      <c r="D93" s="4"/>
      <c r="E93" s="4"/>
      <c r="F93" s="4"/>
      <c r="G93" s="4"/>
      <c r="H93" s="4"/>
      <c r="I93" s="4"/>
      <c r="J93" s="4"/>
    </row>
    <row r="94" customFormat="false" ht="15" hidden="false" customHeight="true" outlineLevel="0" collapsed="false">
      <c r="A94" s="4"/>
      <c r="B94" s="4"/>
      <c r="C94" s="4"/>
      <c r="D94" s="4"/>
      <c r="E94" s="4"/>
      <c r="F94" s="4"/>
      <c r="G94" s="4"/>
      <c r="H94" s="4"/>
      <c r="I94" s="4"/>
      <c r="J94" s="4"/>
    </row>
    <row r="95" customFormat="false" ht="15" hidden="false" customHeight="true" outlineLevel="0" collapsed="false">
      <c r="A95" s="4"/>
      <c r="B95" s="4"/>
      <c r="C95" s="4"/>
      <c r="D95" s="4"/>
      <c r="E95" s="4"/>
      <c r="F95" s="4"/>
      <c r="G95" s="4"/>
      <c r="H95" s="4"/>
      <c r="I95" s="4"/>
      <c r="J95" s="4"/>
    </row>
    <row r="96" customFormat="false" ht="15" hidden="false" customHeight="true" outlineLevel="0" collapsed="false">
      <c r="A96" s="4"/>
      <c r="B96" s="4"/>
      <c r="C96" s="4"/>
      <c r="D96" s="4"/>
      <c r="E96" s="4"/>
      <c r="F96" s="4"/>
      <c r="G96" s="4"/>
      <c r="H96" s="4"/>
      <c r="I96" s="4"/>
      <c r="J96" s="4"/>
    </row>
    <row r="97" customFormat="false" ht="15" hidden="false" customHeight="true" outlineLevel="0" collapsed="false">
      <c r="A97" s="4"/>
      <c r="B97" s="4"/>
      <c r="C97" s="4"/>
      <c r="D97" s="4"/>
      <c r="E97" s="4"/>
      <c r="F97" s="4"/>
      <c r="G97" s="4"/>
      <c r="H97" s="4"/>
      <c r="I97" s="4"/>
      <c r="J97" s="4"/>
    </row>
    <row r="98" customFormat="false" ht="15" hidden="false" customHeight="true" outlineLevel="0" collapsed="false">
      <c r="A98" s="4"/>
      <c r="B98" s="4"/>
      <c r="C98" s="4"/>
      <c r="D98" s="4"/>
      <c r="E98" s="4"/>
      <c r="F98" s="4"/>
      <c r="G98" s="4"/>
      <c r="H98" s="4"/>
      <c r="I98" s="4"/>
      <c r="J98" s="4"/>
    </row>
    <row r="99" customFormat="false" ht="15" hidden="false" customHeight="true" outlineLevel="0" collapsed="false">
      <c r="A99" s="4"/>
      <c r="B99" s="4"/>
      <c r="C99" s="4"/>
      <c r="D99" s="4"/>
      <c r="E99" s="4"/>
      <c r="F99" s="4"/>
      <c r="G99" s="4"/>
      <c r="H99" s="4"/>
      <c r="I99" s="4"/>
      <c r="J99" s="4"/>
    </row>
    <row r="100" customFormat="false" ht="15" hidden="false" customHeight="true" outlineLevel="0" collapsed="false">
      <c r="A100" s="4"/>
      <c r="B100" s="4"/>
      <c r="C100" s="4"/>
      <c r="D100" s="4"/>
      <c r="E100" s="4"/>
      <c r="F100" s="4"/>
      <c r="G100" s="4"/>
      <c r="H100" s="4"/>
      <c r="I100" s="4"/>
      <c r="J100" s="4"/>
    </row>
    <row r="101" customFormat="false" ht="15" hidden="false" customHeight="true" outlineLevel="0" collapsed="false">
      <c r="A101" s="4"/>
      <c r="B101" s="4"/>
      <c r="C101" s="4"/>
      <c r="D101" s="4"/>
      <c r="E101" s="4"/>
      <c r="F101" s="4"/>
      <c r="G101" s="4"/>
      <c r="H101" s="4"/>
      <c r="I101" s="4"/>
      <c r="J101" s="4"/>
    </row>
    <row r="102" customFormat="false" ht="15" hidden="false" customHeight="true" outlineLevel="0" collapsed="false">
      <c r="A102" s="4"/>
      <c r="B102" s="4"/>
      <c r="C102" s="4"/>
      <c r="D102" s="4"/>
      <c r="E102" s="4"/>
      <c r="F102" s="4"/>
      <c r="G102" s="4"/>
      <c r="H102" s="4"/>
      <c r="I102" s="4"/>
      <c r="J102" s="4"/>
    </row>
    <row r="103" customFormat="false" ht="15" hidden="false" customHeight="true" outlineLevel="0" collapsed="false">
      <c r="A103" s="4"/>
      <c r="B103" s="4"/>
      <c r="C103" s="4"/>
      <c r="D103" s="4"/>
      <c r="E103" s="4"/>
      <c r="F103" s="4"/>
      <c r="G103" s="4"/>
      <c r="H103" s="4"/>
      <c r="I103" s="4"/>
      <c r="J103" s="4"/>
    </row>
    <row r="104" customFormat="false" ht="15" hidden="false" customHeight="true" outlineLevel="0" collapsed="false">
      <c r="A104" s="4"/>
      <c r="B104" s="4"/>
      <c r="C104" s="4"/>
      <c r="D104" s="4"/>
      <c r="E104" s="4"/>
      <c r="F104" s="4"/>
      <c r="G104" s="4"/>
      <c r="H104" s="4"/>
      <c r="I104" s="4"/>
      <c r="J104" s="4"/>
    </row>
    <row r="105" customFormat="false" ht="15" hidden="false" customHeight="true" outlineLevel="0" collapsed="false">
      <c r="A105" s="4"/>
      <c r="B105" s="4"/>
      <c r="C105" s="4"/>
      <c r="D105" s="4"/>
      <c r="E105" s="4"/>
      <c r="F105" s="4"/>
      <c r="G105" s="4"/>
      <c r="H105" s="4"/>
      <c r="I105" s="4"/>
      <c r="J105" s="4"/>
    </row>
    <row r="106" customFormat="false" ht="15" hidden="false" customHeight="true" outlineLevel="0" collapsed="false">
      <c r="A106" s="4"/>
      <c r="B106" s="4"/>
      <c r="C106" s="4"/>
      <c r="D106" s="4"/>
      <c r="E106" s="4"/>
      <c r="F106" s="4"/>
      <c r="G106" s="4"/>
      <c r="H106" s="4"/>
      <c r="I106" s="4"/>
      <c r="J106" s="4"/>
    </row>
    <row r="107" customFormat="false" ht="15" hidden="false" customHeight="true" outlineLevel="0" collapsed="false">
      <c r="A107" s="4"/>
      <c r="B107" s="4"/>
      <c r="C107" s="4"/>
      <c r="D107" s="4"/>
      <c r="E107" s="4"/>
      <c r="F107" s="4"/>
      <c r="G107" s="4"/>
      <c r="H107" s="4"/>
      <c r="I107" s="4"/>
      <c r="J107" s="4"/>
    </row>
    <row r="108" customFormat="false" ht="15" hidden="false" customHeight="true" outlineLevel="0" collapsed="false">
      <c r="A108" s="4"/>
      <c r="B108" s="4"/>
      <c r="C108" s="4"/>
      <c r="D108" s="4"/>
      <c r="E108" s="4"/>
      <c r="F108" s="4"/>
      <c r="G108" s="4"/>
      <c r="H108" s="4"/>
      <c r="I108" s="4"/>
      <c r="J108" s="4"/>
    </row>
    <row r="109" customFormat="false" ht="15" hidden="false" customHeight="true" outlineLevel="0" collapsed="false">
      <c r="A109" s="4"/>
      <c r="B109" s="4"/>
      <c r="C109" s="4"/>
      <c r="D109" s="4"/>
      <c r="E109" s="4"/>
      <c r="F109" s="4"/>
      <c r="G109" s="4"/>
      <c r="H109" s="4"/>
      <c r="I109" s="4"/>
      <c r="J109" s="4"/>
    </row>
    <row r="110" customFormat="false" ht="15" hidden="false" customHeight="true" outlineLevel="0" collapsed="false">
      <c r="A110" s="4"/>
      <c r="B110" s="4"/>
      <c r="C110" s="4"/>
      <c r="D110" s="4"/>
      <c r="E110" s="4"/>
      <c r="F110" s="4"/>
      <c r="G110" s="4"/>
      <c r="H110" s="4"/>
      <c r="I110" s="4"/>
      <c r="J110" s="4"/>
    </row>
    <row r="111" customFormat="false" ht="15" hidden="false" customHeight="true" outlineLevel="0" collapsed="false">
      <c r="A111" s="4"/>
      <c r="B111" s="4"/>
      <c r="C111" s="4"/>
      <c r="D111" s="4"/>
      <c r="E111" s="4"/>
      <c r="F111" s="4"/>
      <c r="G111" s="4"/>
      <c r="H111" s="4"/>
      <c r="I111" s="4"/>
      <c r="J111" s="4"/>
    </row>
    <row r="112" customFormat="false" ht="15" hidden="false" customHeight="true" outlineLevel="0" collapsed="false">
      <c r="A112" s="4"/>
      <c r="B112" s="4"/>
      <c r="C112" s="4"/>
      <c r="D112" s="4"/>
      <c r="E112" s="4"/>
      <c r="F112" s="4"/>
      <c r="G112" s="4"/>
      <c r="H112" s="4"/>
      <c r="I112" s="4"/>
      <c r="J112" s="4"/>
    </row>
    <row r="113" customFormat="false" ht="15" hidden="false" customHeight="true" outlineLevel="0" collapsed="false">
      <c r="A113" s="4"/>
      <c r="B113" s="4"/>
      <c r="C113" s="4"/>
      <c r="D113" s="4"/>
      <c r="E113" s="4"/>
      <c r="F113" s="4"/>
      <c r="G113" s="4"/>
      <c r="H113" s="4"/>
      <c r="I113" s="4"/>
      <c r="J113" s="4"/>
    </row>
    <row r="114" customFormat="false" ht="15" hidden="false" customHeight="true" outlineLevel="0" collapsed="false">
      <c r="A114" s="4"/>
      <c r="B114" s="4"/>
      <c r="C114" s="4"/>
      <c r="D114" s="4"/>
      <c r="E114" s="4"/>
      <c r="F114" s="4"/>
      <c r="G114" s="4"/>
      <c r="H114" s="4"/>
      <c r="I114" s="4"/>
      <c r="J114" s="4"/>
    </row>
    <row r="115" customFormat="false" ht="15" hidden="false" customHeight="true" outlineLevel="0" collapsed="false">
      <c r="A115" s="4"/>
      <c r="B115" s="4"/>
      <c r="C115" s="4"/>
      <c r="D115" s="4"/>
      <c r="E115" s="4"/>
      <c r="F115" s="4"/>
      <c r="G115" s="4"/>
      <c r="H115" s="4"/>
      <c r="I115" s="4"/>
      <c r="J115" s="4"/>
    </row>
    <row r="116" customFormat="false" ht="15" hidden="false" customHeight="true" outlineLevel="0" collapsed="false">
      <c r="A116" s="4"/>
      <c r="B116" s="4"/>
      <c r="C116" s="4"/>
      <c r="D116" s="4"/>
      <c r="E116" s="4"/>
      <c r="F116" s="4"/>
      <c r="G116" s="4"/>
      <c r="H116" s="4"/>
      <c r="I116" s="4"/>
      <c r="J116" s="4"/>
    </row>
    <row r="117" customFormat="false" ht="15" hidden="false" customHeight="true" outlineLevel="0" collapsed="false">
      <c r="A117" s="4"/>
      <c r="B117" s="4"/>
      <c r="C117" s="4"/>
      <c r="D117" s="4"/>
      <c r="E117" s="4"/>
      <c r="F117" s="4"/>
      <c r="G117" s="4"/>
      <c r="H117" s="4"/>
      <c r="I117" s="4"/>
      <c r="J117" s="4"/>
    </row>
    <row r="118" customFormat="false" ht="15" hidden="false" customHeight="true" outlineLevel="0" collapsed="false">
      <c r="A118" s="4"/>
      <c r="B118" s="4"/>
      <c r="C118" s="4"/>
      <c r="D118" s="4"/>
      <c r="E118" s="4"/>
      <c r="F118" s="4"/>
      <c r="G118" s="4"/>
      <c r="H118" s="4"/>
      <c r="I118" s="4"/>
      <c r="J118" s="4"/>
    </row>
    <row r="119" customFormat="false" ht="15" hidden="false" customHeight="true" outlineLevel="0" collapsed="false">
      <c r="A119" s="4"/>
      <c r="B119" s="4"/>
      <c r="C119" s="4"/>
      <c r="D119" s="4"/>
      <c r="E119" s="4"/>
      <c r="F119" s="4"/>
      <c r="G119" s="4"/>
      <c r="H119" s="4"/>
      <c r="I119" s="4"/>
      <c r="J119" s="4"/>
    </row>
    <row r="120" customFormat="false" ht="15" hidden="false" customHeight="true" outlineLevel="0" collapsed="false">
      <c r="A120" s="4"/>
      <c r="B120" s="4"/>
      <c r="C120" s="4"/>
      <c r="D120" s="4"/>
      <c r="E120" s="4"/>
      <c r="F120" s="4"/>
      <c r="G120" s="4"/>
      <c r="H120" s="4"/>
      <c r="I120" s="4"/>
      <c r="J120" s="4"/>
    </row>
    <row r="121" customFormat="false" ht="15" hidden="false" customHeight="true" outlineLevel="0" collapsed="false">
      <c r="A121" s="4"/>
      <c r="B121" s="4"/>
      <c r="C121" s="4"/>
      <c r="D121" s="4"/>
      <c r="E121" s="4"/>
      <c r="F121" s="4"/>
      <c r="G121" s="4"/>
      <c r="H121" s="4"/>
      <c r="I121" s="4"/>
      <c r="J121" s="4"/>
    </row>
    <row r="122" customFormat="false" ht="15" hidden="false" customHeight="true" outlineLevel="0" collapsed="false">
      <c r="A122" s="4"/>
      <c r="B122" s="4"/>
      <c r="C122" s="4"/>
      <c r="D122" s="4"/>
      <c r="E122" s="4"/>
      <c r="F122" s="4"/>
      <c r="G122" s="4"/>
      <c r="H122" s="4"/>
      <c r="I122" s="4"/>
      <c r="J122" s="4"/>
    </row>
  </sheetData>
  <mergeCells count="1">
    <mergeCell ref="A1:J1"/>
  </mergeCells>
  <conditionalFormatting sqref="H3:H122">
    <cfRule type="cellIs" priority="2" operator="equal" aboveAverage="0" equalAverage="0" bottom="0" percent="0" rank="0" text="" dxfId="0">
      <formula>"None"</formula>
    </cfRule>
    <cfRule type="cellIs" priority="3" operator="equal" aboveAverage="0" equalAverage="0" bottom="0" percent="0" rank="0" text="" dxfId="1">
      <formula>"Inconsistent"</formula>
    </cfRule>
    <cfRule type="cellIs" priority="4" operator="equal" aboveAverage="0" equalAverage="0" bottom="0" percent="0" rank="0" text="" dxfId="3">
      <formula>"Exceeding"</formula>
    </cfRule>
  </conditionalFormatting>
  <dataValidations count="2">
    <dataValidation allowBlank="true" errorStyle="stop" operator="between" showDropDown="false" showErrorMessage="false" showInputMessage="false" sqref="B3:B122" type="list">
      <formula1>"Executive,Cascading,Local"</formula1>
      <formula2>0</formula2>
    </dataValidation>
    <dataValidation allowBlank="true" errorStyle="stop" operator="between" showDropDown="false" showErrorMessage="false" showInputMessage="false" sqref="H3:H122" type="list">
      <formula1>"Exceeding,Consistent,Inconsistent,None"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28"/>
    <col collapsed="false" customWidth="true" hidden="false" outlineLevel="0" max="3" min="3" style="1" width="12"/>
    <col collapsed="false" customWidth="true" hidden="false" outlineLevel="0" max="4" min="4" style="1" width="6"/>
    <col collapsed="false" customWidth="true" hidden="false" outlineLevel="0" max="5" min="5" style="1" width="40"/>
  </cols>
  <sheetData>
    <row r="1" customFormat="false" ht="25.5" hidden="false" customHeight="true" outlineLevel="0" collapsed="false">
      <c r="A1" s="2" t="s">
        <v>135</v>
      </c>
      <c r="B1" s="2"/>
      <c r="C1" s="2"/>
      <c r="D1" s="2"/>
      <c r="E1" s="2"/>
    </row>
    <row r="3" customFormat="false" ht="15" hidden="false" customHeight="true" outlineLevel="0" collapsed="false">
      <c r="B3" s="5" t="s">
        <v>136</v>
      </c>
    </row>
    <row r="4" customFormat="false" ht="15" hidden="false" customHeight="true" outlineLevel="0" collapsed="false">
      <c r="B4" s="9" t="s">
        <v>50</v>
      </c>
      <c r="C4" s="13" t="n">
        <f aca="false">COUNTIF('Stakeholder Assessment'!$E:$E,"Disengaged")</f>
        <v>0</v>
      </c>
    </row>
    <row r="5" customFormat="false" ht="15" hidden="false" customHeight="true" outlineLevel="0" collapsed="false">
      <c r="B5" s="9" t="s">
        <v>52</v>
      </c>
      <c r="C5" s="13" t="n">
        <f aca="false">COUNTIF('Stakeholder Assessment'!$E:$E,"Neutral")</f>
        <v>1</v>
      </c>
    </row>
    <row r="6" customFormat="false" ht="15" hidden="false" customHeight="true" outlineLevel="0" collapsed="false">
      <c r="B6" s="9" t="s">
        <v>54</v>
      </c>
      <c r="C6" s="13" t="n">
        <f aca="false">COUNTIF('Stakeholder Assessment'!$E:$E,"Engaged")</f>
        <v>0</v>
      </c>
    </row>
    <row r="7" customFormat="false" ht="15" hidden="false" customHeight="true" outlineLevel="0" collapsed="false">
      <c r="B7" s="9" t="s">
        <v>56</v>
      </c>
      <c r="C7" s="13" t="n">
        <f aca="false">COUNTIF('Stakeholder Assessment'!$E:$E,"Advocating")</f>
        <v>0</v>
      </c>
    </row>
    <row r="9" customFormat="false" ht="15" hidden="false" customHeight="true" outlineLevel="0" collapsed="false">
      <c r="B9" s="5" t="s">
        <v>94</v>
      </c>
    </row>
    <row r="10" customFormat="false" ht="15" hidden="false" customHeight="true" outlineLevel="0" collapsed="false">
      <c r="B10" s="9" t="s">
        <v>137</v>
      </c>
      <c r="C10" s="13" t="n">
        <f aca="false">COUNTIF('Stakeholder Assessment'!$H:$H,"Critical")</f>
        <v>1</v>
      </c>
    </row>
    <row r="11" customFormat="false" ht="15" hidden="false" customHeight="true" outlineLevel="0" collapsed="false">
      <c r="B11" s="9" t="s">
        <v>96</v>
      </c>
      <c r="C11" s="13" t="n">
        <f aca="false">COUNTIF('Stakeholder Assessment'!$H:$H,"High")</f>
        <v>0</v>
      </c>
    </row>
    <row r="12" customFormat="false" ht="15" hidden="false" customHeight="true" outlineLevel="0" collapsed="false">
      <c r="B12" s="9" t="s">
        <v>138</v>
      </c>
      <c r="C12" s="13" t="n">
        <f aca="false">COUNTIF('Stakeholder Assessment'!$H:$H,"Medium")</f>
        <v>0</v>
      </c>
    </row>
    <row r="13" customFormat="false" ht="15" hidden="false" customHeight="true" outlineLevel="0" collapsed="false">
      <c r="B13" s="9" t="s">
        <v>139</v>
      </c>
      <c r="C13" s="13" t="n">
        <f aca="false">COUNTIF('Stakeholder Assessment'!$H:$H,"Maintain")</f>
        <v>0</v>
      </c>
    </row>
    <row r="15" customFormat="false" ht="15" hidden="false" customHeight="true" outlineLevel="0" collapsed="false">
      <c r="B15" s="5" t="s">
        <v>95</v>
      </c>
    </row>
    <row r="16" customFormat="false" ht="15" hidden="false" customHeight="true" outlineLevel="0" collapsed="false">
      <c r="B16" s="9" t="s">
        <v>140</v>
      </c>
      <c r="C16" s="13" t="n">
        <f aca="false">COUNTIF('Stakeholder Assessment'!$I:$I,"Manage Closely")</f>
        <v>1</v>
      </c>
    </row>
    <row r="17" customFormat="false" ht="15" hidden="false" customHeight="true" outlineLevel="0" collapsed="false">
      <c r="B17" s="9" t="s">
        <v>141</v>
      </c>
      <c r="C17" s="13" t="n">
        <f aca="false">COUNTIF('Stakeholder Assessment'!$I:$I,"Keep Satisfied")</f>
        <v>0</v>
      </c>
    </row>
    <row r="18" customFormat="false" ht="15" hidden="false" customHeight="true" outlineLevel="0" collapsed="false">
      <c r="B18" s="9" t="s">
        <v>142</v>
      </c>
      <c r="C18" s="13" t="n">
        <f aca="false">COUNTIF('Stakeholder Assessment'!$I:$I,"Keep Informed")</f>
        <v>0</v>
      </c>
    </row>
    <row r="19" customFormat="false" ht="15" hidden="false" customHeight="true" outlineLevel="0" collapsed="false">
      <c r="B19" s="9" t="s">
        <v>143</v>
      </c>
      <c r="C19" s="13" t="n">
        <f aca="false">COUNTIF('Stakeholder Assessment'!$I:$I,"Monitor")</f>
        <v>0</v>
      </c>
    </row>
    <row r="21" customFormat="false" ht="15" hidden="false" customHeight="true" outlineLevel="0" collapsed="false">
      <c r="B21" s="5" t="s">
        <v>144</v>
      </c>
    </row>
    <row r="22" customFormat="false" ht="15" hidden="false" customHeight="true" outlineLevel="0" collapsed="false">
      <c r="B22" s="9" t="s">
        <v>115</v>
      </c>
      <c r="C22" s="13" t="n">
        <f aca="false">COUNTIF('Engagement Strategy'!$L:$L,"Open")</f>
        <v>1</v>
      </c>
    </row>
    <row r="23" customFormat="false" ht="15" hidden="false" customHeight="true" outlineLevel="0" collapsed="false">
      <c r="B23" s="9" t="s">
        <v>145</v>
      </c>
      <c r="C23" s="13" t="n">
        <f aca="false">COUNTIF('Engagement Strategy'!$L:$L,"In Progress")</f>
        <v>0</v>
      </c>
    </row>
    <row r="25" customFormat="false" ht="15" hidden="false" customHeight="true" outlineLevel="0" collapsed="false">
      <c r="B25" s="14" t="s">
        <v>146</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2026-07-21T19:25:01Z</dcterms:created>
  <dc:creator/>
  <dc:description/>
  <dc:language>en-US</dc:language>
  <cp:lastModifiedBy/>
  <dcterms:modified xsi:type="dcterms:W3CDTF">2026-07-26T17:50:45Z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