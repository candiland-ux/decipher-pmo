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Identification" sheetId="2" state="visible" r:id="rId4"/>
    <sheet name="Roadmap" sheetId="3" state="visible" r:id="rId5"/>
    <sheet name="Components" sheetId="4" state="visible" r:id="rId6"/>
    <sheet name="Tranche Plan" sheetId="5" state="visible" r:id="rId7"/>
    <sheet name="Program RAID" sheetId="6" state="visible" r:id="rId8"/>
    <sheet name="Program Risk" sheetId="7" state="visible" r:id="rId9"/>
    <sheet name="Dependencies" sheetId="8" state="visible" r:id="rId10"/>
    <sheet name="Capacity &amp; Demand" sheetId="9" state="visible" r:id="rId11"/>
    <sheet name="Decisions &amp; Changes" sheetId="10" state="visible" r:id="rId12"/>
    <sheet name="Benefits" sheetId="11" state="visible" r:id="rId13"/>
    <sheet name="Program Budget" sheetId="12" state="visible" r:id="rId14"/>
    <sheet name="Closure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<sst xmlns="http://schemas.openxmlformats.org/spreadsheetml/2006/main" count="242" uniqueCount="204">
  <si>
    <t xml:space="preserve">Decipher PMO — Program Workbook</t>
  </si>
  <si>
    <t xml:space="preserve">Live tabs for multi-component program tracking. Blue = inputs.</t>
  </si>
  <si>
    <t xml:space="preserve">Tab</t>
  </si>
  <si>
    <t xml:space="preserve">What it tracks</t>
  </si>
  <si>
    <t xml:space="preserve">Identification</t>
  </si>
  <si>
    <t xml:space="preserve">Program name, sponsor, dates, overall RAG</t>
  </si>
  <si>
    <t xml:space="preserve">Roadmap</t>
  </si>
  <si>
    <t xml:space="preserve">Tranches and milestones over time</t>
  </si>
  <si>
    <t xml:space="preserve">Components</t>
  </si>
  <si>
    <t xml:space="preserve">Constituent projects, status, % complete rollup</t>
  </si>
  <si>
    <t xml:space="preserve">Tranche Plan</t>
  </si>
  <si>
    <t xml:space="preserve">Tranche outcomes + end-of-tranche go/no-go</t>
  </si>
  <si>
    <t xml:space="preserve">Program RAID</t>
  </si>
  <si>
    <t xml:space="preserve">Cross-component risks/assumptions/issues/deps</t>
  </si>
  <si>
    <t xml:space="preserve">Program Risk</t>
  </si>
  <si>
    <t xml:space="preserve">Aggregated and systemic risk + exposure</t>
  </si>
  <si>
    <t xml:space="preserve">Dependencies</t>
  </si>
  <si>
    <t xml:space="preserve">Cross-component dependencies</t>
  </si>
  <si>
    <t xml:space="preserve">Capacity &amp; Demand</t>
  </si>
  <si>
    <t xml:space="preserve">Supply vs demand by skill</t>
  </si>
  <si>
    <t xml:space="preserve">Decisions &amp; Changes</t>
  </si>
  <si>
    <t xml:space="preserve">Program-level decisions and changes</t>
  </si>
  <si>
    <t xml:space="preserve">Benefits</t>
  </si>
  <si>
    <t xml:space="preserve">Benefits realization: planned vs realized</t>
  </si>
  <si>
    <t xml:space="preserve">Program Budget</t>
  </si>
  <si>
    <t xml:space="preserve">Funding and spend across components</t>
  </si>
  <si>
    <t xml:space="preserve">Closure</t>
  </si>
  <si>
    <t xml:space="preserve">Program closure checklist</t>
  </si>
  <si>
    <t xml:space="preserve">Program Identification</t>
  </si>
  <si>
    <t xml:space="preserve">Field</t>
  </si>
  <si>
    <t xml:space="preserve">Value</t>
  </si>
  <si>
    <t xml:space="preserve">Program name</t>
  </si>
  <si>
    <t xml:space="preserve">Bristol Identity &amp; Access Program</t>
  </si>
  <si>
    <t xml:space="preserve">SRO / Sponsor</t>
  </si>
  <si>
    <t xml:space="preserve">CISO</t>
  </si>
  <si>
    <t xml:space="preserve">Program manager</t>
  </si>
  <si>
    <t xml:space="preserve">(name)</t>
  </si>
  <si>
    <t xml:space="preserve">Start</t>
  </si>
  <si>
    <t xml:space="preserve">2026-01-01</t>
  </si>
  <si>
    <t xml:space="preserve">Target close</t>
  </si>
  <si>
    <t xml:space="preserve">2027-03-31</t>
  </si>
  <si>
    <t xml:space="preserve">Total funding ($)</t>
  </si>
  <si>
    <t xml:space="preserve">6400000</t>
  </si>
  <si>
    <t xml:space="preserve">Overall RAG</t>
  </si>
  <si>
    <t xml:space="preserve">Amber</t>
  </si>
  <si>
    <t xml:space="preserve">Program Roadmap</t>
  </si>
  <si>
    <t xml:space="preserve">Tranches across the program timeline.</t>
  </si>
  <si>
    <t xml:space="preserve">Tranche</t>
  </si>
  <si>
    <t xml:space="preserve">Window</t>
  </si>
  <si>
    <t xml:space="preserve">Target capability / outcome</t>
  </si>
  <si>
    <t xml:space="preserve">Key milestone</t>
  </si>
  <si>
    <t xml:space="preserve">Status</t>
  </si>
  <si>
    <t xml:space="preserve">T1 Foundations</t>
  </si>
  <si>
    <t xml:space="preserve">Q1-Q2 2026</t>
  </si>
  <si>
    <t xml:space="preserve">Identity baseline + ZTNA pilot</t>
  </si>
  <si>
    <t xml:space="preserve">Pilot go-live</t>
  </si>
  <si>
    <t xml:space="preserve">In progress</t>
  </si>
  <si>
    <t xml:space="preserve">T2 Rollout</t>
  </si>
  <si>
    <t xml:space="preserve">Q3 2026</t>
  </si>
  <si>
    <t xml:space="preserve">ZTNA org-wide + PAM live</t>
  </si>
  <si>
    <t xml:space="preserve">Wave 3 cutover</t>
  </si>
  <si>
    <t xml:space="preserve">Planned</t>
  </si>
  <si>
    <t xml:space="preserve">T3 Optimize</t>
  </si>
  <si>
    <t xml:space="preserve">Q4 2026-Q1 2027</t>
  </si>
  <si>
    <t xml:space="preserve">Decommission legacy; SIEM uplift</t>
  </si>
  <si>
    <t xml:space="preserve">Legacy off</t>
  </si>
  <si>
    <t xml:space="preserve">Component Initiatives</t>
  </si>
  <si>
    <t xml:space="preserve">% complete rolls up to program.</t>
  </si>
  <si>
    <t xml:space="preserve">Component</t>
  </si>
  <si>
    <t xml:space="preserve">Lead</t>
  </si>
  <si>
    <t xml:space="preserve">Phase</t>
  </si>
  <si>
    <t xml:space="preserve">RAG</t>
  </si>
  <si>
    <t xml:space="preserve">% complete</t>
  </si>
  <si>
    <t xml:space="preserve">Budget ($)</t>
  </si>
  <si>
    <t xml:space="preserve">Spent ($)</t>
  </si>
  <si>
    <t xml:space="preserve">ZTNA rollout</t>
  </si>
  <si>
    <t xml:space="preserve">TPM A</t>
  </si>
  <si>
    <t xml:space="preserve">Execute</t>
  </si>
  <si>
    <t xml:space="preserve">PAM implementation</t>
  </si>
  <si>
    <t xml:space="preserve">TPM B</t>
  </si>
  <si>
    <t xml:space="preserve">Build</t>
  </si>
  <si>
    <t xml:space="preserve">Green</t>
  </si>
  <si>
    <t xml:space="preserve">SIEM uplift</t>
  </si>
  <si>
    <t xml:space="preserve">TPM C</t>
  </si>
  <si>
    <t xml:space="preserve">Plan</t>
  </si>
  <si>
    <t xml:space="preserve">Program</t>
  </si>
  <si>
    <t xml:space="preserve">Tranche Plan &amp; End-of-Tranche Review</t>
  </si>
  <si>
    <t xml:space="preserve">Outcomes</t>
  </si>
  <si>
    <t xml:space="preserve">Benefits expected</t>
  </si>
  <si>
    <t xml:space="preserve">End-of-tranche review date</t>
  </si>
  <si>
    <t xml:space="preserve">Go/No-Go</t>
  </si>
  <si>
    <t xml:space="preserve">Notes</t>
  </si>
  <si>
    <t xml:space="preserve">T1</t>
  </si>
  <si>
    <t xml:space="preserve">Identity baseline, ZTNA pilot</t>
  </si>
  <si>
    <t xml:space="preserve">Audit finding 1 closed</t>
  </si>
  <si>
    <t xml:space="preserve">2026-06-30</t>
  </si>
  <si>
    <t xml:space="preserve">Go</t>
  </si>
  <si>
    <t xml:space="preserve">Pilot stable</t>
  </si>
  <si>
    <t xml:space="preserve">T2</t>
  </si>
  <si>
    <t xml:space="preserve">Org-wide ZTNA + PAM</t>
  </si>
  <si>
    <t xml:space="preserve">Standing privileged access -80%</t>
  </si>
  <si>
    <t xml:space="preserve">2026-09-30</t>
  </si>
  <si>
    <t xml:space="preserve">Pending</t>
  </si>
  <si>
    <t xml:space="preserve">Program-Level RAID</t>
  </si>
  <si>
    <t xml:space="preserve">Only cross-component items.</t>
  </si>
  <si>
    <t xml:space="preserve">ID</t>
  </si>
  <si>
    <t xml:space="preserve">Type</t>
  </si>
  <si>
    <t xml:space="preserve">Description</t>
  </si>
  <si>
    <t xml:space="preserve">Severity</t>
  </si>
  <si>
    <t xml:space="preserve">Owner</t>
  </si>
  <si>
    <t xml:space="preserve">PR-1</t>
  </si>
  <si>
    <t xml:space="preserve">Risk</t>
  </si>
  <si>
    <t xml:space="preserve">Shared identity team over-allocated across ZTNA+PAM</t>
  </si>
  <si>
    <t xml:space="preserve">High</t>
  </si>
  <si>
    <t xml:space="preserve">PgM</t>
  </si>
  <si>
    <t xml:space="preserve">Mitigating</t>
  </si>
  <si>
    <t xml:space="preserve">PD-1</t>
  </si>
  <si>
    <t xml:space="preserve">Dependency</t>
  </si>
  <si>
    <t xml:space="preserve">SIEM uplift depends on ZTNA log schema</t>
  </si>
  <si>
    <t xml:space="preserve">Medium</t>
  </si>
  <si>
    <t xml:space="preserve">Open</t>
  </si>
  <si>
    <t xml:space="preserve">Program Risk (Aggregated)</t>
  </si>
  <si>
    <t xml:space="preserve">Score = P x I. Systemic/cross-component.</t>
  </si>
  <si>
    <t xml:space="preserve">Program risk</t>
  </si>
  <si>
    <t xml:space="preserve">Source</t>
  </si>
  <si>
    <t xml:space="preserve">P</t>
  </si>
  <si>
    <t xml:space="preserve">I</t>
  </si>
  <si>
    <t xml:space="preserve">Exposure</t>
  </si>
  <si>
    <t xml:space="preserve">Response</t>
  </si>
  <si>
    <t xml:space="preserve">PRISK-1</t>
  </si>
  <si>
    <t xml:space="preserve">Identity-skill bottleneck across components</t>
  </si>
  <si>
    <t xml:space="preserve">Aggregated</t>
  </si>
  <si>
    <t xml:space="preserve">Contract specialist; re-sequence</t>
  </si>
  <si>
    <t xml:space="preserve">PRISK-2</t>
  </si>
  <si>
    <t xml:space="preserve">Benefit shortfall if adoption &lt; 80%</t>
  </si>
  <si>
    <t xml:space="preserve">Strategic</t>
  </si>
  <si>
    <t xml:space="preserve">OCM reinforcement plan</t>
  </si>
  <si>
    <t xml:space="preserve">Bus Owner</t>
  </si>
  <si>
    <t xml:space="preserve">Total program exposure</t>
  </si>
  <si>
    <t xml:space="preserve">Cross-Component Dependencies</t>
  </si>
  <si>
    <t xml:space="preserve">From component</t>
  </si>
  <si>
    <t xml:space="preserve">To component</t>
  </si>
  <si>
    <t xml:space="preserve">Deliverable</t>
  </si>
  <si>
    <t xml:space="preserve">Needed by</t>
  </si>
  <si>
    <t xml:space="preserve">XD-1</t>
  </si>
  <si>
    <t xml:space="preserve">ZTNA</t>
  </si>
  <si>
    <t xml:space="preserve">Log schema + feeds</t>
  </si>
  <si>
    <t xml:space="preserve">2026-08-01</t>
  </si>
  <si>
    <t xml:space="preserve">XD-2</t>
  </si>
  <si>
    <t xml:space="preserve">PAM</t>
  </si>
  <si>
    <t xml:space="preserve">Privileged account inventory</t>
  </si>
  <si>
    <t xml:space="preserve">2026-03-15</t>
  </si>
  <si>
    <t xml:space="preserve">On track</t>
  </si>
  <si>
    <t xml:space="preserve">Gap = demand - supply (FTE).</t>
  </si>
  <si>
    <t xml:space="preserve">Skill / team</t>
  </si>
  <si>
    <t xml:space="preserve">Supply (FTE)</t>
  </si>
  <si>
    <t xml:space="preserve">Demand (FTE)</t>
  </si>
  <si>
    <t xml:space="preserve">Gap</t>
  </si>
  <si>
    <t xml:space="preserve">Flag</t>
  </si>
  <si>
    <t xml:space="preserve">Identity specialists</t>
  </si>
  <si>
    <t xml:space="preserve">Security engineering</t>
  </si>
  <si>
    <t xml:space="preserve">OCM</t>
  </si>
  <si>
    <t xml:space="preserve">Program Decisions &amp; Changes</t>
  </si>
  <si>
    <t xml:space="preserve">Decision / change</t>
  </si>
  <si>
    <t xml:space="preserve">Authority</t>
  </si>
  <si>
    <t xml:space="preserve">Date</t>
  </si>
  <si>
    <t xml:space="preserve">PD-3</t>
  </si>
  <si>
    <t xml:space="preserve">Decision</t>
  </si>
  <si>
    <t xml:space="preserve">Defer SIEM uplift to H2 (capacity)</t>
  </si>
  <si>
    <t xml:space="preserve">Program Board</t>
  </si>
  <si>
    <t xml:space="preserve">2026-04-15</t>
  </si>
  <si>
    <t xml:space="preserve">Closed</t>
  </si>
  <si>
    <t xml:space="preserve">Benefits Realization</t>
  </si>
  <si>
    <t xml:space="preserve">% realized = realized / target.</t>
  </si>
  <si>
    <t xml:space="preserve">Benefit</t>
  </si>
  <si>
    <t xml:space="preserve">Owner (BAU)</t>
  </si>
  <si>
    <t xml:space="preserve">Baseline</t>
  </si>
  <si>
    <t xml:space="preserve">Target</t>
  </si>
  <si>
    <t xml:space="preserve">Realized to date</t>
  </si>
  <si>
    <t xml:space="preserve">% realized</t>
  </si>
  <si>
    <t xml:space="preserve">Standing privileged access reduction</t>
  </si>
  <si>
    <t xml:space="preserve">Head of IT Ops</t>
  </si>
  <si>
    <t xml:space="preserve">100%</t>
  </si>
  <si>
    <t xml:space="preserve">-80%</t>
  </si>
  <si>
    <t xml:space="preserve">-52%</t>
  </si>
  <si>
    <t xml:space="preserve">Access-related incidents / yr</t>
  </si>
  <si>
    <t xml:space="preserve">Variance = funding - spent.</t>
  </si>
  <si>
    <t xml:space="preserve">Funding ($)</t>
  </si>
  <si>
    <t xml:space="preserve">Committed ($)</t>
  </si>
  <si>
    <t xml:space="preserve">Remaining</t>
  </si>
  <si>
    <t xml:space="preserve">SIEM</t>
  </si>
  <si>
    <t xml:space="preserve">Program office</t>
  </si>
  <si>
    <t xml:space="preserve">Total</t>
  </si>
  <si>
    <t xml:space="preserve">Program Closure Checklist</t>
  </si>
  <si>
    <t xml:space="preserve">Closure item</t>
  </si>
  <si>
    <t xml:space="preserve">All components delivered or formally transferred</t>
  </si>
  <si>
    <t xml:space="preserve">Benefits handed to BAU owners with measurement plan</t>
  </si>
  <si>
    <t xml:space="preserve">Program-level lessons consolidated</t>
  </si>
  <si>
    <t xml:space="preserve">Financial closure / final reconciliation</t>
  </si>
  <si>
    <t xml:space="preserve">Finance</t>
  </si>
  <si>
    <t xml:space="preserve">Assurance / sponsor sign-off</t>
  </si>
  <si>
    <t xml:space="preserve">SRO</t>
  </si>
  <si>
    <t xml:space="preserve">Records archived; team disbanded</t>
  </si>
  <si>
    <t xml:space="preserve">PMO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</si>
</sst>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02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5F1E8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202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1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0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s">
        <v>25</v>
      </c>
    </row>
    <row r="16" customFormat="false" ht="15" hidden="false" customHeight="false" outlineLevel="0" collapsed="false">
      <c r="A16" s="4" t="s">
        <v>26</v>
      </c>
      <c r="B16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</cols>
  <sheetData>
    <row r="1" customFormat="false" ht="19.7" hidden="false" customHeight="false" outlineLevel="0" collapsed="false">
      <c r="A1" s="1" t="s">
        <v>28</v>
      </c>
    </row>
    <row r="4" customFormat="false" ht="15" hidden="false" customHeight="false" outlineLevel="0" collapsed="false">
      <c r="A4" s="3" t="s">
        <v>29</v>
      </c>
      <c r="B4" s="3" t="s">
        <v>30</v>
      </c>
    </row>
    <row r="5" customFormat="false" ht="15" hidden="false" customHeight="false" outlineLevel="0" collapsed="false">
      <c r="A5" s="4" t="s">
        <v>31</v>
      </c>
      <c r="B5" s="5" t="s">
        <v>32</v>
      </c>
    </row>
    <row r="6" customFormat="false" ht="15" hidden="false" customHeight="false" outlineLevel="0" collapsed="false">
      <c r="A6" s="4" t="s">
        <v>33</v>
      </c>
      <c r="B6" s="5" t="s">
        <v>34</v>
      </c>
    </row>
    <row r="7" customFormat="false" ht="15" hidden="false" customHeight="false" outlineLevel="0" collapsed="false">
      <c r="A7" s="4" t="s">
        <v>35</v>
      </c>
      <c r="B7" s="5" t="s">
        <v>36</v>
      </c>
    </row>
    <row r="8" customFormat="false" ht="15" hidden="false" customHeight="false" outlineLevel="0" collapsed="false">
      <c r="A8" s="4" t="s">
        <v>37</v>
      </c>
      <c r="B8" s="5" t="s">
        <v>38</v>
      </c>
    </row>
    <row r="9" customFormat="false" ht="15" hidden="false" customHeight="false" outlineLevel="0" collapsed="false">
      <c r="A9" s="4" t="s">
        <v>39</v>
      </c>
      <c r="B9" s="5" t="s">
        <v>40</v>
      </c>
    </row>
    <row r="10" customFormat="false" ht="15" hidden="false" customHeight="false" outlineLevel="0" collapsed="false">
      <c r="A10" s="4" t="s">
        <v>41</v>
      </c>
      <c r="B10" s="5" t="s">
        <v>42</v>
      </c>
    </row>
    <row r="11" customFormat="false" ht="15" hidden="false" customHeight="false" outlineLevel="0" collapsed="false">
      <c r="A11" s="4" t="s">
        <v>43</v>
      </c>
      <c r="B11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customFormat="false" ht="15" hidden="false" customHeight="false" outlineLevel="0" collapsed="false">
      <c r="A5" s="4" t="s">
        <v>52</v>
      </c>
      <c r="B5" s="4" t="s">
        <v>53</v>
      </c>
      <c r="C5" s="4" t="s">
        <v>54</v>
      </c>
      <c r="D5" s="4" t="s">
        <v>55</v>
      </c>
      <c r="E5" s="4" t="s">
        <v>56</v>
      </c>
    </row>
    <row r="6" customFormat="false" ht="15" hidden="false" customHeight="false" outlineLevel="0" collapsed="false">
      <c r="A6" s="4" t="s">
        <v>57</v>
      </c>
      <c r="B6" s="4" t="s">
        <v>58</v>
      </c>
      <c r="C6" s="4" t="s">
        <v>59</v>
      </c>
      <c r="D6" s="4" t="s">
        <v>60</v>
      </c>
      <c r="E6" s="4" t="s">
        <v>61</v>
      </c>
    </row>
    <row r="7" customFormat="false" ht="26.85" hidden="false" customHeight="false" outlineLevel="0" collapsed="false">
      <c r="A7" s="4" t="s">
        <v>62</v>
      </c>
      <c r="B7" s="4" t="s">
        <v>63</v>
      </c>
      <c r="C7" s="4" t="s">
        <v>64</v>
      </c>
      <c r="D7" s="4" t="s">
        <v>65</v>
      </c>
      <c r="E7" s="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26.85" hidden="false" customHeight="false" outlineLevel="0" collapsed="false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</row>
    <row r="5" customFormat="false" ht="15" hidden="false" customHeight="false" outlineLevel="0" collapsed="false">
      <c r="A5" s="4" t="s">
        <v>75</v>
      </c>
      <c r="B5" s="4" t="s">
        <v>76</v>
      </c>
      <c r="C5" s="4" t="s">
        <v>77</v>
      </c>
      <c r="D5" s="4" t="s">
        <v>44</v>
      </c>
      <c r="E5" s="4" t="n">
        <v>55</v>
      </c>
      <c r="F5" s="4" t="n">
        <v>2400000</v>
      </c>
      <c r="G5" s="4" t="n">
        <v>1080000</v>
      </c>
    </row>
    <row r="6" customFormat="false" ht="15" hidden="false" customHeight="false" outlineLevel="0" collapsed="false">
      <c r="A6" s="4" t="s">
        <v>78</v>
      </c>
      <c r="B6" s="4" t="s">
        <v>79</v>
      </c>
      <c r="C6" s="4" t="s">
        <v>80</v>
      </c>
      <c r="D6" s="4" t="s">
        <v>81</v>
      </c>
      <c r="E6" s="4" t="n">
        <v>40</v>
      </c>
      <c r="F6" s="4" t="n">
        <v>900000</v>
      </c>
      <c r="G6" s="4" t="n">
        <v>360000</v>
      </c>
    </row>
    <row r="7" customFormat="false" ht="15" hidden="false" customHeight="false" outlineLevel="0" collapsed="false">
      <c r="A7" s="4" t="s">
        <v>82</v>
      </c>
      <c r="B7" s="4" t="s">
        <v>83</v>
      </c>
      <c r="C7" s="4" t="s">
        <v>84</v>
      </c>
      <c r="D7" s="4" t="s">
        <v>81</v>
      </c>
      <c r="E7" s="4" t="n">
        <v>10</v>
      </c>
      <c r="F7" s="4" t="n">
        <v>1200000</v>
      </c>
      <c r="G7" s="4" t="n">
        <v>90000</v>
      </c>
    </row>
    <row r="9" customFormat="false" ht="15" hidden="false" customHeight="false" outlineLevel="0" collapsed="false">
      <c r="A9" s="6" t="s">
        <v>85</v>
      </c>
      <c r="E9" s="6" t="n">
        <f aca="false">IFERROR(AVERAGE(E5:E7),0)</f>
        <v>35</v>
      </c>
      <c r="F9" s="6" t="n">
        <f aca="false">SUM(F5:F7)</f>
        <v>4500000</v>
      </c>
      <c r="G9" s="6" t="n">
        <f aca="false">SUM(G5:G7)</f>
        <v>1530000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86</v>
      </c>
    </row>
    <row r="4" customFormat="false" ht="26.85" hidden="false" customHeight="false" outlineLevel="0" collapsed="false">
      <c r="A4" s="3" t="s">
        <v>47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</row>
    <row r="5" customFormat="false" ht="15" hidden="false" customHeight="false" outlineLevel="0" collapsed="false">
      <c r="A5" s="4" t="s">
        <v>92</v>
      </c>
      <c r="B5" s="4" t="s">
        <v>93</v>
      </c>
      <c r="C5" s="4" t="s">
        <v>94</v>
      </c>
      <c r="D5" s="4" t="s">
        <v>95</v>
      </c>
      <c r="E5" s="4" t="s">
        <v>96</v>
      </c>
      <c r="F5" s="4" t="s">
        <v>97</v>
      </c>
    </row>
    <row r="6" customFormat="false" ht="26.85" hidden="false" customHeight="false" outlineLevel="0" collapsed="false">
      <c r="A6" s="4" t="s">
        <v>98</v>
      </c>
      <c r="B6" s="4" t="s">
        <v>99</v>
      </c>
      <c r="C6" s="4" t="s">
        <v>100</v>
      </c>
      <c r="D6" s="4" t="s">
        <v>101</v>
      </c>
      <c r="E6" s="4" t="s">
        <v>102</v>
      </c>
      <c r="F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</cols>
  <sheetData>
    <row r="1" customFormat="false" ht="19.7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15" hidden="false" customHeight="false" outlineLevel="0" collapsed="false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51</v>
      </c>
    </row>
    <row r="5" customFormat="false" ht="26.85" hidden="false" customHeight="false" outlineLevel="0" collapsed="false">
      <c r="A5" s="4" t="s">
        <v>110</v>
      </c>
      <c r="B5" s="4" t="s">
        <v>111</v>
      </c>
      <c r="C5" s="4" t="s">
        <v>112</v>
      </c>
      <c r="D5" s="4" t="s">
        <v>113</v>
      </c>
      <c r="E5" s="4" t="s">
        <v>114</v>
      </c>
      <c r="F5" s="4" t="s">
        <v>115</v>
      </c>
    </row>
    <row r="6" customFormat="false" ht="26.85" hidden="false" customHeight="false" outlineLevel="0" collapsed="false">
      <c r="A6" s="4" t="s">
        <v>116</v>
      </c>
      <c r="B6" s="4" t="s">
        <v>117</v>
      </c>
      <c r="C6" s="4" t="s">
        <v>118</v>
      </c>
      <c r="D6" s="4" t="s">
        <v>119</v>
      </c>
      <c r="E6" s="4" t="s">
        <v>83</v>
      </c>
      <c r="F6" s="4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5" min="4" style="0" width="5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1"/>
  </cols>
  <sheetData>
    <row r="1" customFormat="false" ht="19.7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4" customFormat="false" ht="26.85" hidden="false" customHeight="false" outlineLevel="0" collapsed="false">
      <c r="A4" s="3" t="s">
        <v>105</v>
      </c>
      <c r="B4" s="3" t="s">
        <v>123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109</v>
      </c>
      <c r="I4" s="3" t="s">
        <v>51</v>
      </c>
    </row>
    <row r="5" customFormat="false" ht="26.85" hidden="false" customHeight="false" outlineLevel="0" collapsed="false">
      <c r="A5" s="4" t="s">
        <v>129</v>
      </c>
      <c r="B5" s="4" t="s">
        <v>130</v>
      </c>
      <c r="C5" s="4" t="s">
        <v>131</v>
      </c>
      <c r="D5" s="4" t="n">
        <v>4</v>
      </c>
      <c r="E5" s="4" t="n">
        <v>4</v>
      </c>
      <c r="F5" s="4" t="n">
        <f aca="false">D5*E5</f>
        <v>16</v>
      </c>
      <c r="G5" s="4" t="s">
        <v>132</v>
      </c>
      <c r="H5" s="4" t="s">
        <v>114</v>
      </c>
      <c r="I5" s="4" t="s">
        <v>115</v>
      </c>
    </row>
    <row r="6" customFormat="false" ht="26.85" hidden="false" customHeight="false" outlineLevel="0" collapsed="false">
      <c r="A6" s="4" t="s">
        <v>133</v>
      </c>
      <c r="B6" s="4" t="s">
        <v>134</v>
      </c>
      <c r="C6" s="4" t="s">
        <v>135</v>
      </c>
      <c r="D6" s="4" t="n">
        <v>3</v>
      </c>
      <c r="E6" s="4" t="n">
        <v>4</v>
      </c>
      <c r="F6" s="4" t="n">
        <f aca="false">D6*E6</f>
        <v>12</v>
      </c>
      <c r="G6" s="4" t="s">
        <v>136</v>
      </c>
      <c r="H6" s="4" t="s">
        <v>137</v>
      </c>
      <c r="I6" s="4" t="s">
        <v>120</v>
      </c>
    </row>
    <row r="8" customFormat="false" ht="15" hidden="false" customHeight="false" outlineLevel="0" collapsed="false">
      <c r="B8" s="6" t="s">
        <v>138</v>
      </c>
      <c r="F8" s="6" t="n">
        <f aca="false">SUM(F5:F6)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139</v>
      </c>
    </row>
    <row r="4" customFormat="false" ht="26.85" hidden="false" customHeight="false" outlineLevel="0" collapsed="false">
      <c r="A4" s="3" t="s">
        <v>105</v>
      </c>
      <c r="B4" s="3" t="s">
        <v>140</v>
      </c>
      <c r="C4" s="3" t="s">
        <v>141</v>
      </c>
      <c r="D4" s="3" t="s">
        <v>142</v>
      </c>
      <c r="E4" s="3" t="s">
        <v>143</v>
      </c>
      <c r="F4" s="3" t="s">
        <v>51</v>
      </c>
    </row>
    <row r="5" customFormat="false" ht="15" hidden="false" customHeight="false" outlineLevel="0" collapsed="false">
      <c r="A5" s="4" t="s">
        <v>144</v>
      </c>
      <c r="B5" s="4" t="s">
        <v>145</v>
      </c>
      <c r="C5" s="4" t="s">
        <v>82</v>
      </c>
      <c r="D5" s="4" t="s">
        <v>146</v>
      </c>
      <c r="E5" s="4" t="s">
        <v>147</v>
      </c>
      <c r="F5" s="4" t="s">
        <v>120</v>
      </c>
    </row>
    <row r="6" customFormat="false" ht="26.85" hidden="false" customHeight="false" outlineLevel="0" collapsed="false">
      <c r="A6" s="4" t="s">
        <v>148</v>
      </c>
      <c r="B6" s="4" t="s">
        <v>149</v>
      </c>
      <c r="C6" s="4" t="s">
        <v>145</v>
      </c>
      <c r="D6" s="4" t="s">
        <v>150</v>
      </c>
      <c r="E6" s="4" t="s">
        <v>151</v>
      </c>
      <c r="F6" s="4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153</v>
      </c>
    </row>
    <row r="4" customFormat="false" ht="26.85" hidden="false" customHeight="false" outlineLevel="0" collapsed="false">
      <c r="A4" s="3" t="s">
        <v>154</v>
      </c>
      <c r="B4" s="3" t="s">
        <v>155</v>
      </c>
      <c r="C4" s="3" t="s">
        <v>156</v>
      </c>
      <c r="D4" s="3" t="s">
        <v>157</v>
      </c>
      <c r="E4" s="3" t="s">
        <v>158</v>
      </c>
    </row>
    <row r="5" customFormat="false" ht="15" hidden="false" customHeight="false" outlineLevel="0" collapsed="false">
      <c r="A5" s="4" t="s">
        <v>159</v>
      </c>
      <c r="B5" s="5" t="n">
        <v>2</v>
      </c>
      <c r="C5" s="5" t="n">
        <v>3.2</v>
      </c>
      <c r="D5" s="4" t="n">
        <f aca="false">C5-B5</f>
        <v>1.2</v>
      </c>
      <c r="E5" s="4" t="str">
        <f aca="false">IF(D5&gt;0,"SHORT","ok")</f>
        <v>SHORT</v>
      </c>
    </row>
    <row r="6" customFormat="false" ht="15" hidden="false" customHeight="false" outlineLevel="0" collapsed="false">
      <c r="A6" s="4" t="s">
        <v>160</v>
      </c>
      <c r="B6" s="5" t="n">
        <v>6</v>
      </c>
      <c r="C6" s="5" t="n">
        <v>5</v>
      </c>
      <c r="D6" s="4" t="n">
        <f aca="false">C6-B6</f>
        <v>-1</v>
      </c>
      <c r="E6" s="4" t="str">
        <f aca="false">IF(D6&gt;0,"SHORT","ok")</f>
        <v>ok</v>
      </c>
    </row>
    <row r="7" customFormat="false" ht="15" hidden="false" customHeight="false" outlineLevel="0" collapsed="false">
      <c r="A7" s="4" t="s">
        <v>161</v>
      </c>
      <c r="B7" s="5" t="n">
        <v>1.5</v>
      </c>
      <c r="C7" s="5" t="n">
        <v>1.8</v>
      </c>
      <c r="D7" s="4" t="n">
        <f aca="false">C7-B7</f>
        <v>0.3</v>
      </c>
      <c r="E7" s="4" t="str">
        <f aca="false">IF(D7&gt;0,"SHORT","ok")</f>
        <v>SHORT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162</v>
      </c>
    </row>
    <row r="4" customFormat="false" ht="15" hidden="false" customHeight="false" outlineLevel="0" collapsed="false">
      <c r="A4" s="3" t="s">
        <v>105</v>
      </c>
      <c r="B4" s="3" t="s">
        <v>106</v>
      </c>
      <c r="C4" s="3" t="s">
        <v>163</v>
      </c>
      <c r="D4" s="3" t="s">
        <v>164</v>
      </c>
      <c r="E4" s="3" t="s">
        <v>165</v>
      </c>
      <c r="F4" s="3" t="s">
        <v>51</v>
      </c>
    </row>
    <row r="5" customFormat="false" ht="15" hidden="false" customHeight="false" outlineLevel="0" collapsed="false">
      <c r="A5" s="4" t="s">
        <v>166</v>
      </c>
      <c r="B5" s="4" t="s">
        <v>167</v>
      </c>
      <c r="C5" s="4" t="s">
        <v>168</v>
      </c>
      <c r="D5" s="4" t="s">
        <v>169</v>
      </c>
      <c r="E5" s="4" t="s">
        <v>170</v>
      </c>
      <c r="F5" s="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26.85" hidden="false" customHeight="false" outlineLevel="0" collapsed="false">
      <c r="A4" s="3" t="s">
        <v>174</v>
      </c>
      <c r="B4" s="3" t="s">
        <v>175</v>
      </c>
      <c r="C4" s="3" t="s">
        <v>176</v>
      </c>
      <c r="D4" s="3" t="s">
        <v>177</v>
      </c>
      <c r="E4" s="3" t="s">
        <v>178</v>
      </c>
      <c r="F4" s="3" t="s">
        <v>179</v>
      </c>
    </row>
    <row r="5" customFormat="false" ht="26.85" hidden="false" customHeight="false" outlineLevel="0" collapsed="false">
      <c r="A5" s="4" t="s">
        <v>180</v>
      </c>
      <c r="B5" s="4" t="s">
        <v>181</v>
      </c>
      <c r="C5" s="4" t="s">
        <v>182</v>
      </c>
      <c r="D5" s="4" t="s">
        <v>183</v>
      </c>
      <c r="E5" s="4" t="s">
        <v>184</v>
      </c>
      <c r="F5" s="4"/>
    </row>
    <row r="6" customFormat="false" ht="15" hidden="false" customHeight="false" outlineLevel="0" collapsed="false">
      <c r="A6" s="4" t="s">
        <v>185</v>
      </c>
      <c r="B6" s="4" t="s">
        <v>34</v>
      </c>
      <c r="C6" s="4" t="n">
        <v>46</v>
      </c>
      <c r="D6" s="4" t="n">
        <v>18</v>
      </c>
      <c r="E6" s="4" t="n">
        <v>29</v>
      </c>
      <c r="F6" s="7" t="n">
        <f aca="false">IFERROR((C6-E6)/(C6-D6),0)</f>
        <v>0.607142857142857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186</v>
      </c>
    </row>
    <row r="4" customFormat="false" ht="26.85" hidden="false" customHeight="false" outlineLevel="0" collapsed="false">
      <c r="A4" s="3" t="s">
        <v>68</v>
      </c>
      <c r="B4" s="3" t="s">
        <v>187</v>
      </c>
      <c r="C4" s="3" t="s">
        <v>188</v>
      </c>
      <c r="D4" s="3" t="s">
        <v>74</v>
      </c>
      <c r="E4" s="3" t="s">
        <v>189</v>
      </c>
    </row>
    <row r="5" customFormat="false" ht="15" hidden="false" customHeight="false" outlineLevel="0" collapsed="false">
      <c r="A5" s="4" t="s">
        <v>145</v>
      </c>
      <c r="B5" s="4" t="n">
        <v>2400000</v>
      </c>
      <c r="C5" s="4" t="n">
        <v>1900000</v>
      </c>
      <c r="D5" s="4" t="n">
        <v>1080000</v>
      </c>
      <c r="E5" s="4" t="n">
        <f aca="false">B5-D5</f>
        <v>1320000</v>
      </c>
    </row>
    <row r="6" customFormat="false" ht="15" hidden="false" customHeight="false" outlineLevel="0" collapsed="false">
      <c r="A6" s="4" t="s">
        <v>149</v>
      </c>
      <c r="B6" s="4" t="n">
        <v>900000</v>
      </c>
      <c r="C6" s="4" t="n">
        <v>540000</v>
      </c>
      <c r="D6" s="4" t="n">
        <v>360000</v>
      </c>
      <c r="E6" s="4" t="n">
        <f aca="false">B6-D6</f>
        <v>540000</v>
      </c>
    </row>
    <row r="7" customFormat="false" ht="15" hidden="false" customHeight="false" outlineLevel="0" collapsed="false">
      <c r="A7" s="4" t="s">
        <v>190</v>
      </c>
      <c r="B7" s="4" t="n">
        <v>1200000</v>
      </c>
      <c r="C7" s="4" t="n">
        <v>200000</v>
      </c>
      <c r="D7" s="4" t="n">
        <v>90000</v>
      </c>
      <c r="E7" s="4" t="n">
        <f aca="false">B7-D7</f>
        <v>1110000</v>
      </c>
    </row>
    <row r="8" customFormat="false" ht="15" hidden="false" customHeight="false" outlineLevel="0" collapsed="false">
      <c r="A8" s="4" t="s">
        <v>191</v>
      </c>
      <c r="B8" s="4" t="n">
        <v>300000</v>
      </c>
      <c r="C8" s="4" t="n">
        <v>150000</v>
      </c>
      <c r="D8" s="4" t="n">
        <v>140000</v>
      </c>
      <c r="E8" s="4" t="n">
        <f aca="false">B8-D8</f>
        <v>160000</v>
      </c>
    </row>
    <row r="9" customFormat="false" ht="15" hidden="false" customHeight="false" outlineLevel="0" collapsed="false">
      <c r="A9" s="6" t="s">
        <v>192</v>
      </c>
      <c r="B9" s="6" t="n">
        <f aca="false">SUM(B5:B8)</f>
        <v>4800000</v>
      </c>
      <c r="C9" s="6" t="n">
        <f aca="false">SUM(C5:C8)</f>
        <v>2790000</v>
      </c>
      <c r="D9" s="6" t="n">
        <f aca="false">SUM(D5:D8)</f>
        <v>1670000</v>
      </c>
      <c r="E9" s="6" t="n">
        <f aca="false">SUM(E5:E8)</f>
        <v>3130000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193</v>
      </c>
    </row>
    <row r="4" customFormat="false" ht="15" hidden="false" customHeight="false" outlineLevel="0" collapsed="false">
      <c r="A4" s="3" t="s">
        <v>194</v>
      </c>
      <c r="B4" s="3" t="s">
        <v>109</v>
      </c>
      <c r="C4" s="3" t="s">
        <v>51</v>
      </c>
    </row>
    <row r="5" customFormat="false" ht="15" hidden="false" customHeight="false" outlineLevel="0" collapsed="false">
      <c r="A5" s="4" t="s">
        <v>195</v>
      </c>
      <c r="B5" s="4" t="s">
        <v>114</v>
      </c>
      <c r="C5" s="4" t="s">
        <v>56</v>
      </c>
    </row>
    <row r="6" customFormat="false" ht="26.85" hidden="false" customHeight="false" outlineLevel="0" collapsed="false">
      <c r="A6" s="4" t="s">
        <v>196</v>
      </c>
      <c r="B6" s="4" t="s">
        <v>137</v>
      </c>
      <c r="C6" s="4" t="s">
        <v>120</v>
      </c>
    </row>
    <row r="7" customFormat="false" ht="15" hidden="false" customHeight="false" outlineLevel="0" collapsed="false">
      <c r="A7" s="4" t="s">
        <v>197</v>
      </c>
      <c r="B7" s="4" t="s">
        <v>114</v>
      </c>
      <c r="C7" s="4" t="s">
        <v>120</v>
      </c>
    </row>
    <row r="8" customFormat="false" ht="15" hidden="false" customHeight="false" outlineLevel="0" collapsed="false">
      <c r="A8" s="4" t="s">
        <v>198</v>
      </c>
      <c r="B8" s="4" t="s">
        <v>199</v>
      </c>
      <c r="C8" s="4" t="s">
        <v>120</v>
      </c>
    </row>
    <row r="9" customFormat="false" ht="15" hidden="false" customHeight="false" outlineLevel="0" collapsed="false">
      <c r="A9" s="4" t="s">
        <v>200</v>
      </c>
      <c r="B9" s="4" t="s">
        <v>201</v>
      </c>
      <c r="C9" s="4" t="s">
        <v>120</v>
      </c>
    </row>
    <row r="10" customFormat="false" ht="15" hidden="false" customHeight="false" outlineLevel="0" collapsed="false">
      <c r="A10" s="4" t="s">
        <v>202</v>
      </c>
      <c r="B10" s="4" t="s">
        <v>203</v>
      </c>
      <c r="C10" s="4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2026-06-07T01:01:27Z</dcterms:created>
  <dc:creator>openpyxl</dc:creator>
  <dc:description/>
  <dc:language>en-US</dc:language>
  <cp:lastModifiedBy/>
  <dcterms:modified xsi:type="dcterms:W3CDTF">2026-06-07T01:01:27Z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