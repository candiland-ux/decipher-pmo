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Glossary" sheetId="2" state="visible" r:id="rId4"/>
    <sheet name="Dashboard" sheetId="3" state="visible" r:id="rId5"/>
    <sheet name="Identification" sheetId="4" state="visible" r:id="rId6"/>
    <sheet name="Roadmap" sheetId="5" state="visible" r:id="rId7"/>
    <sheet name="Master Schedule" sheetId="6" state="visible" r:id="rId8"/>
    <sheet name="Milestones" sheetId="7" state="visible" r:id="rId9"/>
    <sheet name="Components" sheetId="8" state="visible" r:id="rId10"/>
    <sheet name="Tranche Plan" sheetId="9" state="visible" r:id="rId11"/>
    <sheet name="Program OKRs &amp; KPIs" sheetId="10" state="visible" r:id="rId12"/>
    <sheet name="Benefits Map" sheetId="11" state="visible" r:id="rId13"/>
    <sheet name="Benefits" sheetId="12" state="visible" r:id="rId14"/>
    <sheet name="Program RAID" sheetId="13" state="visible" r:id="rId15"/>
    <sheet name="Program Risk" sheetId="14" state="visible" r:id="rId16"/>
    <sheet name="Dependencies" sheetId="15" state="visible" r:id="rId17"/>
    <sheet name="Capacity &amp; Demand" sheetId="16" state="visible" r:id="rId18"/>
    <sheet name="Stakeholders" sheetId="17" state="visible" r:id="rId19"/>
    <sheet name="RACI &amp; Governance" sheetId="18" state="visible" r:id="rId20"/>
    <sheet name="Decisions &amp; Changes" sheetId="19" state="visible" r:id="rId21"/>
    <sheet name="Financials" sheetId="20" state="visible" r:id="rId22"/>
    <sheet name="Gate Log" sheetId="21" state="visible" r:id="rId23"/>
    <sheet name="Lessons" sheetId="22" state="visible" r:id="rId24"/>
    <sheet name="Closure" sheetId="23" state="visible" r:id="rId2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<sst xmlns="http://schemas.openxmlformats.org/spreadsheetml/2006/main" count="972" uniqueCount="645">
  <si>
    <t xml:space="preserve">Decipher PMO — Program Workbook</t>
  </si>
  <si>
    <t xml:space="preserve">Live tabs for multi-component program tracking. Blue = inputs; other cells calculate. Dashboard rolls up the rest. See Glossary for acronyms.</t>
  </si>
  <si>
    <t xml:space="preserve">Tab</t>
  </si>
  <si>
    <t xml:space="preserve">What it tracks</t>
  </si>
  <si>
    <t xml:space="preserve">Glossary</t>
  </si>
  <si>
    <t xml:space="preserve">Every acronym used in this workbook, written out</t>
  </si>
  <si>
    <t xml:space="preserve">Dashboard</t>
  </si>
  <si>
    <t xml:space="preserve">Executive rollup: components, budget, benefits, risk, milestones, OKRs</t>
  </si>
  <si>
    <t xml:space="preserve">Identification</t>
  </si>
  <si>
    <t xml:space="preserve">Program identity, sponsorship, dates, governance cadence</t>
  </si>
  <si>
    <t xml:space="preserve">Roadmap</t>
  </si>
  <si>
    <t xml:space="preserve">Workstreams across tranches: dates, deliverables, % complete, RAG</t>
  </si>
  <si>
    <t xml:space="preserve">Master Schedule</t>
  </si>
  <si>
    <t xml:space="preserve">Integrated cross-workstream milestones, predecessors, critical path</t>
  </si>
  <si>
    <t xml:space="preserve">Milestones</t>
  </si>
  <si>
    <t xml:space="preserve">Top program milestones: baseline vs forecast, variance, RAG</t>
  </si>
  <si>
    <t xml:space="preserve">Components</t>
  </si>
  <si>
    <t xml:space="preserve">Constituent projects: status, schedule, budget, forecast (EAC)</t>
  </si>
  <si>
    <t xml:space="preserve">Tranche Plan</t>
  </si>
  <si>
    <t xml:space="preserve">Tranche dates, capabilities, expected benefits, end-of-tranche gate</t>
  </si>
  <si>
    <t xml:space="preserve">Program OKRs &amp; KPIs</t>
  </si>
  <si>
    <t xml:space="preserve">Objectives &amp; Key Results, plus operational KPIs</t>
  </si>
  <si>
    <t xml:space="preserve">Benefits Map</t>
  </si>
  <si>
    <t xml:space="preserve">Outputs -&gt; outcomes -&gt; benefits -&gt; strategic objectives</t>
  </si>
  <si>
    <t xml:space="preserve">Benefits</t>
  </si>
  <si>
    <t xml:space="preserve">Benefits realization: baseline/target/latest, % realized, RAG</t>
  </si>
  <si>
    <t xml:space="preserve">Program RAID</t>
  </si>
  <si>
    <t xml:space="preserve">Cross-component Risks, Assumptions, Issues, Dependencies</t>
  </si>
  <si>
    <t xml:space="preserve">Program Risk</t>
  </si>
  <si>
    <t xml:space="preserve">Aggregated/systemic risk: inherent vs residual, triggers</t>
  </si>
  <si>
    <t xml:space="preserve">Dependencies</t>
  </si>
  <si>
    <t xml:space="preserve">Cross-component dependencies: type, criticality, float, owner</t>
  </si>
  <si>
    <t xml:space="preserve">Capacity &amp; Demand</t>
  </si>
  <si>
    <t xml:space="preserve">Supply vs time-phased demand by skill; peak gap</t>
  </si>
  <si>
    <t xml:space="preserve">Stakeholders</t>
  </si>
  <si>
    <t xml:space="preserve">Stakeholder map: influence, engagement gap, approach</t>
  </si>
  <si>
    <t xml:space="preserve">RACI &amp; Governance</t>
  </si>
  <si>
    <t xml:space="preserve">Program decision rights (RACI) and governance forums</t>
  </si>
  <si>
    <t xml:space="preserve">Decisions &amp; Changes</t>
  </si>
  <si>
    <t xml:space="preserve">Program decisions and changes with rationale and impact</t>
  </si>
  <si>
    <t xml:space="preserve">Financials</t>
  </si>
  <si>
    <t xml:space="preserve">Funding, committed, spent, forecast (EAC), reserves</t>
  </si>
  <si>
    <t xml:space="preserve">Gate Log</t>
  </si>
  <si>
    <t xml:space="preserve">Phase-gate / assurance reviews, entry/exit, conditions</t>
  </si>
  <si>
    <t xml:space="preserve">Lessons</t>
  </si>
  <si>
    <t xml:space="preserve">Program-level lessons learned</t>
  </si>
  <si>
    <t xml:space="preserve">Closure</t>
  </si>
  <si>
    <t xml:space="preserve">Program closure checklist with evidence</t>
  </si>
  <si>
    <t xml:space="preserve">Glossary — acronyms used in this workbook</t>
  </si>
  <si>
    <t xml:space="preserve">Every abbreviation used in the tabs, written out.</t>
  </si>
  <si>
    <t xml:space="preserve">Acronym</t>
  </si>
  <si>
    <t xml:space="preserve">Full term</t>
  </si>
  <si>
    <t xml:space="preserve">PMO</t>
  </si>
  <si>
    <t xml:space="preserve">Project / Program Management Office</t>
  </si>
  <si>
    <t xml:space="preserve">PM</t>
  </si>
  <si>
    <t xml:space="preserve">Project Manager</t>
  </si>
  <si>
    <t xml:space="preserve">PgM</t>
  </si>
  <si>
    <t xml:space="preserve">Program Manager</t>
  </si>
  <si>
    <t xml:space="preserve">SRO</t>
  </si>
  <si>
    <t xml:space="preserve">Senior Responsible Owner</t>
  </si>
  <si>
    <t xml:space="preserve">BAU</t>
  </si>
  <si>
    <t xml:space="preserve">Business as Usual (steady-state operations)</t>
  </si>
  <si>
    <t xml:space="preserve">RAG</t>
  </si>
  <si>
    <t xml:space="preserve">Red / Amber / Green status rating</t>
  </si>
  <si>
    <t xml:space="preserve">RAID</t>
  </si>
  <si>
    <t xml:space="preserve">Risks, Assumptions, Issues, Dependencies</t>
  </si>
  <si>
    <t xml:space="preserve">RACI</t>
  </si>
  <si>
    <t xml:space="preserve">Responsible, Accountable, Consulted, Informed</t>
  </si>
  <si>
    <t xml:space="preserve">CCB</t>
  </si>
  <si>
    <t xml:space="preserve">Change Control Board</t>
  </si>
  <si>
    <t xml:space="preserve">CR</t>
  </si>
  <si>
    <t xml:space="preserve">Change Request</t>
  </si>
  <si>
    <t xml:space="preserve">KPI</t>
  </si>
  <si>
    <t xml:space="preserve">Key Performance Indicator</t>
  </si>
  <si>
    <t xml:space="preserve">OKR</t>
  </si>
  <si>
    <t xml:space="preserve">Objectives and Key Results</t>
  </si>
  <si>
    <t xml:space="preserve">EVM</t>
  </si>
  <si>
    <t xml:space="preserve">Earned Value Management</t>
  </si>
  <si>
    <t xml:space="preserve">EAC</t>
  </si>
  <si>
    <t xml:space="preserve">Estimate at Completion (forecast final cost)</t>
  </si>
  <si>
    <t xml:space="preserve">BAC</t>
  </si>
  <si>
    <t xml:space="preserve">Budget at Completion</t>
  </si>
  <si>
    <t xml:space="preserve">CPI</t>
  </si>
  <si>
    <t xml:space="preserve">Cost Performance Index</t>
  </si>
  <si>
    <t xml:space="preserve">SPI</t>
  </si>
  <si>
    <t xml:space="preserve">Schedule Performance Index</t>
  </si>
  <si>
    <t xml:space="preserve">WBS</t>
  </si>
  <si>
    <t xml:space="preserve">Work Breakdown Structure</t>
  </si>
  <si>
    <t xml:space="preserve">P x I</t>
  </si>
  <si>
    <t xml:space="preserve">Probability x Impact (risk score)</t>
  </si>
  <si>
    <t xml:space="preserve">RTM</t>
  </si>
  <si>
    <t xml:space="preserve">Requirements Traceability Matrix</t>
  </si>
  <si>
    <t xml:space="preserve">UAT</t>
  </si>
  <si>
    <t xml:space="preserve">User Acceptance Testing</t>
  </si>
  <si>
    <t xml:space="preserve">SOW</t>
  </si>
  <si>
    <t xml:space="preserve">Statement of Work</t>
  </si>
  <si>
    <t xml:space="preserve">RFP</t>
  </si>
  <si>
    <t xml:space="preserve">Request for Proposal</t>
  </si>
  <si>
    <t xml:space="preserve">SLA</t>
  </si>
  <si>
    <t xml:space="preserve">Service Level Agreement</t>
  </si>
  <si>
    <t xml:space="preserve">OCM</t>
  </si>
  <si>
    <t xml:space="preserve">Organizational Change Management</t>
  </si>
  <si>
    <t xml:space="preserve">FTE</t>
  </si>
  <si>
    <t xml:space="preserve">Full-Time Equivalent (one full-time person)</t>
  </si>
  <si>
    <t xml:space="preserve">NPV</t>
  </si>
  <si>
    <t xml:space="preserve">Net Present Value</t>
  </si>
  <si>
    <t xml:space="preserve">IRR</t>
  </si>
  <si>
    <t xml:space="preserve">Internal Rate of Return</t>
  </si>
  <si>
    <t xml:space="preserve">ROI</t>
  </si>
  <si>
    <t xml:space="preserve">Return on Investment</t>
  </si>
  <si>
    <t xml:space="preserve">IMS</t>
  </si>
  <si>
    <t xml:space="preserve">Integrated Master Schedule</t>
  </si>
  <si>
    <t xml:space="preserve">GRC</t>
  </si>
  <si>
    <t xml:space="preserve">Governance, Risk, and Compliance</t>
  </si>
  <si>
    <t xml:space="preserve">IAM</t>
  </si>
  <si>
    <t xml:space="preserve">Identity and Access Management</t>
  </si>
  <si>
    <t xml:space="preserve">ZTNA</t>
  </si>
  <si>
    <t xml:space="preserve">Zero Trust Network Access</t>
  </si>
  <si>
    <t xml:space="preserve">PAM</t>
  </si>
  <si>
    <t xml:space="preserve">Privileged Access Management</t>
  </si>
  <si>
    <t xml:space="preserve">SIEM</t>
  </si>
  <si>
    <t xml:space="preserve">Security Information and Event Management</t>
  </si>
  <si>
    <t xml:space="preserve">MFA</t>
  </si>
  <si>
    <t xml:space="preserve">Multi-Factor Authentication</t>
  </si>
  <si>
    <t xml:space="preserve">IdP</t>
  </si>
  <si>
    <t xml:space="preserve">Identity Provider</t>
  </si>
  <si>
    <t xml:space="preserve">VPN</t>
  </si>
  <si>
    <t xml:space="preserve">Virtual Private Network</t>
  </si>
  <si>
    <t xml:space="preserve">PCI-DSS</t>
  </si>
  <si>
    <t xml:space="preserve">Payment Card Industry Data Security Standard</t>
  </si>
  <si>
    <t xml:space="preserve">ISO</t>
  </si>
  <si>
    <t xml:space="preserve">International Organization for Standardization</t>
  </si>
  <si>
    <t xml:space="preserve">NIST</t>
  </si>
  <si>
    <t xml:space="preserve">National Institute of Standards and Technology</t>
  </si>
  <si>
    <t xml:space="preserve">Program Dashboard</t>
  </si>
  <si>
    <t xml:space="preserve">Auto-calculated rollup. RAG = Red/Amber/Green; EAC = Estimate at Completion. Refresh after updating source tabs.</t>
  </si>
  <si>
    <t xml:space="preserve">Metric</t>
  </si>
  <si>
    <t xml:space="preserve">Value</t>
  </si>
  <si>
    <t xml:space="preserve">Components Red</t>
  </si>
  <si>
    <t xml:space="preserve">Components Amber</t>
  </si>
  <si>
    <t xml:space="preserve">Components Green</t>
  </si>
  <si>
    <t xml:space="preserve">Avg component % complete</t>
  </si>
  <si>
    <t xml:space="preserve">Total funding ($)</t>
  </si>
  <si>
    <t xml:space="preserve">Total spent ($)</t>
  </si>
  <si>
    <t xml:space="preserve">Forecast at completion ($)</t>
  </si>
  <si>
    <t xml:space="preserve">Forecast variance ($)</t>
  </si>
  <si>
    <t xml:space="preserve">Benefits on track (Green)</t>
  </si>
  <si>
    <t xml:space="preserve">Avg benefit % realized</t>
  </si>
  <si>
    <t xml:space="preserve">Avg OKR attainment</t>
  </si>
  <si>
    <t xml:space="preserve">High residual risks</t>
  </si>
  <si>
    <t xml:space="preserve">Total residual risk exposure</t>
  </si>
  <si>
    <t xml:space="preserve">Milestones Red</t>
  </si>
  <si>
    <t xml:space="preserve">Milestones Amber</t>
  </si>
  <si>
    <t xml:space="preserve">Master-schedule items at risk/late</t>
  </si>
  <si>
    <t xml:space="preserve">Program Identification</t>
  </si>
  <si>
    <t xml:space="preserve">Field</t>
  </si>
  <si>
    <t xml:space="preserve">Program name</t>
  </si>
  <si>
    <t xml:space="preserve">Bristol Identity &amp; Access Program</t>
  </si>
  <si>
    <t xml:space="preserve">SRO / Sponsor (Senior Responsible Owner)</t>
  </si>
  <si>
    <t xml:space="preserve">Richard Hale (CTO)</t>
  </si>
  <si>
    <t xml:space="preserve">Program manager</t>
  </si>
  <si>
    <t xml:space="preserve">Sarah Okonkwo</t>
  </si>
  <si>
    <t xml:space="preserve">Business change manager</t>
  </si>
  <si>
    <t xml:space="preserve">Priya Nair</t>
  </si>
  <si>
    <t xml:space="preserve">Program office</t>
  </si>
  <si>
    <t xml:space="preserve">2 FTE (analyst + coordinator)</t>
  </si>
  <si>
    <t xml:space="preserve">Start</t>
  </si>
  <si>
    <t xml:space="preserve">2026-01-01</t>
  </si>
  <si>
    <t xml:space="preserve">Target close</t>
  </si>
  <si>
    <t xml:space="preserve">2027-03-31</t>
  </si>
  <si>
    <t xml:space="preserve">Tranches</t>
  </si>
  <si>
    <t xml:space="preserve">T1 Foundations, T2 Rollout, T3 Optimize</t>
  </si>
  <si>
    <t xml:space="preserve">Contingency + management reserve ($)</t>
  </si>
  <si>
    <t xml:space="preserve">Target benefits ($/yr)</t>
  </si>
  <si>
    <t xml:space="preserve">Regulatory driver</t>
  </si>
  <si>
    <t xml:space="preserve">PCI-DSS 4.0 segmentation (deadline 2027-03-31)</t>
  </si>
  <si>
    <t xml:space="preserve">Program board cadence</t>
  </si>
  <si>
    <t xml:space="preserve">Monthly (3rd Tuesday)</t>
  </si>
  <si>
    <t xml:space="preserve">Overall RAG</t>
  </si>
  <si>
    <t xml:space="preserve">Amber</t>
  </si>
  <si>
    <t xml:space="preserve">Program Roadmap</t>
  </si>
  <si>
    <t xml:space="preserve">Workstreams across tranches. RAG = Red / Amber / Green. % complete and RAG are inputs.</t>
  </si>
  <si>
    <t xml:space="preserve">Workstream</t>
  </si>
  <si>
    <t xml:space="preserve">Tranche</t>
  </si>
  <si>
    <t xml:space="preserve">End</t>
  </si>
  <si>
    <t xml:space="preserve">Key deliverables</t>
  </si>
  <si>
    <t xml:space="preserve">Owner</t>
  </si>
  <si>
    <t xml:space="preserve">% complete</t>
  </si>
  <si>
    <t xml:space="preserve">Key dependency</t>
  </si>
  <si>
    <t xml:space="preserve">IAM Foundation</t>
  </si>
  <si>
    <t xml:space="preserve">T1</t>
  </si>
  <si>
    <t xml:space="preserve">2026-01</t>
  </si>
  <si>
    <t xml:space="preserve">2026-03</t>
  </si>
  <si>
    <t xml:space="preserve">Role model, directory baseline, entitlements</t>
  </si>
  <si>
    <t xml:space="preserve">R. Singh</t>
  </si>
  <si>
    <t xml:space="preserve">Green</t>
  </si>
  <si>
    <t xml:space="preserve">-</t>
  </si>
  <si>
    <t xml:space="preserve">ZTNA Pilot</t>
  </si>
  <si>
    <t xml:space="preserve">2026-02</t>
  </si>
  <si>
    <t xml:space="preserve">2026-04</t>
  </si>
  <si>
    <t xml:space="preserve">ZPA pilot (500 seats), policy engine</t>
  </si>
  <si>
    <t xml:space="preserve">D. Mercer</t>
  </si>
  <si>
    <t xml:space="preserve">IAM role model</t>
  </si>
  <si>
    <t xml:space="preserve">ZTNA Full Rollout</t>
  </si>
  <si>
    <t xml:space="preserve">T2</t>
  </si>
  <si>
    <t xml:space="preserve">2026-05</t>
  </si>
  <si>
    <t xml:space="preserve">2026-09</t>
  </si>
  <si>
    <t xml:space="preserve">ZPA across 4,200 seats; VPN decommission</t>
  </si>
  <si>
    <t xml:space="preserve">Pilot sign-off</t>
  </si>
  <si>
    <t xml:space="preserve">PAM Windows</t>
  </si>
  <si>
    <t xml:space="preserve">2026-06</t>
  </si>
  <si>
    <t xml:space="preserve">Vault Windows privileged accounts</t>
  </si>
  <si>
    <t xml:space="preserve">J. Adeyemi</t>
  </si>
  <si>
    <t xml:space="preserve">PAM Cloud</t>
  </si>
  <si>
    <t xml:space="preserve">2026-07</t>
  </si>
  <si>
    <t xml:space="preserve">AWS / Azure privileged accounts</t>
  </si>
  <si>
    <t xml:space="preserve">AWS IAM remediation</t>
  </si>
  <si>
    <t xml:space="preserve">SIEM Uplift</t>
  </si>
  <si>
    <t xml:space="preserve">T3</t>
  </si>
  <si>
    <t xml:space="preserve">2026-10</t>
  </si>
  <si>
    <t xml:space="preserve">2027-01</t>
  </si>
  <si>
    <t xml:space="preserve">Log ingestion, detections, dashboards</t>
  </si>
  <si>
    <t xml:space="preserve">T. Bassett</t>
  </si>
  <si>
    <t xml:space="preserve">ZTNA log schema</t>
  </si>
  <si>
    <t xml:space="preserve">Legacy decommission</t>
  </si>
  <si>
    <t xml:space="preserve">2027-03</t>
  </si>
  <si>
    <t xml:space="preserve">Retire legacy VPN and AIX hosts</t>
  </si>
  <si>
    <t xml:space="preserve">IT Ops</t>
  </si>
  <si>
    <t xml:space="preserve">All cutovers complete</t>
  </si>
  <si>
    <t xml:space="preserve">Integrated Master Schedule (IMS)</t>
  </si>
  <si>
    <t xml:space="preserve">Cross-workstream milestones. Variance = forecast - planned (days). Critical path = on the longest dependent chain.</t>
  </si>
  <si>
    <t xml:space="preserve">ID</t>
  </si>
  <si>
    <t xml:space="preserve">Milestone</t>
  </si>
  <si>
    <t xml:space="preserve">Planned finish</t>
  </si>
  <si>
    <t xml:space="preserve">Forecast finish</t>
  </si>
  <si>
    <t xml:space="preserve">Variance (d)</t>
  </si>
  <si>
    <t xml:space="preserve">Predecessor</t>
  </si>
  <si>
    <t xml:space="preserve">Critical path</t>
  </si>
  <si>
    <t xml:space="preserve">Status</t>
  </si>
  <si>
    <t xml:space="preserve">MS-01</t>
  </si>
  <si>
    <t xml:space="preserve">Role model baselined</t>
  </si>
  <si>
    <t xml:space="preserve">2026-02-28</t>
  </si>
  <si>
    <t xml:space="preserve">2026-03-06</t>
  </si>
  <si>
    <t xml:space="preserve">Yes</t>
  </si>
  <si>
    <t xml:space="preserve">On track</t>
  </si>
  <si>
    <t xml:space="preserve">MS-02</t>
  </si>
  <si>
    <t xml:space="preserve">Pilot go-live (500 seats)</t>
  </si>
  <si>
    <t xml:space="preserve">2026-04-10</t>
  </si>
  <si>
    <t xml:space="preserve">2026-04-17</t>
  </si>
  <si>
    <t xml:space="preserve">At risk</t>
  </si>
  <si>
    <t xml:space="preserve">MS-03</t>
  </si>
  <si>
    <t xml:space="preserve">Windows accounts vaulted</t>
  </si>
  <si>
    <t xml:space="preserve">2026-06-30</t>
  </si>
  <si>
    <t xml:space="preserve">No</t>
  </si>
  <si>
    <t xml:space="preserve">MS-04</t>
  </si>
  <si>
    <t xml:space="preserve">ZTNA Full</t>
  </si>
  <si>
    <t xml:space="preserve">Wave 1 cutover</t>
  </si>
  <si>
    <t xml:space="preserve">2026-05-29</t>
  </si>
  <si>
    <t xml:space="preserve">2026-06-12</t>
  </si>
  <si>
    <t xml:space="preserve">MS-05</t>
  </si>
  <si>
    <t xml:space="preserve">Full estate live; VPN off</t>
  </si>
  <si>
    <t xml:space="preserve">2026-09-30</t>
  </si>
  <si>
    <t xml:space="preserve">2026-10-09</t>
  </si>
  <si>
    <t xml:space="preserve">MS-06</t>
  </si>
  <si>
    <t xml:space="preserve">AWS/Azure accounts vaulted</t>
  </si>
  <si>
    <t xml:space="preserve">MS-07</t>
  </si>
  <si>
    <t xml:space="preserve">Detections live</t>
  </si>
  <si>
    <t xml:space="preserve">2026-12-15</t>
  </si>
  <si>
    <t xml:space="preserve">MS-08</t>
  </si>
  <si>
    <t xml:space="preserve">Program</t>
  </si>
  <si>
    <t xml:space="preserve">Legacy off; program close</t>
  </si>
  <si>
    <t xml:space="preserve">MS-06,MS-07</t>
  </si>
  <si>
    <t xml:space="preserve">Program Milestones</t>
  </si>
  <si>
    <t xml:space="preserve">Variance = forecast - baseline (days). RAG = Red / Amber / Green (auto).</t>
  </si>
  <si>
    <t xml:space="preserve">Baseline date</t>
  </si>
  <si>
    <t xml:space="preserve">Forecast date</t>
  </si>
  <si>
    <t xml:space="preserve">Variance (days)</t>
  </si>
  <si>
    <t xml:space="preserve">Pilot go-live (T1)</t>
  </si>
  <si>
    <t xml:space="preserve">ZTNA Wave 1 cutover</t>
  </si>
  <si>
    <t xml:space="preserve">PAM Windows live</t>
  </si>
  <si>
    <t xml:space="preserve">ZTNA full estate (T2)</t>
  </si>
  <si>
    <t xml:space="preserve">Program close (T3)</t>
  </si>
  <si>
    <t xml:space="preserve">Component Initiatives</t>
  </si>
  <si>
    <t xml:space="preserve">Schedule variance and EAC (Estimate at Completion) roll up to the Dashboard.</t>
  </si>
  <si>
    <t xml:space="preserve">Component</t>
  </si>
  <si>
    <t xml:space="preserve">Lead</t>
  </si>
  <si>
    <t xml:space="preserve">Phase</t>
  </si>
  <si>
    <t xml:space="preserve">Planned end</t>
  </si>
  <si>
    <t xml:space="preserve">Forecast end</t>
  </si>
  <si>
    <t xml:space="preserve">Sched var (d)</t>
  </si>
  <si>
    <t xml:space="preserve">Budget ($)</t>
  </si>
  <si>
    <t xml:space="preserve">Spent ($)</t>
  </si>
  <si>
    <t xml:space="preserve">Forecast EAC ($)</t>
  </si>
  <si>
    <t xml:space="preserve">ZTNA rollout</t>
  </si>
  <si>
    <t xml:space="preserve">Execute</t>
  </si>
  <si>
    <t xml:space="preserve">2026-07-14</t>
  </si>
  <si>
    <t xml:space="preserve">PAM implementation</t>
  </si>
  <si>
    <t xml:space="preserve">Build</t>
  </si>
  <si>
    <t xml:space="preserve">SIEM / IAM uplift</t>
  </si>
  <si>
    <t xml:space="preserve">Plan</t>
  </si>
  <si>
    <t xml:space="preserve">Program total</t>
  </si>
  <si>
    <t xml:space="preserve">Tranche Plan &amp; End-of-Tranche Review</t>
  </si>
  <si>
    <t xml:space="preserve">Capabilities delivered</t>
  </si>
  <si>
    <t xml:space="preserve">Expected benefits (IDs, $/yr)</t>
  </si>
  <si>
    <t xml:space="preserve">End-of-tranche review</t>
  </si>
  <si>
    <t xml:space="preserve">Go/No-Go</t>
  </si>
  <si>
    <t xml:space="preserve">Identity baseline, ZTNA pilot, PAM Windows</t>
  </si>
  <si>
    <t xml:space="preserve">BEN-01 partial (160K)</t>
  </si>
  <si>
    <t xml:space="preserve">Go</t>
  </si>
  <si>
    <t xml:space="preserve">Complete</t>
  </si>
  <si>
    <t xml:space="preserve">Org-wide ZTNA, PAM Cloud, VPN off</t>
  </si>
  <si>
    <t xml:space="preserve">BEN-01 full (320K), BEN-02 (cloud)</t>
  </si>
  <si>
    <t xml:space="preserve">Pending</t>
  </si>
  <si>
    <t xml:space="preserve">In progress</t>
  </si>
  <si>
    <t xml:space="preserve">SIEM uplift, legacy decommission</t>
  </si>
  <si>
    <t xml:space="preserve">BEN-03 (80K), BEN-02 (full)</t>
  </si>
  <si>
    <t xml:space="preserve">2027-02-28</t>
  </si>
  <si>
    <t xml:space="preserve">Planned</t>
  </si>
  <si>
    <t xml:space="preserve">OKR = Objectives and Key Results; KPI = Key Performance Indicator. % to target = progress baseline -&gt; target.</t>
  </si>
  <si>
    <t xml:space="preserve">Objective</t>
  </si>
  <si>
    <t xml:space="preserve">Key result</t>
  </si>
  <si>
    <t xml:space="preserve">Baseline</t>
  </si>
  <si>
    <t xml:space="preserve">Target</t>
  </si>
  <si>
    <t xml:space="preserve">Current</t>
  </si>
  <si>
    <t xml:space="preserve">% to target</t>
  </si>
  <si>
    <t xml:space="preserve">Eliminate VPN remote access</t>
  </si>
  <si>
    <t xml:space="preserve">ZPA coverage of in-scope seats</t>
  </si>
  <si>
    <t xml:space="preserve">Remove standing privileged access</t>
  </si>
  <si>
    <t xml:space="preserve">Privileged accounts vaulted</t>
  </si>
  <si>
    <t xml:space="preserve">Pass PCI-DSS segmentation audit</t>
  </si>
  <si>
    <t xml:space="preserve">Required controls evidenced (%)</t>
  </si>
  <si>
    <t xml:space="preserve">CISO</t>
  </si>
  <si>
    <t xml:space="preserve">Reduce access incidents</t>
  </si>
  <si>
    <t xml:space="preserve">Incidents per quarter</t>
  </si>
  <si>
    <t xml:space="preserve">CISO office</t>
  </si>
  <si>
    <t xml:space="preserve">Operational KPIs</t>
  </si>
  <si>
    <t xml:space="preserve">Help-desk access tickets / week</t>
  </si>
  <si>
    <t xml:space="preserve">Mean time to provision access (hrs)</t>
  </si>
  <si>
    <t xml:space="preserve">ZTNA auth success rate</t>
  </si>
  <si>
    <t xml:space="preserve">99.5%</t>
  </si>
  <si>
    <t xml:space="preserve">99.1%</t>
  </si>
  <si>
    <t xml:space="preserve">Open audit findings</t>
  </si>
  <si>
    <t xml:space="preserve">Outputs / capabilities -&gt; outcomes -&gt; benefits (IDs link to Benefits tab) -&gt; strategic objectives.</t>
  </si>
  <si>
    <t xml:space="preserve">Program output / capability</t>
  </si>
  <si>
    <t xml:space="preserve">Enables outcome</t>
  </si>
  <si>
    <t xml:space="preserve">Realizes benefit (ID)</t>
  </si>
  <si>
    <t xml:space="preserve">Strategic objective</t>
  </si>
  <si>
    <t xml:space="preserve">Benefit owner</t>
  </si>
  <si>
    <t xml:space="preserve">ZTNA deployed (ZPA)</t>
  </si>
  <si>
    <t xml:space="preserve">Remote access without VPN; smaller attack surface</t>
  </si>
  <si>
    <t xml:space="preserve">BEN-01, BEN-05</t>
  </si>
  <si>
    <t xml:space="preserve">Reduce breach exposure</t>
  </si>
  <si>
    <t xml:space="preserve">Head of IT Ops</t>
  </si>
  <si>
    <t xml:space="preserve">VPN decommissioned</t>
  </si>
  <si>
    <t xml:space="preserve">Licence and maintenance savings</t>
  </si>
  <si>
    <t xml:space="preserve">BEN-01</t>
  </si>
  <si>
    <t xml:space="preserve">Cost efficiency</t>
  </si>
  <si>
    <t xml:space="preserve">IT Finance</t>
  </si>
  <si>
    <t xml:space="preserve">PAM vaulting live</t>
  </si>
  <si>
    <t xml:space="preserve">Standing privileged access removed</t>
  </si>
  <si>
    <t xml:space="preserve">BEN-02</t>
  </si>
  <si>
    <t xml:space="preserve">Reduce credential / insider risk</t>
  </si>
  <si>
    <t xml:space="preserve">Network segmentation evidenced</t>
  </si>
  <si>
    <t xml:space="preserve">PCI-DSS compliance achieved</t>
  </si>
  <si>
    <t xml:space="preserve">BEN-03, BEN-04</t>
  </si>
  <si>
    <t xml:space="preserve">Regulatory compliance</t>
  </si>
  <si>
    <t xml:space="preserve">SIEM detections live</t>
  </si>
  <si>
    <t xml:space="preserve">Faster threat detection and response</t>
  </si>
  <si>
    <t xml:space="preserve">Benefits Realization</t>
  </si>
  <si>
    <t xml:space="preserve">% realized = progress from baseline toward target. RAG = Red / Amber / Green.</t>
  </si>
  <si>
    <t xml:space="preserve">Benefit</t>
  </si>
  <si>
    <t xml:space="preserve">Type</t>
  </si>
  <si>
    <t xml:space="preserve">Owner (BAU)</t>
  </si>
  <si>
    <t xml:space="preserve">Latest</t>
  </si>
  <si>
    <t xml:space="preserve">% realized</t>
  </si>
  <si>
    <t xml:space="preserve">Measurement method</t>
  </si>
  <si>
    <t xml:space="preserve">Next measure</t>
  </si>
  <si>
    <t xml:space="preserve">Standing privileged accounts</t>
  </si>
  <si>
    <t xml:space="preserve">Risk reduction</t>
  </si>
  <si>
    <t xml:space="preserve">CyberArk vault report</t>
  </si>
  <si>
    <t xml:space="preserve">VPN licence savings ($/yr)</t>
  </si>
  <si>
    <t xml:space="preserve">Cashable</t>
  </si>
  <si>
    <t xml:space="preserve">Finance ledger</t>
  </si>
  <si>
    <t xml:space="preserve">2026-12-31</t>
  </si>
  <si>
    <t xml:space="preserve">Access incidents / yr</t>
  </si>
  <si>
    <t xml:space="preserve">SIEM incident count</t>
  </si>
  <si>
    <t xml:space="preserve">Audit cost ($/yr)</t>
  </si>
  <si>
    <t xml:space="preserve">Finance</t>
  </si>
  <si>
    <t xml:space="preserve">Audit invoices</t>
  </si>
  <si>
    <t xml:space="preserve">Program-Level RAID</t>
  </si>
  <si>
    <t xml:space="preserve">RAID = Risks, Assumptions, Issues, Dependencies. Cross-component items only. Score = P x I (risks).</t>
  </si>
  <si>
    <t xml:space="preserve">Description</t>
  </si>
  <si>
    <t xml:space="preserve">P</t>
  </si>
  <si>
    <t xml:space="preserve">I</t>
  </si>
  <si>
    <t xml:space="preserve">Score</t>
  </si>
  <si>
    <t xml:space="preserve">Due</t>
  </si>
  <si>
    <t xml:space="preserve">Date raised</t>
  </si>
  <si>
    <t xml:space="preserve">PR-1</t>
  </si>
  <si>
    <t xml:space="preserve">Risk</t>
  </si>
  <si>
    <t xml:space="preserve">Shared identity team over-allocated across ZTNA + PAM</t>
  </si>
  <si>
    <t xml:space="preserve">2026-05-15</t>
  </si>
  <si>
    <t xml:space="preserve">Mitigating</t>
  </si>
  <si>
    <t xml:space="preserve">2026-02-10</t>
  </si>
  <si>
    <t xml:space="preserve">PR-2</t>
  </si>
  <si>
    <t xml:space="preserve">SIEM detections delayed if ZTNA log schema slips</t>
  </si>
  <si>
    <t xml:space="preserve">TPM C</t>
  </si>
  <si>
    <t xml:space="preserve">2026-08-01</t>
  </si>
  <si>
    <t xml:space="preserve">Open</t>
  </si>
  <si>
    <t xml:space="preserve">2026-03-01</t>
  </si>
  <si>
    <t xml:space="preserve">PA-1</t>
  </si>
  <si>
    <t xml:space="preserve">Assumption</t>
  </si>
  <si>
    <t xml:space="preserve">SIEM log schema stable from ZTNA by Aug</t>
  </si>
  <si>
    <t xml:space="preserve">2026-07-01</t>
  </si>
  <si>
    <t xml:space="preserve">PI-1</t>
  </si>
  <si>
    <t xml:space="preserve">Issue</t>
  </si>
  <si>
    <t xml:space="preserve">Contractor onboarding delays in PAM Cloud</t>
  </si>
  <si>
    <t xml:space="preserve">2026-07-15</t>
  </si>
  <si>
    <t xml:space="preserve">2026-06-20</t>
  </si>
  <si>
    <t xml:space="preserve">PD-1</t>
  </si>
  <si>
    <t xml:space="preserve">Dependency</t>
  </si>
  <si>
    <t xml:space="preserve">SIEM uplift depends on ZTNA log feeds</t>
  </si>
  <si>
    <t xml:space="preserve">Program Risk (Aggregated)</t>
  </si>
  <si>
    <t xml:space="preserve">Score = Probability x Impact (P x I, 1-5 each). Residual = after response. Band feeds the Dashboard.</t>
  </si>
  <si>
    <t xml:space="preserve">Program risk</t>
  </si>
  <si>
    <t xml:space="preserve">Source</t>
  </si>
  <si>
    <t xml:space="preserve">Inherent</t>
  </si>
  <si>
    <t xml:space="preserve">Response</t>
  </si>
  <si>
    <t xml:space="preserve">Res P</t>
  </si>
  <si>
    <t xml:space="preserve">Res I</t>
  </si>
  <si>
    <t xml:space="preserve">Residual</t>
  </si>
  <si>
    <t xml:space="preserve">Band</t>
  </si>
  <si>
    <t xml:space="preserve">Trigger</t>
  </si>
  <si>
    <t xml:space="preserve">PRISK-1</t>
  </si>
  <si>
    <t xml:space="preserve">Identity-skill bottleneck across components</t>
  </si>
  <si>
    <t xml:space="preserve">Aggregated</t>
  </si>
  <si>
    <t xml:space="preserve">Contract specialist; re-sequence</t>
  </si>
  <si>
    <t xml:space="preserve">Util &gt;90% 2 wks</t>
  </si>
  <si>
    <t xml:space="preserve">PRISK-2</t>
  </si>
  <si>
    <t xml:space="preserve">Benefit shortfall if adoption &lt; 80%</t>
  </si>
  <si>
    <t xml:space="preserve">Strategic</t>
  </si>
  <si>
    <t xml:space="preserve">OCM reinforcement; adoption KPIs</t>
  </si>
  <si>
    <t xml:space="preserve">Bus Change</t>
  </si>
  <si>
    <t xml:space="preserve">Adoption &lt;70% at M+1</t>
  </si>
  <si>
    <t xml:space="preserve">2026-10-01</t>
  </si>
  <si>
    <t xml:space="preserve">PRISK-3</t>
  </si>
  <si>
    <t xml:space="preserve">SIEM depends on ZTNA log schema</t>
  </si>
  <si>
    <t xml:space="preserve">Cross-component</t>
  </si>
  <si>
    <t xml:space="preserve">Lock schema in T2 design</t>
  </si>
  <si>
    <t xml:space="preserve">Schema change after freeze</t>
  </si>
  <si>
    <t xml:space="preserve">Total residual exposure</t>
  </si>
  <si>
    <t xml:space="preserve">Cross-Component Dependencies</t>
  </si>
  <si>
    <t xml:space="preserve">Float = days of slack before it hits the critical path.</t>
  </si>
  <si>
    <t xml:space="preserve">From</t>
  </si>
  <si>
    <t xml:space="preserve">To</t>
  </si>
  <si>
    <t xml:space="preserve">Deliverable</t>
  </si>
  <si>
    <t xml:space="preserve">Needed by</t>
  </si>
  <si>
    <t xml:space="preserve">Criticality</t>
  </si>
  <si>
    <t xml:space="preserve">Float (d)</t>
  </si>
  <si>
    <t xml:space="preserve">XD-1</t>
  </si>
  <si>
    <t xml:space="preserve">Internal</t>
  </si>
  <si>
    <t xml:space="preserve">SIEM uplift</t>
  </si>
  <si>
    <t xml:space="preserve">Log schema + feeds</t>
  </si>
  <si>
    <t xml:space="preserve">High</t>
  </si>
  <si>
    <t xml:space="preserve">XD-2</t>
  </si>
  <si>
    <t xml:space="preserve">Privileged account inventory</t>
  </si>
  <si>
    <t xml:space="preserve">2026-03-15</t>
  </si>
  <si>
    <t xml:space="preserve">Medium</t>
  </si>
  <si>
    <t xml:space="preserve">XD-3</t>
  </si>
  <si>
    <t xml:space="preserve">Role model + entitlements</t>
  </si>
  <si>
    <t xml:space="preserve">2026-04-30</t>
  </si>
  <si>
    <t xml:space="preserve">XD-4</t>
  </si>
  <si>
    <t xml:space="preserve">External</t>
  </si>
  <si>
    <t xml:space="preserve">Cloud vendor (AWS)</t>
  </si>
  <si>
    <t xml:space="preserve">IAM remediation tooling access</t>
  </si>
  <si>
    <t xml:space="preserve">Demand and supply in FTE (Full-Time Equivalent). Peak gap = peak quarterly demand - supply; SHORT if positive.</t>
  </si>
  <si>
    <t xml:space="preserve">Skill / team</t>
  </si>
  <si>
    <t xml:space="preserve">Supply (FTE)</t>
  </si>
  <si>
    <t xml:space="preserve">Q1 demand</t>
  </si>
  <si>
    <t xml:space="preserve">Q2 demand</t>
  </si>
  <si>
    <t xml:space="preserve">Q3 demand</t>
  </si>
  <si>
    <t xml:space="preserve">Q4 demand</t>
  </si>
  <si>
    <t xml:space="preserve">Peak</t>
  </si>
  <si>
    <t xml:space="preserve">Gap</t>
  </si>
  <si>
    <t xml:space="preserve">Flag</t>
  </si>
  <si>
    <t xml:space="preserve">Identity specialists</t>
  </si>
  <si>
    <t xml:space="preserve">Security engineering</t>
  </si>
  <si>
    <t xml:space="preserve">OCM / change</t>
  </si>
  <si>
    <t xml:space="preserve">PAM engineers</t>
  </si>
  <si>
    <t xml:space="preserve">Program Stakeholder Map</t>
  </si>
  <si>
    <t xml:space="preserve">Gap = current vs target engagement.</t>
  </si>
  <si>
    <t xml:space="preserve">Stakeholder</t>
  </si>
  <si>
    <t xml:space="preserve">Group</t>
  </si>
  <si>
    <t xml:space="preserve">Influence</t>
  </si>
  <si>
    <t xml:space="preserve">Interest</t>
  </si>
  <si>
    <t xml:space="preserve">Current engagement</t>
  </si>
  <si>
    <t xml:space="preserve">Target engagement</t>
  </si>
  <si>
    <t xml:space="preserve">Engagement approach</t>
  </si>
  <si>
    <t xml:space="preserve">Action owner</t>
  </si>
  <si>
    <t xml:space="preserve">Richard Hale</t>
  </si>
  <si>
    <t xml:space="preserve">SRO / CTO</t>
  </si>
  <si>
    <t xml:space="preserve">Leading</t>
  </si>
  <si>
    <t xml:space="preserve">Co-lead steering; monthly 1:1</t>
  </si>
  <si>
    <t xml:space="preserve">CFO delegate</t>
  </si>
  <si>
    <t xml:space="preserve">Supportive</t>
  </si>
  <si>
    <t xml:space="preserve">Monthly finance review; ROI updates</t>
  </si>
  <si>
    <t xml:space="preserve">Head of Retail Ops</t>
  </si>
  <si>
    <t xml:space="preserve">Business</t>
  </si>
  <si>
    <t xml:space="preserve">Low</t>
  </si>
  <si>
    <t xml:space="preserve">Neutral</t>
  </si>
  <si>
    <t xml:space="preserve">Sponsor-led; show branch impact</t>
  </si>
  <si>
    <t xml:space="preserve">Sponsor</t>
  </si>
  <si>
    <t xml:space="preserve">Security</t>
  </si>
  <si>
    <t xml:space="preserve">Embedded in design authority</t>
  </si>
  <si>
    <t xml:space="preserve">Works council / staff reps</t>
  </si>
  <si>
    <t xml:space="preserve">Workforce</t>
  </si>
  <si>
    <t xml:space="preserve">OCM briefings; address access concerns</t>
  </si>
  <si>
    <t xml:space="preserve">Program RACI &amp; Governance</t>
  </si>
  <si>
    <t xml:space="preserve">RACI = Responsible, Accountable, Consulted, Informed. One A per row.</t>
  </si>
  <si>
    <t xml:space="preserve">Decision / activity</t>
  </si>
  <si>
    <t xml:space="preserve">Component PMs</t>
  </si>
  <si>
    <t xml:space="preserve">Business Change</t>
  </si>
  <si>
    <t xml:space="preserve">Approve program business case / funding</t>
  </si>
  <si>
    <t xml:space="preserve">A</t>
  </si>
  <si>
    <t xml:space="preserve">R</t>
  </si>
  <si>
    <t xml:space="preserve">C</t>
  </si>
  <si>
    <t xml:space="preserve">Approve tranche go / no-go</t>
  </si>
  <si>
    <t xml:space="preserve">Accept program-level risk</t>
  </si>
  <si>
    <t xml:space="preserve">Approve change above contingency</t>
  </si>
  <si>
    <t xml:space="preserve">Approve benefits baseline &amp; targets</t>
  </si>
  <si>
    <t xml:space="preserve">Approve component go-live</t>
  </si>
  <si>
    <t xml:space="preserve">Approve operating-model / BAU handover</t>
  </si>
  <si>
    <t xml:space="preserve">Governance forums</t>
  </si>
  <si>
    <t xml:space="preserve">Forum</t>
  </si>
  <si>
    <t xml:space="preserve">Cadence</t>
  </si>
  <si>
    <t xml:space="preserve">Chair</t>
  </si>
  <si>
    <t xml:space="preserve">Members</t>
  </si>
  <si>
    <t xml:space="preserve">Mandate / decisions</t>
  </si>
  <si>
    <t xml:space="preserve">Program Board</t>
  </si>
  <si>
    <t xml:space="preserve">Monthly</t>
  </si>
  <si>
    <t xml:space="preserve">SRO, PgM, CISO, Finance, Business Change</t>
  </si>
  <si>
    <t xml:space="preserve">Strategy, funding, tranche go/no-go, escalations</t>
  </si>
  <si>
    <t xml:space="preserve">Program Delivery Sync</t>
  </si>
  <si>
    <t xml:space="preserve">Weekly</t>
  </si>
  <si>
    <t xml:space="preserve">PgM, component PMs</t>
  </si>
  <si>
    <t xml:space="preserve">Cross-component delivery, dependencies, RAID</t>
  </si>
  <si>
    <t xml:space="preserve">Design Authority</t>
  </si>
  <si>
    <t xml:space="preserve">Biweekly</t>
  </si>
  <si>
    <t xml:space="preserve">Lead Architect</t>
  </si>
  <si>
    <t xml:space="preserve">Architects, security, ops</t>
  </si>
  <si>
    <t xml:space="preserve">Technical standards and design decisions</t>
  </si>
  <si>
    <t xml:space="preserve">As needed</t>
  </si>
  <si>
    <t xml:space="preserve">PgM, Finance, CISO</t>
  </si>
  <si>
    <t xml:space="preserve">Changes above threshold; baseline updates</t>
  </si>
  <si>
    <t xml:space="preserve">Program Decisions &amp; Changes</t>
  </si>
  <si>
    <t xml:space="preserve">Decision / change</t>
  </si>
  <si>
    <t xml:space="preserve">Rationale</t>
  </si>
  <si>
    <t xml:space="preserve">Impact</t>
  </si>
  <si>
    <t xml:space="preserve">Authority</t>
  </si>
  <si>
    <t xml:space="preserve">Date</t>
  </si>
  <si>
    <t xml:space="preserve">PD-3</t>
  </si>
  <si>
    <t xml:space="preserve">Decision</t>
  </si>
  <si>
    <t xml:space="preserve">Defer SIEM uplift to H2</t>
  </si>
  <si>
    <t xml:space="preserve">Identity-skill capacity in H1</t>
  </si>
  <si>
    <t xml:space="preserve">T3 start moves to Oct 2026</t>
  </si>
  <si>
    <t xml:space="preserve">2026-04-15</t>
  </si>
  <si>
    <t xml:space="preserve">Closed</t>
  </si>
  <si>
    <t xml:space="preserve">PC-2</t>
  </si>
  <si>
    <t xml:space="preserve">Change</t>
  </si>
  <si>
    <t xml:space="preserve">Add EMEA to T2 scope</t>
  </si>
  <si>
    <t xml:space="preserve">Audit deadline covers EMEA</t>
  </si>
  <si>
    <t xml:space="preserve">+GBP 180K, +3 wks</t>
  </si>
  <si>
    <t xml:space="preserve">2026-05-20</t>
  </si>
  <si>
    <t xml:space="preserve">Approved</t>
  </si>
  <si>
    <t xml:space="preserve">PD-5</t>
  </si>
  <si>
    <t xml:space="preserve">Retain legacy VPN 30 days post-cutover</t>
  </si>
  <si>
    <t xml:space="preserve">De-risk ZTNA cutover</t>
  </si>
  <si>
    <t xml:space="preserve">Dual-run cost ~GBP 8K</t>
  </si>
  <si>
    <t xml:space="preserve">2026-06-02</t>
  </si>
  <si>
    <t xml:space="preserve">Program Financials</t>
  </si>
  <si>
    <t xml:space="preserve">Variance = funding - forecast (EAC = Estimate at Completion). Reserves tracked separately.</t>
  </si>
  <si>
    <t xml:space="preserve">Line</t>
  </si>
  <si>
    <t xml:space="preserve">Funding ($)</t>
  </si>
  <si>
    <t xml:space="preserve">Committed ($)</t>
  </si>
  <si>
    <t xml:space="preserve">Variance ($)</t>
  </si>
  <si>
    <t xml:space="preserve">% spent</t>
  </si>
  <si>
    <t xml:space="preserve">Contingency reserve</t>
  </si>
  <si>
    <t xml:space="preserve">Management reserve</t>
  </si>
  <si>
    <t xml:space="preserve">TOTAL</t>
  </si>
  <si>
    <t xml:space="preserve">Phase-Gate / Assurance Log</t>
  </si>
  <si>
    <t xml:space="preserve">Decision = Go / Conditional / No-Go.</t>
  </si>
  <si>
    <t xml:space="preserve">Gate</t>
  </si>
  <si>
    <t xml:space="preserve">Scheduled</t>
  </si>
  <si>
    <t xml:space="preserve">Entry criteria met</t>
  </si>
  <si>
    <t xml:space="preserve">Exit criteria met</t>
  </si>
  <si>
    <t xml:space="preserve">Conditions</t>
  </si>
  <si>
    <t xml:space="preserve">Conditions closed</t>
  </si>
  <si>
    <t xml:space="preserve">G1 Initiate-&gt;Plan</t>
  </si>
  <si>
    <t xml:space="preserve">2026-01-20</t>
  </si>
  <si>
    <t xml:space="preserve">CFO</t>
  </si>
  <si>
    <t xml:space="preserve">G2 Plan-&gt;Execute</t>
  </si>
  <si>
    <t xml:space="preserve">Conditional</t>
  </si>
  <si>
    <t xml:space="preserve">Legacy app discovery complete</t>
  </si>
  <si>
    <t xml:space="preserve">2026-03-28</t>
  </si>
  <si>
    <t xml:space="preserve">G3 Mid-program review</t>
  </si>
  <si>
    <t xml:space="preserve">G4 -&gt;Close</t>
  </si>
  <si>
    <t xml:space="preserve">2027-02-15</t>
  </si>
  <si>
    <t xml:space="preserve">Program Lessons Learned</t>
  </si>
  <si>
    <t xml:space="preserve">Category</t>
  </si>
  <si>
    <t xml:space="preserve">What happened</t>
  </si>
  <si>
    <t xml:space="preserve">Recommendation</t>
  </si>
  <si>
    <t xml:space="preserve">Target date</t>
  </si>
  <si>
    <t xml:space="preserve">PL-1</t>
  </si>
  <si>
    <t xml:space="preserve">Vendor / tooling</t>
  </si>
  <si>
    <t xml:space="preserve">Legacy OS (AIX) agent gaps</t>
  </si>
  <si>
    <t xml:space="preserve">~19 wks delay across 3 components</t>
  </si>
  <si>
    <t xml:space="preserve">Add agent compatibility gate before baseline</t>
  </si>
  <si>
    <t xml:space="preserve">Adopted</t>
  </si>
  <si>
    <t xml:space="preserve">PL-2</t>
  </si>
  <si>
    <t xml:space="preserve">Resourcing</t>
  </si>
  <si>
    <t xml:space="preserve">Identity specialists over-allocated</t>
  </si>
  <si>
    <t xml:space="preserve">Bottleneck in T2</t>
  </si>
  <si>
    <t xml:space="preserve">Model capacity time-phased from Day 1</t>
  </si>
  <si>
    <t xml:space="preserve">2026-05-01</t>
  </si>
  <si>
    <t xml:space="preserve">PL-3</t>
  </si>
  <si>
    <t xml:space="preserve">BEN-02/05 lacked agreed baselines</t>
  </si>
  <si>
    <t xml:space="preserve">Benefits unmeasurable at start</t>
  </si>
  <si>
    <t xml:space="preserve">Confirm BAU data ownership in Blueprint</t>
  </si>
  <si>
    <t xml:space="preserve">Program Closure Checklist</t>
  </si>
  <si>
    <t xml:space="preserve">Closure item</t>
  </si>
  <si>
    <t xml:space="preserve">Evidence / reference</t>
  </si>
  <si>
    <t xml:space="preserve">All components delivered or transferred</t>
  </si>
  <si>
    <t xml:space="preserve">Component closure reports</t>
  </si>
  <si>
    <t xml:space="preserve">2027-03-15</t>
  </si>
  <si>
    <t xml:space="preserve">Benefits handed to BAU with measurement plan</t>
  </si>
  <si>
    <t xml:space="preserve">Benefits realization plan v4</t>
  </si>
  <si>
    <t xml:space="preserve">Program lessons consolidated</t>
  </si>
  <si>
    <t xml:space="preserve">Lessons register</t>
  </si>
  <si>
    <t xml:space="preserve">2027-03-20</t>
  </si>
  <si>
    <t xml:space="preserve">Financial closure / reconciliation</t>
  </si>
  <si>
    <t xml:space="preserve">Finance sign-off memo</t>
  </si>
  <si>
    <t xml:space="preserve">2027-03-25</t>
  </si>
  <si>
    <t xml:space="preserve">Assurance / sponsor sign-off</t>
  </si>
  <si>
    <t xml:space="preserve">Closure report (signed)</t>
  </si>
  <si>
    <t xml:space="preserve">Records archived; team disbanded</t>
  </si>
  <si>
    <t xml:space="preserve">Archive index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</si>
</sst>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\$#,##0"/>
    <numFmt numFmtId="16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2028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5F1E8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A2028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F1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20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s">
        <v>5</v>
      </c>
    </row>
    <row r="6" customFormat="false" ht="15" hidden="false" customHeight="false" outlineLevel="0" collapsed="false">
      <c r="A6" s="4" t="s">
        <v>6</v>
      </c>
      <c r="B6" s="4" t="s">
        <v>7</v>
      </c>
    </row>
    <row r="7" customFormat="false" ht="15" hidden="false" customHeight="false" outlineLevel="0" collapsed="false">
      <c r="A7" s="4" t="s">
        <v>8</v>
      </c>
      <c r="B7" s="4" t="s">
        <v>9</v>
      </c>
    </row>
    <row r="8" customFormat="false" ht="15" hidden="false" customHeight="false" outlineLevel="0" collapsed="false">
      <c r="A8" s="4" t="s">
        <v>10</v>
      </c>
      <c r="B8" s="4" t="s">
        <v>11</v>
      </c>
    </row>
    <row r="9" customFormat="false" ht="15" hidden="false" customHeight="false" outlineLevel="0" collapsed="false">
      <c r="A9" s="4" t="s">
        <v>12</v>
      </c>
      <c r="B9" s="4" t="s">
        <v>13</v>
      </c>
    </row>
    <row r="10" customFormat="false" ht="15" hidden="false" customHeight="false" outlineLevel="0" collapsed="false">
      <c r="A10" s="4" t="s">
        <v>14</v>
      </c>
      <c r="B10" s="4" t="s">
        <v>15</v>
      </c>
    </row>
    <row r="11" customFormat="false" ht="15" hidden="false" customHeight="false" outlineLevel="0" collapsed="false">
      <c r="A11" s="4" t="s">
        <v>16</v>
      </c>
      <c r="B11" s="4" t="s">
        <v>17</v>
      </c>
    </row>
    <row r="12" customFormat="false" ht="15" hidden="false" customHeight="false" outlineLevel="0" collapsed="false">
      <c r="A12" s="4" t="s">
        <v>18</v>
      </c>
      <c r="B12" s="4" t="s">
        <v>19</v>
      </c>
    </row>
    <row r="13" customFormat="false" ht="15" hidden="false" customHeight="false" outlineLevel="0" collapsed="false">
      <c r="A13" s="4" t="s">
        <v>20</v>
      </c>
      <c r="B13" s="4" t="s">
        <v>21</v>
      </c>
    </row>
    <row r="14" customFormat="false" ht="15" hidden="false" customHeight="false" outlineLevel="0" collapsed="false">
      <c r="A14" s="4" t="s">
        <v>22</v>
      </c>
      <c r="B14" s="4" t="s">
        <v>23</v>
      </c>
    </row>
    <row r="15" customFormat="false" ht="15" hidden="false" customHeight="false" outlineLevel="0" collapsed="false">
      <c r="A15" s="4" t="s">
        <v>24</v>
      </c>
      <c r="B15" s="4" t="s">
        <v>25</v>
      </c>
    </row>
    <row r="16" customFormat="false" ht="15" hidden="false" customHeight="false" outlineLevel="0" collapsed="false">
      <c r="A16" s="4" t="s">
        <v>26</v>
      </c>
      <c r="B16" s="4" t="s">
        <v>27</v>
      </c>
    </row>
    <row r="17" customFormat="false" ht="15" hidden="false" customHeight="false" outlineLevel="0" collapsed="false">
      <c r="A17" s="4" t="s">
        <v>28</v>
      </c>
      <c r="B17" s="4" t="s">
        <v>29</v>
      </c>
    </row>
    <row r="18" customFormat="false" ht="15" hidden="false" customHeight="false" outlineLevel="0" collapsed="false">
      <c r="A18" s="4" t="s">
        <v>30</v>
      </c>
      <c r="B18" s="4" t="s">
        <v>31</v>
      </c>
    </row>
    <row r="19" customFormat="false" ht="15" hidden="false" customHeight="false" outlineLevel="0" collapsed="false">
      <c r="A19" s="4" t="s">
        <v>32</v>
      </c>
      <c r="B19" s="4" t="s">
        <v>33</v>
      </c>
    </row>
    <row r="20" customFormat="false" ht="15" hidden="false" customHeight="false" outlineLevel="0" collapsed="false">
      <c r="A20" s="4" t="s">
        <v>34</v>
      </c>
      <c r="B20" s="4" t="s">
        <v>35</v>
      </c>
    </row>
    <row r="21" customFormat="false" ht="15" hidden="false" customHeight="false" outlineLevel="0" collapsed="false">
      <c r="A21" s="4" t="s">
        <v>36</v>
      </c>
      <c r="B21" s="4" t="s">
        <v>37</v>
      </c>
    </row>
    <row r="22" customFormat="false" ht="15" hidden="false" customHeight="false" outlineLevel="0" collapsed="false">
      <c r="A22" s="4" t="s">
        <v>38</v>
      </c>
      <c r="B22" s="4" t="s">
        <v>39</v>
      </c>
    </row>
    <row r="23" customFormat="false" ht="15" hidden="false" customHeight="false" outlineLevel="0" collapsed="false">
      <c r="A23" s="4" t="s">
        <v>40</v>
      </c>
      <c r="B23" s="4" t="s">
        <v>41</v>
      </c>
    </row>
    <row r="24" customFormat="false" ht="15" hidden="false" customHeight="false" outlineLevel="0" collapsed="false">
      <c r="A24" s="4" t="s">
        <v>42</v>
      </c>
      <c r="B24" s="4" t="s">
        <v>43</v>
      </c>
    </row>
    <row r="25" customFormat="false" ht="15" hidden="false" customHeight="false" outlineLevel="0" collapsed="false">
      <c r="A25" s="4" t="s">
        <v>44</v>
      </c>
      <c r="B25" s="4" t="s">
        <v>45</v>
      </c>
    </row>
    <row r="26" customFormat="false" ht="15" hidden="false" customHeight="false" outlineLevel="0" collapsed="false">
      <c r="A26" s="4" t="s">
        <v>46</v>
      </c>
      <c r="B26" s="4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4"/>
  </cols>
  <sheetData>
    <row r="1" customFormat="false" ht="19.7" hidden="false" customHeight="false" outlineLevel="0" collapsed="false">
      <c r="A1" s="1" t="s">
        <v>48</v>
      </c>
    </row>
    <row r="2" customFormat="false" ht="15" hidden="false" customHeight="false" outlineLevel="0" collapsed="false">
      <c r="A2" s="2" t="s">
        <v>49</v>
      </c>
    </row>
    <row r="4" customFormat="false" ht="15" hidden="false" customHeight="false" outlineLevel="0" collapsed="false">
      <c r="A4" s="3" t="s">
        <v>50</v>
      </c>
      <c r="B4" s="3" t="s">
        <v>51</v>
      </c>
    </row>
    <row r="5" customFormat="false" ht="15" hidden="false" customHeight="false" outlineLevel="0" collapsed="false">
      <c r="A5" s="4" t="s">
        <v>52</v>
      </c>
      <c r="B5" s="4" t="s">
        <v>53</v>
      </c>
    </row>
    <row r="6" customFormat="false" ht="15" hidden="false" customHeight="false" outlineLevel="0" collapsed="false">
      <c r="A6" s="4" t="s">
        <v>54</v>
      </c>
      <c r="B6" s="4" t="s">
        <v>55</v>
      </c>
    </row>
    <row r="7" customFormat="false" ht="15" hidden="false" customHeight="false" outlineLevel="0" collapsed="false">
      <c r="A7" s="4" t="s">
        <v>56</v>
      </c>
      <c r="B7" s="4" t="s">
        <v>57</v>
      </c>
    </row>
    <row r="8" customFormat="false" ht="15" hidden="false" customHeight="false" outlineLevel="0" collapsed="false">
      <c r="A8" s="4" t="s">
        <v>58</v>
      </c>
      <c r="B8" s="4" t="s">
        <v>59</v>
      </c>
    </row>
    <row r="9" customFormat="false" ht="15" hidden="false" customHeight="false" outlineLevel="0" collapsed="false">
      <c r="A9" s="4" t="s">
        <v>60</v>
      </c>
      <c r="B9" s="4" t="s">
        <v>61</v>
      </c>
    </row>
    <row r="10" customFormat="false" ht="15" hidden="false" customHeight="false" outlineLevel="0" collapsed="false">
      <c r="A10" s="4" t="s">
        <v>62</v>
      </c>
      <c r="B10" s="4" t="s">
        <v>63</v>
      </c>
    </row>
    <row r="11" customFormat="false" ht="15" hidden="false" customHeight="false" outlineLevel="0" collapsed="false">
      <c r="A11" s="4" t="s">
        <v>64</v>
      </c>
      <c r="B11" s="4" t="s">
        <v>65</v>
      </c>
    </row>
    <row r="12" customFormat="false" ht="15" hidden="false" customHeight="false" outlineLevel="0" collapsed="false">
      <c r="A12" s="4" t="s">
        <v>66</v>
      </c>
      <c r="B12" s="4" t="s">
        <v>67</v>
      </c>
    </row>
    <row r="13" customFormat="false" ht="15" hidden="false" customHeight="false" outlineLevel="0" collapsed="false">
      <c r="A13" s="4" t="s">
        <v>68</v>
      </c>
      <c r="B13" s="4" t="s">
        <v>69</v>
      </c>
    </row>
    <row r="14" customFormat="false" ht="15" hidden="false" customHeight="false" outlineLevel="0" collapsed="false">
      <c r="A14" s="4" t="s">
        <v>70</v>
      </c>
      <c r="B14" s="4" t="s">
        <v>71</v>
      </c>
    </row>
    <row r="15" customFormat="false" ht="15" hidden="false" customHeight="false" outlineLevel="0" collapsed="false">
      <c r="A15" s="4" t="s">
        <v>72</v>
      </c>
      <c r="B15" s="4" t="s">
        <v>73</v>
      </c>
    </row>
    <row r="16" customFormat="false" ht="15" hidden="false" customHeight="false" outlineLevel="0" collapsed="false">
      <c r="A16" s="4" t="s">
        <v>74</v>
      </c>
      <c r="B16" s="4" t="s">
        <v>75</v>
      </c>
    </row>
    <row r="17" customFormat="false" ht="15" hidden="false" customHeight="false" outlineLevel="0" collapsed="false">
      <c r="A17" s="4" t="s">
        <v>76</v>
      </c>
      <c r="B17" s="4" t="s">
        <v>77</v>
      </c>
    </row>
    <row r="18" customFormat="false" ht="15" hidden="false" customHeight="false" outlineLevel="0" collapsed="false">
      <c r="A18" s="4" t="s">
        <v>78</v>
      </c>
      <c r="B18" s="4" t="s">
        <v>79</v>
      </c>
    </row>
    <row r="19" customFormat="false" ht="15" hidden="false" customHeight="false" outlineLevel="0" collapsed="false">
      <c r="A19" s="4" t="s">
        <v>80</v>
      </c>
      <c r="B19" s="4" t="s">
        <v>81</v>
      </c>
    </row>
    <row r="20" customFormat="false" ht="15" hidden="false" customHeight="false" outlineLevel="0" collapsed="false">
      <c r="A20" s="4" t="s">
        <v>82</v>
      </c>
      <c r="B20" s="4" t="s">
        <v>83</v>
      </c>
    </row>
    <row r="21" customFormat="false" ht="15" hidden="false" customHeight="false" outlineLevel="0" collapsed="false">
      <c r="A21" s="4" t="s">
        <v>84</v>
      </c>
      <c r="B21" s="4" t="s">
        <v>85</v>
      </c>
    </row>
    <row r="22" customFormat="false" ht="15" hidden="false" customHeight="false" outlineLevel="0" collapsed="false">
      <c r="A22" s="4" t="s">
        <v>86</v>
      </c>
      <c r="B22" s="4" t="s">
        <v>87</v>
      </c>
    </row>
    <row r="23" customFormat="false" ht="15" hidden="false" customHeight="false" outlineLevel="0" collapsed="false">
      <c r="A23" s="4" t="s">
        <v>88</v>
      </c>
      <c r="B23" s="4" t="s">
        <v>89</v>
      </c>
    </row>
    <row r="24" customFormat="false" ht="15" hidden="false" customHeight="false" outlineLevel="0" collapsed="false">
      <c r="A24" s="4" t="s">
        <v>90</v>
      </c>
      <c r="B24" s="4" t="s">
        <v>91</v>
      </c>
    </row>
    <row r="25" customFormat="false" ht="15" hidden="false" customHeight="false" outlineLevel="0" collapsed="false">
      <c r="A25" s="4" t="s">
        <v>92</v>
      </c>
      <c r="B25" s="4" t="s">
        <v>93</v>
      </c>
    </row>
    <row r="26" customFormat="false" ht="15" hidden="false" customHeight="false" outlineLevel="0" collapsed="false">
      <c r="A26" s="4" t="s">
        <v>94</v>
      </c>
      <c r="B26" s="4" t="s">
        <v>95</v>
      </c>
    </row>
    <row r="27" customFormat="false" ht="15" hidden="false" customHeight="false" outlineLevel="0" collapsed="false">
      <c r="A27" s="4" t="s">
        <v>96</v>
      </c>
      <c r="B27" s="4" t="s">
        <v>97</v>
      </c>
    </row>
    <row r="28" customFormat="false" ht="15" hidden="false" customHeight="false" outlineLevel="0" collapsed="false">
      <c r="A28" s="4" t="s">
        <v>98</v>
      </c>
      <c r="B28" s="4" t="s">
        <v>99</v>
      </c>
    </row>
    <row r="29" customFormat="false" ht="15" hidden="false" customHeight="false" outlineLevel="0" collapsed="false">
      <c r="A29" s="4" t="s">
        <v>100</v>
      </c>
      <c r="B29" s="4" t="s">
        <v>101</v>
      </c>
    </row>
    <row r="30" customFormat="false" ht="15" hidden="false" customHeight="false" outlineLevel="0" collapsed="false">
      <c r="A30" s="4" t="s">
        <v>102</v>
      </c>
      <c r="B30" s="4" t="s">
        <v>103</v>
      </c>
    </row>
    <row r="31" customFormat="false" ht="15" hidden="false" customHeight="false" outlineLevel="0" collapsed="false">
      <c r="A31" s="4" t="s">
        <v>104</v>
      </c>
      <c r="B31" s="4" t="s">
        <v>105</v>
      </c>
    </row>
    <row r="32" customFormat="false" ht="15" hidden="false" customHeight="false" outlineLevel="0" collapsed="false">
      <c r="A32" s="4" t="s">
        <v>106</v>
      </c>
      <c r="B32" s="4" t="s">
        <v>107</v>
      </c>
    </row>
    <row r="33" customFormat="false" ht="15" hidden="false" customHeight="false" outlineLevel="0" collapsed="false">
      <c r="A33" s="4" t="s">
        <v>108</v>
      </c>
      <c r="B33" s="4" t="s">
        <v>109</v>
      </c>
    </row>
    <row r="34" customFormat="false" ht="15" hidden="false" customHeight="false" outlineLevel="0" collapsed="false">
      <c r="A34" s="4" t="s">
        <v>110</v>
      </c>
      <c r="B34" s="4" t="s">
        <v>111</v>
      </c>
    </row>
    <row r="35" customFormat="false" ht="15" hidden="false" customHeight="false" outlineLevel="0" collapsed="false">
      <c r="A35" s="4" t="s">
        <v>112</v>
      </c>
      <c r="B35" s="4" t="s">
        <v>113</v>
      </c>
    </row>
    <row r="36" customFormat="false" ht="15" hidden="false" customHeight="false" outlineLevel="0" collapsed="false">
      <c r="A36" s="4" t="s">
        <v>114</v>
      </c>
      <c r="B36" s="4" t="s">
        <v>115</v>
      </c>
    </row>
    <row r="37" customFormat="false" ht="15" hidden="false" customHeight="false" outlineLevel="0" collapsed="false">
      <c r="A37" s="4" t="s">
        <v>116</v>
      </c>
      <c r="B37" s="4" t="s">
        <v>117</v>
      </c>
    </row>
    <row r="38" customFormat="false" ht="15" hidden="false" customHeight="false" outlineLevel="0" collapsed="false">
      <c r="A38" s="4" t="s">
        <v>118</v>
      </c>
      <c r="B38" s="4" t="s">
        <v>119</v>
      </c>
    </row>
    <row r="39" customFormat="false" ht="15" hidden="false" customHeight="false" outlineLevel="0" collapsed="false">
      <c r="A39" s="4" t="s">
        <v>120</v>
      </c>
      <c r="B39" s="4" t="s">
        <v>121</v>
      </c>
    </row>
    <row r="40" customFormat="false" ht="15" hidden="false" customHeight="false" outlineLevel="0" collapsed="false">
      <c r="A40" s="4" t="s">
        <v>122</v>
      </c>
      <c r="B40" s="4" t="s">
        <v>123</v>
      </c>
    </row>
    <row r="41" customFormat="false" ht="15" hidden="false" customHeight="false" outlineLevel="0" collapsed="false">
      <c r="A41" s="4" t="s">
        <v>124</v>
      </c>
      <c r="B41" s="4" t="s">
        <v>125</v>
      </c>
    </row>
    <row r="42" customFormat="false" ht="15" hidden="false" customHeight="false" outlineLevel="0" collapsed="false">
      <c r="A42" s="4" t="s">
        <v>126</v>
      </c>
      <c r="B42" s="4" t="s">
        <v>127</v>
      </c>
    </row>
    <row r="43" customFormat="false" ht="15" hidden="false" customHeight="false" outlineLevel="0" collapsed="false">
      <c r="A43" s="4" t="s">
        <v>128</v>
      </c>
      <c r="B43" s="4" t="s">
        <v>129</v>
      </c>
    </row>
    <row r="44" customFormat="false" ht="15" hidden="false" customHeight="false" outlineLevel="0" collapsed="false">
      <c r="A44" s="4" t="s">
        <v>130</v>
      </c>
      <c r="B44" s="4" t="s">
        <v>131</v>
      </c>
    </row>
    <row r="45" customFormat="false" ht="15" hidden="false" customHeight="false" outlineLevel="0" collapsed="false">
      <c r="A45" s="4" t="s">
        <v>132</v>
      </c>
      <c r="B45" s="4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0"/>
  </cols>
  <sheetData>
    <row r="1" customFormat="false" ht="19.7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4" customFormat="false" ht="15" hidden="false" customHeight="false" outlineLevel="0" collapsed="false">
      <c r="A4" s="3" t="s">
        <v>136</v>
      </c>
      <c r="B4" s="3" t="s">
        <v>137</v>
      </c>
    </row>
    <row r="5" customFormat="false" ht="15" hidden="false" customHeight="false" outlineLevel="0" collapsed="false">
      <c r="A5" s="4" t="s">
        <v>138</v>
      </c>
      <c r="B5" s="4" t="n">
        <f aca="false">COUNTIF(Components!D5:D7,"Red")</f>
        <v>0</v>
      </c>
    </row>
    <row r="6" customFormat="false" ht="15" hidden="false" customHeight="false" outlineLevel="0" collapsed="false">
      <c r="A6" s="4" t="s">
        <v>139</v>
      </c>
      <c r="B6" s="4" t="n">
        <f aca="false">COUNTIF(Components!D5:D7,"Amber")</f>
        <v>1</v>
      </c>
    </row>
    <row r="7" customFormat="false" ht="15" hidden="false" customHeight="false" outlineLevel="0" collapsed="false">
      <c r="A7" s="4" t="s">
        <v>140</v>
      </c>
      <c r="B7" s="4" t="n">
        <f aca="false">COUNTIF(Components!D5:D7,"Green")</f>
        <v>2</v>
      </c>
    </row>
    <row r="8" customFormat="false" ht="15" hidden="false" customHeight="false" outlineLevel="0" collapsed="false">
      <c r="A8" s="4" t="s">
        <v>141</v>
      </c>
      <c r="B8" s="5" t="n">
        <f aca="false">IFERROR(AVERAGE(Components!E5:E7),0)</f>
        <v>35</v>
      </c>
    </row>
    <row r="9" customFormat="false" ht="15" hidden="false" customHeight="false" outlineLevel="0" collapsed="false">
      <c r="A9" s="4" t="s">
        <v>142</v>
      </c>
      <c r="B9" s="6" t="n">
        <f aca="false">SUM(Financials!B5:B10)</f>
        <v>5100000</v>
      </c>
    </row>
    <row r="10" customFormat="false" ht="15" hidden="false" customHeight="false" outlineLevel="0" collapsed="false">
      <c r="A10" s="4" t="s">
        <v>143</v>
      </c>
      <c r="B10" s="6" t="n">
        <f aca="false">SUM(Financials!D5:D10)</f>
        <v>1720000</v>
      </c>
    </row>
    <row r="11" customFormat="false" ht="15" hidden="false" customHeight="false" outlineLevel="0" collapsed="false">
      <c r="A11" s="4" t="s">
        <v>144</v>
      </c>
      <c r="B11" s="6" t="n">
        <f aca="false">SUM(Financials!E5:E10)</f>
        <v>5160000</v>
      </c>
    </row>
    <row r="12" customFormat="false" ht="15" hidden="false" customHeight="false" outlineLevel="0" collapsed="false">
      <c r="A12" s="4" t="s">
        <v>145</v>
      </c>
      <c r="B12" s="6" t="n">
        <f aca="false">SUM(Financials!B5:B10)-SUM(Financials!E5:E10)</f>
        <v>-60000</v>
      </c>
    </row>
    <row r="13" customFormat="false" ht="15" hidden="false" customHeight="false" outlineLevel="0" collapsed="false">
      <c r="A13" s="4" t="s">
        <v>146</v>
      </c>
      <c r="B13" s="4" t="n">
        <f aca="false">COUNTIF(Benefits!J5:J8,"Green")</f>
        <v>2</v>
      </c>
    </row>
    <row r="14" customFormat="false" ht="15" hidden="false" customHeight="false" outlineLevel="0" collapsed="false">
      <c r="A14" s="4" t="s">
        <v>147</v>
      </c>
      <c r="B14" s="5" t="n">
        <f aca="false">IFERROR(AVERAGE(Benefits!G5:G8),0)</f>
        <v>0.866041599279146</v>
      </c>
    </row>
    <row r="15" customFormat="false" ht="15" hidden="false" customHeight="false" outlineLevel="0" collapsed="false">
      <c r="A15" s="4" t="s">
        <v>148</v>
      </c>
      <c r="B15" s="5" t="n">
        <f aca="false">IFERROR(AVERAGE('Program OKRs &amp; KPIs'!F5:F8),0)</f>
        <v>0.577586055497015</v>
      </c>
    </row>
    <row r="16" customFormat="false" ht="15" hidden="false" customHeight="false" outlineLevel="0" collapsed="false">
      <c r="A16" s="4" t="s">
        <v>149</v>
      </c>
      <c r="B16" s="4" t="n">
        <f aca="false">COUNTIF('Program Risk'!L5:L7,"High")</f>
        <v>0</v>
      </c>
    </row>
    <row r="17" customFormat="false" ht="15" hidden="false" customHeight="false" outlineLevel="0" collapsed="false">
      <c r="A17" s="4" t="s">
        <v>150</v>
      </c>
      <c r="B17" s="4" t="n">
        <f aca="false">SUM('Program Risk'!K5:K7)</f>
        <v>18</v>
      </c>
    </row>
    <row r="18" customFormat="false" ht="15" hidden="false" customHeight="false" outlineLevel="0" collapsed="false">
      <c r="A18" s="4" t="s">
        <v>151</v>
      </c>
      <c r="B18" s="4" t="n">
        <f aca="false">COUNTIF(Milestones!E5:E9,"Red")</f>
        <v>0</v>
      </c>
    </row>
    <row r="19" customFormat="false" ht="15" hidden="false" customHeight="false" outlineLevel="0" collapsed="false">
      <c r="A19" s="4" t="s">
        <v>152</v>
      </c>
      <c r="B19" s="4" t="n">
        <f aca="false">COUNTIF(Milestones!E5:E9,"Amber")</f>
        <v>3</v>
      </c>
    </row>
    <row r="20" customFormat="false" ht="15" hidden="false" customHeight="false" outlineLevel="0" collapsed="false">
      <c r="A20" s="4" t="s">
        <v>153</v>
      </c>
      <c r="B20" s="4" t="n">
        <f aca="false">COUNTIF('Master Schedule'!I5:I12,"At risk")+COUNTIF('Master Schedule'!I5:I12,"Late")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</cols>
  <sheetData>
    <row r="1" customFormat="false" ht="19.7" hidden="false" customHeight="false" outlineLevel="0" collapsed="false">
      <c r="A1" s="1" t="s">
        <v>154</v>
      </c>
    </row>
    <row r="4" customFormat="false" ht="15" hidden="false" customHeight="false" outlineLevel="0" collapsed="false">
      <c r="A4" s="3" t="s">
        <v>155</v>
      </c>
      <c r="B4" s="3" t="s">
        <v>137</v>
      </c>
    </row>
    <row r="5" customFormat="false" ht="15" hidden="false" customHeight="false" outlineLevel="0" collapsed="false">
      <c r="A5" s="4" t="s">
        <v>156</v>
      </c>
      <c r="B5" s="7" t="s">
        <v>157</v>
      </c>
    </row>
    <row r="6" customFormat="false" ht="26.85" hidden="false" customHeight="false" outlineLevel="0" collapsed="false">
      <c r="A6" s="4" t="s">
        <v>158</v>
      </c>
      <c r="B6" s="7" t="s">
        <v>159</v>
      </c>
    </row>
    <row r="7" customFormat="false" ht="15" hidden="false" customHeight="false" outlineLevel="0" collapsed="false">
      <c r="A7" s="4" t="s">
        <v>160</v>
      </c>
      <c r="B7" s="7" t="s">
        <v>161</v>
      </c>
    </row>
    <row r="8" customFormat="false" ht="15" hidden="false" customHeight="false" outlineLevel="0" collapsed="false">
      <c r="A8" s="4" t="s">
        <v>162</v>
      </c>
      <c r="B8" s="7" t="s">
        <v>163</v>
      </c>
    </row>
    <row r="9" customFormat="false" ht="15" hidden="false" customHeight="false" outlineLevel="0" collapsed="false">
      <c r="A9" s="4" t="s">
        <v>164</v>
      </c>
      <c r="B9" s="7" t="s">
        <v>165</v>
      </c>
    </row>
    <row r="10" customFormat="false" ht="15" hidden="false" customHeight="false" outlineLevel="0" collapsed="false">
      <c r="A10" s="4" t="s">
        <v>166</v>
      </c>
      <c r="B10" s="7" t="s">
        <v>167</v>
      </c>
    </row>
    <row r="11" customFormat="false" ht="15" hidden="false" customHeight="false" outlineLevel="0" collapsed="false">
      <c r="A11" s="4" t="s">
        <v>168</v>
      </c>
      <c r="B11" s="7" t="s">
        <v>169</v>
      </c>
    </row>
    <row r="12" customFormat="false" ht="15" hidden="false" customHeight="false" outlineLevel="0" collapsed="false">
      <c r="A12" s="4" t="s">
        <v>170</v>
      </c>
      <c r="B12" s="7" t="s">
        <v>171</v>
      </c>
    </row>
    <row r="13" customFormat="false" ht="15" hidden="false" customHeight="false" outlineLevel="0" collapsed="false">
      <c r="A13" s="4" t="s">
        <v>142</v>
      </c>
      <c r="B13" s="7" t="n">
        <v>6400000</v>
      </c>
    </row>
    <row r="14" customFormat="false" ht="15" hidden="false" customHeight="false" outlineLevel="0" collapsed="false">
      <c r="A14" s="4" t="s">
        <v>172</v>
      </c>
      <c r="B14" s="7" t="n">
        <v>300000</v>
      </c>
    </row>
    <row r="15" customFormat="false" ht="15" hidden="false" customHeight="false" outlineLevel="0" collapsed="false">
      <c r="A15" s="4" t="s">
        <v>173</v>
      </c>
      <c r="B15" s="7" t="n">
        <v>1210000</v>
      </c>
    </row>
    <row r="16" customFormat="false" ht="26.85" hidden="false" customHeight="false" outlineLevel="0" collapsed="false">
      <c r="A16" s="4" t="s">
        <v>174</v>
      </c>
      <c r="B16" s="7" t="s">
        <v>175</v>
      </c>
    </row>
    <row r="17" customFormat="false" ht="15" hidden="false" customHeight="false" outlineLevel="0" collapsed="false">
      <c r="A17" s="4" t="s">
        <v>176</v>
      </c>
      <c r="B17" s="7" t="s">
        <v>177</v>
      </c>
    </row>
    <row r="18" customFormat="false" ht="15" hidden="false" customHeight="false" outlineLevel="0" collapsed="false">
      <c r="A18" s="4" t="s">
        <v>178</v>
      </c>
      <c r="B18" s="7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4" min="3" style="0" width="9"/>
    <col collapsed="false" customWidth="true" hidden="false" outlineLevel="0" max="5" min="5" style="0" width="34"/>
    <col collapsed="false" customWidth="true" hidden="false" outlineLevel="0" max="7" min="6" style="0" width="11"/>
    <col collapsed="false" customWidth="true" hidden="false" outlineLevel="0" max="8" min="8" style="0" width="8"/>
    <col collapsed="false" customWidth="true" hidden="false" outlineLevel="0" max="9" min="9" style="0" width="22"/>
  </cols>
  <sheetData>
    <row r="1" customFormat="false" ht="19.7" hidden="false" customHeight="false" outlineLevel="0" collapsed="false">
      <c r="A1" s="1" t="s">
        <v>180</v>
      </c>
    </row>
    <row r="2" customFormat="false" ht="15" hidden="false" customHeight="false" outlineLevel="0" collapsed="false">
      <c r="A2" s="2" t="s">
        <v>181</v>
      </c>
    </row>
    <row r="4" customFormat="false" ht="26.85" hidden="false" customHeight="false" outlineLevel="0" collapsed="false">
      <c r="A4" s="3" t="s">
        <v>182</v>
      </c>
      <c r="B4" s="3" t="s">
        <v>183</v>
      </c>
      <c r="C4" s="3" t="s">
        <v>166</v>
      </c>
      <c r="D4" s="3" t="s">
        <v>184</v>
      </c>
      <c r="E4" s="3" t="s">
        <v>185</v>
      </c>
      <c r="F4" s="3" t="s">
        <v>186</v>
      </c>
      <c r="G4" s="3" t="s">
        <v>187</v>
      </c>
      <c r="H4" s="3" t="s">
        <v>62</v>
      </c>
      <c r="I4" s="3" t="s">
        <v>188</v>
      </c>
    </row>
    <row r="5" customFormat="false" ht="26.85" hidden="false" customHeight="false" outlineLevel="0" collapsed="false">
      <c r="A5" s="4" t="s">
        <v>189</v>
      </c>
      <c r="B5" s="4" t="s">
        <v>190</v>
      </c>
      <c r="C5" s="4" t="s">
        <v>191</v>
      </c>
      <c r="D5" s="4" t="s">
        <v>192</v>
      </c>
      <c r="E5" s="4" t="s">
        <v>193</v>
      </c>
      <c r="F5" s="4" t="s">
        <v>194</v>
      </c>
      <c r="G5" s="8" t="n">
        <v>80</v>
      </c>
      <c r="H5" s="7" t="s">
        <v>195</v>
      </c>
      <c r="I5" s="4" t="s">
        <v>196</v>
      </c>
    </row>
    <row r="6" customFormat="false" ht="15" hidden="false" customHeight="false" outlineLevel="0" collapsed="false">
      <c r="A6" s="4" t="s">
        <v>197</v>
      </c>
      <c r="B6" s="4" t="s">
        <v>190</v>
      </c>
      <c r="C6" s="4" t="s">
        <v>198</v>
      </c>
      <c r="D6" s="4" t="s">
        <v>199</v>
      </c>
      <c r="E6" s="4" t="s">
        <v>200</v>
      </c>
      <c r="F6" s="4" t="s">
        <v>201</v>
      </c>
      <c r="G6" s="8" t="n">
        <v>70</v>
      </c>
      <c r="H6" s="7" t="s">
        <v>179</v>
      </c>
      <c r="I6" s="4" t="s">
        <v>202</v>
      </c>
    </row>
    <row r="7" customFormat="false" ht="26.85" hidden="false" customHeight="false" outlineLevel="0" collapsed="false">
      <c r="A7" s="4" t="s">
        <v>203</v>
      </c>
      <c r="B7" s="4" t="s">
        <v>204</v>
      </c>
      <c r="C7" s="4" t="s">
        <v>205</v>
      </c>
      <c r="D7" s="4" t="s">
        <v>206</v>
      </c>
      <c r="E7" s="4" t="s">
        <v>207</v>
      </c>
      <c r="F7" s="4" t="s">
        <v>201</v>
      </c>
      <c r="G7" s="8" t="n">
        <v>30</v>
      </c>
      <c r="H7" s="7" t="s">
        <v>179</v>
      </c>
      <c r="I7" s="4" t="s">
        <v>208</v>
      </c>
    </row>
    <row r="8" customFormat="false" ht="15" hidden="false" customHeight="false" outlineLevel="0" collapsed="false">
      <c r="A8" s="4" t="s">
        <v>209</v>
      </c>
      <c r="B8" s="4" t="s">
        <v>190</v>
      </c>
      <c r="C8" s="4" t="s">
        <v>199</v>
      </c>
      <c r="D8" s="4" t="s">
        <v>210</v>
      </c>
      <c r="E8" s="4" t="s">
        <v>211</v>
      </c>
      <c r="F8" s="4" t="s">
        <v>212</v>
      </c>
      <c r="G8" s="8" t="n">
        <v>40</v>
      </c>
      <c r="H8" s="7" t="s">
        <v>195</v>
      </c>
      <c r="I8" s="4" t="s">
        <v>196</v>
      </c>
    </row>
    <row r="9" customFormat="false" ht="15" hidden="false" customHeight="false" outlineLevel="0" collapsed="false">
      <c r="A9" s="4" t="s">
        <v>213</v>
      </c>
      <c r="B9" s="4" t="s">
        <v>204</v>
      </c>
      <c r="C9" s="4" t="s">
        <v>214</v>
      </c>
      <c r="D9" s="4" t="s">
        <v>206</v>
      </c>
      <c r="E9" s="4" t="s">
        <v>215</v>
      </c>
      <c r="F9" s="4" t="s">
        <v>212</v>
      </c>
      <c r="G9" s="8" t="n">
        <v>10</v>
      </c>
      <c r="H9" s="7" t="s">
        <v>195</v>
      </c>
      <c r="I9" s="4" t="s">
        <v>216</v>
      </c>
    </row>
    <row r="10" customFormat="false" ht="26.85" hidden="false" customHeight="false" outlineLevel="0" collapsed="false">
      <c r="A10" s="4" t="s">
        <v>217</v>
      </c>
      <c r="B10" s="4" t="s">
        <v>218</v>
      </c>
      <c r="C10" s="4" t="s">
        <v>219</v>
      </c>
      <c r="D10" s="4" t="s">
        <v>220</v>
      </c>
      <c r="E10" s="4" t="s">
        <v>221</v>
      </c>
      <c r="F10" s="4" t="s">
        <v>222</v>
      </c>
      <c r="G10" s="8" t="n">
        <v>5</v>
      </c>
      <c r="H10" s="7" t="s">
        <v>195</v>
      </c>
      <c r="I10" s="4" t="s">
        <v>223</v>
      </c>
    </row>
    <row r="11" customFormat="false" ht="26.85" hidden="false" customHeight="false" outlineLevel="0" collapsed="false">
      <c r="A11" s="4" t="s">
        <v>224</v>
      </c>
      <c r="B11" s="4" t="s">
        <v>218</v>
      </c>
      <c r="C11" s="4" t="s">
        <v>220</v>
      </c>
      <c r="D11" s="4" t="s">
        <v>225</v>
      </c>
      <c r="E11" s="4" t="s">
        <v>226</v>
      </c>
      <c r="F11" s="4" t="s">
        <v>227</v>
      </c>
      <c r="G11" s="8" t="n">
        <v>0</v>
      </c>
      <c r="H11" s="7" t="s">
        <v>195</v>
      </c>
      <c r="I11" s="4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4"/>
    <col collapsed="false" customWidth="true" hidden="false" outlineLevel="0" max="7" min="6" style="0" width="11"/>
    <col collapsed="false" customWidth="true" hidden="false" outlineLevel="0" max="8" min="8" style="0" width="12"/>
    <col collapsed="false" customWidth="true" hidden="false" outlineLevel="0" max="9" min="9" style="0" width="11"/>
  </cols>
  <sheetData>
    <row r="1" customFormat="false" ht="19.7" hidden="false" customHeight="false" outlineLevel="0" collapsed="false">
      <c r="A1" s="1" t="s">
        <v>229</v>
      </c>
    </row>
    <row r="2" customFormat="false" ht="15" hidden="false" customHeight="false" outlineLevel="0" collapsed="false">
      <c r="A2" s="2" t="s">
        <v>230</v>
      </c>
    </row>
    <row r="4" customFormat="false" ht="26.85" hidden="false" customHeight="false" outlineLevel="0" collapsed="false">
      <c r="A4" s="3" t="s">
        <v>231</v>
      </c>
      <c r="B4" s="3" t="s">
        <v>182</v>
      </c>
      <c r="C4" s="3" t="s">
        <v>232</v>
      </c>
      <c r="D4" s="3" t="s">
        <v>233</v>
      </c>
      <c r="E4" s="3" t="s">
        <v>234</v>
      </c>
      <c r="F4" s="3" t="s">
        <v>235</v>
      </c>
      <c r="G4" s="3" t="s">
        <v>236</v>
      </c>
      <c r="H4" s="3" t="s">
        <v>237</v>
      </c>
      <c r="I4" s="3" t="s">
        <v>238</v>
      </c>
    </row>
    <row r="5" customFormat="false" ht="15" hidden="false" customHeight="false" outlineLevel="0" collapsed="false">
      <c r="A5" s="4" t="s">
        <v>239</v>
      </c>
      <c r="B5" s="4" t="s">
        <v>189</v>
      </c>
      <c r="C5" s="4" t="s">
        <v>240</v>
      </c>
      <c r="D5" s="7" t="s">
        <v>241</v>
      </c>
      <c r="E5" s="7" t="s">
        <v>242</v>
      </c>
      <c r="F5" s="4" t="n">
        <f aca="false">E5-D5</f>
        <v>6</v>
      </c>
      <c r="G5" s="4" t="s">
        <v>196</v>
      </c>
      <c r="H5" s="4" t="s">
        <v>243</v>
      </c>
      <c r="I5" s="4" t="s">
        <v>244</v>
      </c>
    </row>
    <row r="6" customFormat="false" ht="15" hidden="false" customHeight="false" outlineLevel="0" collapsed="false">
      <c r="A6" s="4" t="s">
        <v>245</v>
      </c>
      <c r="B6" s="4" t="s">
        <v>197</v>
      </c>
      <c r="C6" s="4" t="s">
        <v>246</v>
      </c>
      <c r="D6" s="7" t="s">
        <v>247</v>
      </c>
      <c r="E6" s="7" t="s">
        <v>248</v>
      </c>
      <c r="F6" s="4" t="n">
        <f aca="false">E6-D6</f>
        <v>7</v>
      </c>
      <c r="G6" s="4" t="s">
        <v>239</v>
      </c>
      <c r="H6" s="4" t="s">
        <v>243</v>
      </c>
      <c r="I6" s="4" t="s">
        <v>249</v>
      </c>
    </row>
    <row r="7" customFormat="false" ht="15" hidden="false" customHeight="false" outlineLevel="0" collapsed="false">
      <c r="A7" s="4" t="s">
        <v>250</v>
      </c>
      <c r="B7" s="4" t="s">
        <v>209</v>
      </c>
      <c r="C7" s="4" t="s">
        <v>251</v>
      </c>
      <c r="D7" s="7" t="s">
        <v>252</v>
      </c>
      <c r="E7" s="7" t="s">
        <v>252</v>
      </c>
      <c r="F7" s="4" t="n">
        <f aca="false">E7-D7</f>
        <v>0</v>
      </c>
      <c r="G7" s="4" t="s">
        <v>239</v>
      </c>
      <c r="H7" s="4" t="s">
        <v>253</v>
      </c>
      <c r="I7" s="4" t="s">
        <v>244</v>
      </c>
    </row>
    <row r="8" customFormat="false" ht="15" hidden="false" customHeight="false" outlineLevel="0" collapsed="false">
      <c r="A8" s="4" t="s">
        <v>254</v>
      </c>
      <c r="B8" s="4" t="s">
        <v>255</v>
      </c>
      <c r="C8" s="4" t="s">
        <v>256</v>
      </c>
      <c r="D8" s="7" t="s">
        <v>257</v>
      </c>
      <c r="E8" s="7" t="s">
        <v>258</v>
      </c>
      <c r="F8" s="4" t="n">
        <f aca="false">E8-D8</f>
        <v>14</v>
      </c>
      <c r="G8" s="4" t="s">
        <v>245</v>
      </c>
      <c r="H8" s="4" t="s">
        <v>243</v>
      </c>
      <c r="I8" s="4" t="s">
        <v>249</v>
      </c>
    </row>
    <row r="9" customFormat="false" ht="15" hidden="false" customHeight="false" outlineLevel="0" collapsed="false">
      <c r="A9" s="4" t="s">
        <v>259</v>
      </c>
      <c r="B9" s="4" t="s">
        <v>255</v>
      </c>
      <c r="C9" s="4" t="s">
        <v>260</v>
      </c>
      <c r="D9" s="7" t="s">
        <v>261</v>
      </c>
      <c r="E9" s="7" t="s">
        <v>262</v>
      </c>
      <c r="F9" s="4" t="n">
        <f aca="false">E9-D9</f>
        <v>9</v>
      </c>
      <c r="G9" s="4" t="s">
        <v>254</v>
      </c>
      <c r="H9" s="4" t="s">
        <v>243</v>
      </c>
      <c r="I9" s="4" t="s">
        <v>244</v>
      </c>
    </row>
    <row r="10" customFormat="false" ht="15" hidden="false" customHeight="false" outlineLevel="0" collapsed="false">
      <c r="A10" s="4" t="s">
        <v>263</v>
      </c>
      <c r="B10" s="4" t="s">
        <v>213</v>
      </c>
      <c r="C10" s="4" t="s">
        <v>264</v>
      </c>
      <c r="D10" s="7" t="s">
        <v>261</v>
      </c>
      <c r="E10" s="7" t="s">
        <v>261</v>
      </c>
      <c r="F10" s="4" t="n">
        <f aca="false">E10-D10</f>
        <v>0</v>
      </c>
      <c r="G10" s="4" t="s">
        <v>250</v>
      </c>
      <c r="H10" s="4" t="s">
        <v>253</v>
      </c>
      <c r="I10" s="4" t="s">
        <v>244</v>
      </c>
    </row>
    <row r="11" customFormat="false" ht="15" hidden="false" customHeight="false" outlineLevel="0" collapsed="false">
      <c r="A11" s="4" t="s">
        <v>265</v>
      </c>
      <c r="B11" s="4" t="s">
        <v>217</v>
      </c>
      <c r="C11" s="4" t="s">
        <v>266</v>
      </c>
      <c r="D11" s="7" t="s">
        <v>267</v>
      </c>
      <c r="E11" s="7" t="s">
        <v>267</v>
      </c>
      <c r="F11" s="4" t="n">
        <f aca="false">E11-D11</f>
        <v>0</v>
      </c>
      <c r="G11" s="4" t="s">
        <v>259</v>
      </c>
      <c r="H11" s="4" t="s">
        <v>253</v>
      </c>
      <c r="I11" s="4" t="s">
        <v>244</v>
      </c>
    </row>
    <row r="12" customFormat="false" ht="26.85" hidden="false" customHeight="false" outlineLevel="0" collapsed="false">
      <c r="A12" s="4" t="s">
        <v>268</v>
      </c>
      <c r="B12" s="4" t="s">
        <v>269</v>
      </c>
      <c r="C12" s="4" t="s">
        <v>270</v>
      </c>
      <c r="D12" s="7" t="s">
        <v>169</v>
      </c>
      <c r="E12" s="7" t="s">
        <v>169</v>
      </c>
      <c r="F12" s="4" t="n">
        <f aca="false">E12-D12</f>
        <v>0</v>
      </c>
      <c r="G12" s="4" t="s">
        <v>271</v>
      </c>
      <c r="H12" s="4" t="s">
        <v>243</v>
      </c>
      <c r="I12" s="4" t="s">
        <v>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5"/>
    <col collapsed="false" customWidth="true" hidden="false" outlineLevel="0" max="5" min="5" style="0" width="9"/>
  </cols>
  <sheetData>
    <row r="1" customFormat="false" ht="19.7" hidden="false" customHeight="false" outlineLevel="0" collapsed="false">
      <c r="A1" s="1" t="s">
        <v>272</v>
      </c>
    </row>
    <row r="2" customFormat="false" ht="15" hidden="false" customHeight="false" outlineLevel="0" collapsed="false">
      <c r="A2" s="2" t="s">
        <v>273</v>
      </c>
    </row>
    <row r="4" customFormat="false" ht="26.85" hidden="false" customHeight="false" outlineLevel="0" collapsed="false">
      <c r="A4" s="3" t="s">
        <v>232</v>
      </c>
      <c r="B4" s="3" t="s">
        <v>274</v>
      </c>
      <c r="C4" s="3" t="s">
        <v>275</v>
      </c>
      <c r="D4" s="3" t="s">
        <v>276</v>
      </c>
      <c r="E4" s="3" t="s">
        <v>62</v>
      </c>
    </row>
    <row r="5" customFormat="false" ht="15" hidden="false" customHeight="false" outlineLevel="0" collapsed="false">
      <c r="A5" s="4" t="s">
        <v>277</v>
      </c>
      <c r="B5" s="7" t="s">
        <v>247</v>
      </c>
      <c r="C5" s="7" t="s">
        <v>248</v>
      </c>
      <c r="D5" s="4" t="n">
        <f aca="false">C5-B5</f>
        <v>7</v>
      </c>
      <c r="E5" s="4" t="str">
        <f aca="false">IF(D5&lt;=5,"Green",IF(D5&lt;=14,"Amber","Red"))</f>
        <v>Amber</v>
      </c>
    </row>
    <row r="6" customFormat="false" ht="15" hidden="false" customHeight="false" outlineLevel="0" collapsed="false">
      <c r="A6" s="4" t="s">
        <v>278</v>
      </c>
      <c r="B6" s="7" t="s">
        <v>257</v>
      </c>
      <c r="C6" s="7" t="s">
        <v>258</v>
      </c>
      <c r="D6" s="4" t="n">
        <f aca="false">C6-B6</f>
        <v>14</v>
      </c>
      <c r="E6" s="4" t="str">
        <f aca="false">IF(D6&lt;=5,"Green",IF(D6&lt;=14,"Amber","Red"))</f>
        <v>Amber</v>
      </c>
    </row>
    <row r="7" customFormat="false" ht="15" hidden="false" customHeight="false" outlineLevel="0" collapsed="false">
      <c r="A7" s="4" t="s">
        <v>279</v>
      </c>
      <c r="B7" s="7" t="s">
        <v>252</v>
      </c>
      <c r="C7" s="7" t="s">
        <v>252</v>
      </c>
      <c r="D7" s="4" t="n">
        <f aca="false">C7-B7</f>
        <v>0</v>
      </c>
      <c r="E7" s="4" t="str">
        <f aca="false">IF(D7&lt;=5,"Green",IF(D7&lt;=14,"Amber","Red"))</f>
        <v>Green</v>
      </c>
    </row>
    <row r="8" customFormat="false" ht="15" hidden="false" customHeight="false" outlineLevel="0" collapsed="false">
      <c r="A8" s="4" t="s">
        <v>280</v>
      </c>
      <c r="B8" s="7" t="s">
        <v>261</v>
      </c>
      <c r="C8" s="7" t="s">
        <v>262</v>
      </c>
      <c r="D8" s="4" t="n">
        <f aca="false">C8-B8</f>
        <v>9</v>
      </c>
      <c r="E8" s="4" t="str">
        <f aca="false">IF(D8&lt;=5,"Green",IF(D8&lt;=14,"Amber","Red"))</f>
        <v>Amber</v>
      </c>
    </row>
    <row r="9" customFormat="false" ht="15" hidden="false" customHeight="false" outlineLevel="0" collapsed="false">
      <c r="A9" s="4" t="s">
        <v>281</v>
      </c>
      <c r="B9" s="7" t="s">
        <v>169</v>
      </c>
      <c r="C9" s="7" t="s">
        <v>169</v>
      </c>
      <c r="D9" s="4" t="n">
        <f aca="false">C9-B9</f>
        <v>0</v>
      </c>
      <c r="E9" s="4" t="str">
        <f aca="false">IF(D9&lt;=5,"Green",IF(D9&lt;=14,"Amber","Red"))</f>
        <v>Green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15"/>
  </cols>
  <sheetData>
    <row r="1" customFormat="false" ht="19.7" hidden="false" customHeight="false" outlineLevel="0" collapsed="false">
      <c r="A1" s="1" t="s">
        <v>282</v>
      </c>
    </row>
    <row r="2" customFormat="false" ht="15" hidden="false" customHeight="false" outlineLevel="0" collapsed="false">
      <c r="A2" s="2" t="s">
        <v>283</v>
      </c>
    </row>
    <row r="4" customFormat="false" ht="26.85" hidden="false" customHeight="false" outlineLevel="0" collapsed="false">
      <c r="A4" s="3" t="s">
        <v>284</v>
      </c>
      <c r="B4" s="3" t="s">
        <v>285</v>
      </c>
      <c r="C4" s="3" t="s">
        <v>286</v>
      </c>
      <c r="D4" s="3" t="s">
        <v>62</v>
      </c>
      <c r="E4" s="3" t="s">
        <v>187</v>
      </c>
      <c r="F4" s="3" t="s">
        <v>287</v>
      </c>
      <c r="G4" s="3" t="s">
        <v>288</v>
      </c>
      <c r="H4" s="3" t="s">
        <v>289</v>
      </c>
      <c r="I4" s="3" t="s">
        <v>290</v>
      </c>
      <c r="J4" s="3" t="s">
        <v>291</v>
      </c>
      <c r="K4" s="3" t="s">
        <v>292</v>
      </c>
    </row>
    <row r="5" customFormat="false" ht="15" hidden="false" customHeight="false" outlineLevel="0" collapsed="false">
      <c r="A5" s="4" t="s">
        <v>293</v>
      </c>
      <c r="B5" s="4" t="s">
        <v>201</v>
      </c>
      <c r="C5" s="4" t="s">
        <v>294</v>
      </c>
      <c r="D5" s="7" t="s">
        <v>179</v>
      </c>
      <c r="E5" s="8" t="n">
        <v>55</v>
      </c>
      <c r="F5" s="7" t="s">
        <v>252</v>
      </c>
      <c r="G5" s="7" t="s">
        <v>295</v>
      </c>
      <c r="H5" s="4" t="n">
        <f aca="false">G5-F5</f>
        <v>14</v>
      </c>
      <c r="I5" s="7" t="n">
        <v>2400000</v>
      </c>
      <c r="J5" s="7" t="n">
        <v>1080000</v>
      </c>
      <c r="K5" s="7" t="n">
        <v>2460000</v>
      </c>
    </row>
    <row r="6" customFormat="false" ht="15" hidden="false" customHeight="false" outlineLevel="0" collapsed="false">
      <c r="A6" s="4" t="s">
        <v>296</v>
      </c>
      <c r="B6" s="4" t="s">
        <v>212</v>
      </c>
      <c r="C6" s="4" t="s">
        <v>297</v>
      </c>
      <c r="D6" s="7" t="s">
        <v>195</v>
      </c>
      <c r="E6" s="8" t="n">
        <v>40</v>
      </c>
      <c r="F6" s="7" t="s">
        <v>261</v>
      </c>
      <c r="G6" s="7" t="s">
        <v>261</v>
      </c>
      <c r="H6" s="4" t="n">
        <f aca="false">G6-F6</f>
        <v>0</v>
      </c>
      <c r="I6" s="7" t="n">
        <v>900000</v>
      </c>
      <c r="J6" s="7" t="n">
        <v>360000</v>
      </c>
      <c r="K6" s="7" t="n">
        <v>900000</v>
      </c>
    </row>
    <row r="7" customFormat="false" ht="15" hidden="false" customHeight="false" outlineLevel="0" collapsed="false">
      <c r="A7" s="4" t="s">
        <v>298</v>
      </c>
      <c r="B7" s="4" t="s">
        <v>222</v>
      </c>
      <c r="C7" s="4" t="s">
        <v>299</v>
      </c>
      <c r="D7" s="7" t="s">
        <v>195</v>
      </c>
      <c r="E7" s="8" t="n">
        <v>10</v>
      </c>
      <c r="F7" s="7" t="s">
        <v>267</v>
      </c>
      <c r="G7" s="7" t="s">
        <v>267</v>
      </c>
      <c r="H7" s="4" t="n">
        <f aca="false">G7-F7</f>
        <v>0</v>
      </c>
      <c r="I7" s="7" t="n">
        <v>1200000</v>
      </c>
      <c r="J7" s="7" t="n">
        <v>90000</v>
      </c>
      <c r="K7" s="7" t="n">
        <v>1200000</v>
      </c>
    </row>
    <row r="8" customFormat="false" ht="15" hidden="false" customHeight="false" outlineLevel="0" collapsed="false">
      <c r="A8" s="9" t="s">
        <v>300</v>
      </c>
      <c r="E8" s="9" t="n">
        <f aca="false">IFERROR(AVERAGE(E5:E7),0)</f>
        <v>35</v>
      </c>
      <c r="I8" s="10" t="n">
        <f aca="false">SUM(I5:I7)</f>
        <v>4500000</v>
      </c>
      <c r="J8" s="10" t="n">
        <f aca="false">SUM(J5:J7)</f>
        <v>1530000</v>
      </c>
      <c r="K8" s="10" t="n">
        <f aca="false">SUM(K5:K7)</f>
        <v>4560000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9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2"/>
  </cols>
  <sheetData>
    <row r="1" customFormat="false" ht="19.7" hidden="false" customHeight="false" outlineLevel="0" collapsed="false">
      <c r="A1" s="1" t="s">
        <v>301</v>
      </c>
    </row>
    <row r="4" customFormat="false" ht="26.85" hidden="false" customHeight="false" outlineLevel="0" collapsed="false">
      <c r="A4" s="3" t="s">
        <v>183</v>
      </c>
      <c r="B4" s="3" t="s">
        <v>166</v>
      </c>
      <c r="C4" s="3" t="s">
        <v>184</v>
      </c>
      <c r="D4" s="3" t="s">
        <v>302</v>
      </c>
      <c r="E4" s="3" t="s">
        <v>303</v>
      </c>
      <c r="F4" s="3" t="s">
        <v>304</v>
      </c>
      <c r="G4" s="3" t="s">
        <v>305</v>
      </c>
      <c r="H4" s="3" t="s">
        <v>238</v>
      </c>
    </row>
    <row r="5" customFormat="false" ht="26.85" hidden="false" customHeight="false" outlineLevel="0" collapsed="false">
      <c r="A5" s="4" t="s">
        <v>190</v>
      </c>
      <c r="B5" s="4" t="s">
        <v>191</v>
      </c>
      <c r="C5" s="4" t="s">
        <v>210</v>
      </c>
      <c r="D5" s="4" t="s">
        <v>306</v>
      </c>
      <c r="E5" s="4" t="s">
        <v>307</v>
      </c>
      <c r="F5" s="4" t="s">
        <v>252</v>
      </c>
      <c r="G5" s="4" t="s">
        <v>308</v>
      </c>
      <c r="H5" s="4" t="s">
        <v>309</v>
      </c>
    </row>
    <row r="6" customFormat="false" ht="26.85" hidden="false" customHeight="false" outlineLevel="0" collapsed="false">
      <c r="A6" s="4" t="s">
        <v>204</v>
      </c>
      <c r="B6" s="4" t="s">
        <v>214</v>
      </c>
      <c r="C6" s="4" t="s">
        <v>206</v>
      </c>
      <c r="D6" s="4" t="s">
        <v>310</v>
      </c>
      <c r="E6" s="4" t="s">
        <v>311</v>
      </c>
      <c r="F6" s="4" t="s">
        <v>261</v>
      </c>
      <c r="G6" s="4" t="s">
        <v>312</v>
      </c>
      <c r="H6" s="4" t="s">
        <v>313</v>
      </c>
    </row>
    <row r="7" customFormat="false" ht="26.85" hidden="false" customHeight="false" outlineLevel="0" collapsed="false">
      <c r="A7" s="4" t="s">
        <v>218</v>
      </c>
      <c r="B7" s="4" t="s">
        <v>219</v>
      </c>
      <c r="C7" s="4" t="s">
        <v>225</v>
      </c>
      <c r="D7" s="4" t="s">
        <v>314</v>
      </c>
      <c r="E7" s="4" t="s">
        <v>315</v>
      </c>
      <c r="F7" s="4" t="s">
        <v>316</v>
      </c>
      <c r="G7" s="4" t="s">
        <v>312</v>
      </c>
      <c r="H7" s="4" t="s">
        <v>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0"/>
    <col collapsed="false" customWidth="true" hidden="false" outlineLevel="0" max="5" min="4" style="0" width="9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19.7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318</v>
      </c>
    </row>
    <row r="4" customFormat="false" ht="26.85" hidden="false" customHeight="false" outlineLevel="0" collapsed="false">
      <c r="A4" s="3" t="s">
        <v>319</v>
      </c>
      <c r="B4" s="3" t="s">
        <v>320</v>
      </c>
      <c r="C4" s="3" t="s">
        <v>321</v>
      </c>
      <c r="D4" s="3" t="s">
        <v>322</v>
      </c>
      <c r="E4" s="3" t="s">
        <v>323</v>
      </c>
      <c r="F4" s="3" t="s">
        <v>324</v>
      </c>
      <c r="G4" s="3" t="s">
        <v>186</v>
      </c>
      <c r="H4" s="3" t="s">
        <v>238</v>
      </c>
    </row>
    <row r="5" customFormat="false" ht="26.85" hidden="false" customHeight="false" outlineLevel="0" collapsed="false">
      <c r="A5" s="4" t="s">
        <v>325</v>
      </c>
      <c r="B5" s="4" t="s">
        <v>326</v>
      </c>
      <c r="C5" s="7" t="n">
        <v>0</v>
      </c>
      <c r="D5" s="7" t="n">
        <v>4200</v>
      </c>
      <c r="E5" s="7" t="n">
        <v>2310</v>
      </c>
      <c r="F5" s="5" t="n">
        <f aca="false">IFERROR((E5-C5)/(D5-C5),0)</f>
        <v>0.55</v>
      </c>
      <c r="G5" s="4" t="s">
        <v>201</v>
      </c>
      <c r="H5" s="4" t="s">
        <v>244</v>
      </c>
    </row>
    <row r="6" customFormat="false" ht="26.85" hidden="false" customHeight="false" outlineLevel="0" collapsed="false">
      <c r="A6" s="4" t="s">
        <v>327</v>
      </c>
      <c r="B6" s="4" t="s">
        <v>328</v>
      </c>
      <c r="C6" s="7" t="n">
        <v>0</v>
      </c>
      <c r="D6" s="7" t="n">
        <v>2847</v>
      </c>
      <c r="E6" s="7" t="n">
        <v>1880</v>
      </c>
      <c r="F6" s="5" t="n">
        <f aca="false">IFERROR((E6-C6)/(D6-C6),0)</f>
        <v>0.660344221988058</v>
      </c>
      <c r="G6" s="4" t="s">
        <v>212</v>
      </c>
      <c r="H6" s="4" t="s">
        <v>244</v>
      </c>
    </row>
    <row r="7" customFormat="false" ht="26.85" hidden="false" customHeight="false" outlineLevel="0" collapsed="false">
      <c r="A7" s="4" t="s">
        <v>329</v>
      </c>
      <c r="B7" s="4" t="s">
        <v>330</v>
      </c>
      <c r="C7" s="7" t="n">
        <v>0</v>
      </c>
      <c r="D7" s="7" t="n">
        <v>100</v>
      </c>
      <c r="E7" s="7" t="n">
        <v>60</v>
      </c>
      <c r="F7" s="5" t="n">
        <f aca="false">IFERROR((E7-C7)/(D7-C7),0)</f>
        <v>0.6</v>
      </c>
      <c r="G7" s="4" t="s">
        <v>331</v>
      </c>
      <c r="H7" s="4" t="s">
        <v>249</v>
      </c>
    </row>
    <row r="8" customFormat="false" ht="15" hidden="false" customHeight="false" outlineLevel="0" collapsed="false">
      <c r="A8" s="4" t="s">
        <v>332</v>
      </c>
      <c r="B8" s="4" t="s">
        <v>333</v>
      </c>
      <c r="C8" s="7" t="n">
        <v>32</v>
      </c>
      <c r="D8" s="7" t="n">
        <v>12</v>
      </c>
      <c r="E8" s="7" t="n">
        <v>22</v>
      </c>
      <c r="F8" s="5" t="n">
        <f aca="false">IFERROR((E8-C8)/(D8-C8),0)</f>
        <v>0.5</v>
      </c>
      <c r="G8" s="4" t="s">
        <v>334</v>
      </c>
      <c r="H8" s="4" t="s">
        <v>244</v>
      </c>
    </row>
    <row r="10" customFormat="false" ht="15" hidden="false" customHeight="false" outlineLevel="0" collapsed="false">
      <c r="A10" s="9" t="s">
        <v>335</v>
      </c>
    </row>
    <row r="11" customFormat="false" ht="15" hidden="false" customHeight="false" outlineLevel="0" collapsed="false">
      <c r="A11" s="3" t="s">
        <v>72</v>
      </c>
      <c r="B11" s="3" t="s">
        <v>322</v>
      </c>
      <c r="C11" s="3" t="s">
        <v>323</v>
      </c>
      <c r="D11" s="3" t="s">
        <v>238</v>
      </c>
    </row>
    <row r="12" customFormat="false" ht="26.85" hidden="false" customHeight="false" outlineLevel="0" collapsed="false">
      <c r="A12" s="4" t="s">
        <v>336</v>
      </c>
      <c r="B12" s="4" t="n">
        <v>40</v>
      </c>
      <c r="C12" s="4" t="n">
        <v>58</v>
      </c>
      <c r="D12" s="4" t="s">
        <v>179</v>
      </c>
    </row>
    <row r="13" customFormat="false" ht="26.85" hidden="false" customHeight="false" outlineLevel="0" collapsed="false">
      <c r="A13" s="4" t="s">
        <v>337</v>
      </c>
      <c r="B13" s="4" t="n">
        <v>2</v>
      </c>
      <c r="C13" s="4" t="n">
        <v>3.5</v>
      </c>
      <c r="D13" s="4" t="s">
        <v>179</v>
      </c>
    </row>
    <row r="14" customFormat="false" ht="15" hidden="false" customHeight="false" outlineLevel="0" collapsed="false">
      <c r="A14" s="4" t="s">
        <v>338</v>
      </c>
      <c r="B14" s="4" t="s">
        <v>339</v>
      </c>
      <c r="C14" s="4" t="s">
        <v>340</v>
      </c>
      <c r="D14" s="4" t="s">
        <v>179</v>
      </c>
    </row>
    <row r="15" customFormat="false" ht="15" hidden="false" customHeight="false" outlineLevel="0" collapsed="false">
      <c r="A15" s="4" t="s">
        <v>341</v>
      </c>
      <c r="B15" s="4" t="n">
        <v>0</v>
      </c>
      <c r="C15" s="4" t="n">
        <v>2</v>
      </c>
      <c r="D15" s="4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5" min="5" style="0" width="16"/>
  </cols>
  <sheetData>
    <row r="1" customFormat="false" ht="19.7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342</v>
      </c>
    </row>
    <row r="4" customFormat="false" ht="26.85" hidden="false" customHeight="false" outlineLevel="0" collapsed="false">
      <c r="A4" s="3" t="s">
        <v>343</v>
      </c>
      <c r="B4" s="3" t="s">
        <v>344</v>
      </c>
      <c r="C4" s="3" t="s">
        <v>345</v>
      </c>
      <c r="D4" s="3" t="s">
        <v>346</v>
      </c>
      <c r="E4" s="3" t="s">
        <v>347</v>
      </c>
    </row>
    <row r="5" customFormat="false" ht="26.85" hidden="false" customHeight="false" outlineLevel="0" collapsed="false">
      <c r="A5" s="4" t="s">
        <v>348</v>
      </c>
      <c r="B5" s="4" t="s">
        <v>349</v>
      </c>
      <c r="C5" s="4" t="s">
        <v>350</v>
      </c>
      <c r="D5" s="4" t="s">
        <v>351</v>
      </c>
      <c r="E5" s="4" t="s">
        <v>352</v>
      </c>
    </row>
    <row r="6" customFormat="false" ht="26.85" hidden="false" customHeight="false" outlineLevel="0" collapsed="false">
      <c r="A6" s="4" t="s">
        <v>353</v>
      </c>
      <c r="B6" s="4" t="s">
        <v>354</v>
      </c>
      <c r="C6" s="4" t="s">
        <v>355</v>
      </c>
      <c r="D6" s="4" t="s">
        <v>356</v>
      </c>
      <c r="E6" s="4" t="s">
        <v>357</v>
      </c>
    </row>
    <row r="7" customFormat="false" ht="26.85" hidden="false" customHeight="false" outlineLevel="0" collapsed="false">
      <c r="A7" s="4" t="s">
        <v>358</v>
      </c>
      <c r="B7" s="4" t="s">
        <v>359</v>
      </c>
      <c r="C7" s="4" t="s">
        <v>360</v>
      </c>
      <c r="D7" s="4" t="s">
        <v>361</v>
      </c>
      <c r="E7" s="4" t="s">
        <v>334</v>
      </c>
    </row>
    <row r="8" customFormat="false" ht="26.85" hidden="false" customHeight="false" outlineLevel="0" collapsed="false">
      <c r="A8" s="4" t="s">
        <v>362</v>
      </c>
      <c r="B8" s="4" t="s">
        <v>363</v>
      </c>
      <c r="C8" s="4" t="s">
        <v>364</v>
      </c>
      <c r="D8" s="4" t="s">
        <v>365</v>
      </c>
      <c r="E8" s="4" t="s">
        <v>331</v>
      </c>
    </row>
    <row r="9" customFormat="false" ht="26.85" hidden="false" customHeight="false" outlineLevel="0" collapsed="false">
      <c r="A9" s="4" t="s">
        <v>366</v>
      </c>
      <c r="B9" s="4" t="s">
        <v>367</v>
      </c>
      <c r="C9" s="4" t="s">
        <v>360</v>
      </c>
      <c r="D9" s="4" t="s">
        <v>351</v>
      </c>
      <c r="E9" s="4" t="s">
        <v>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4"/>
    <col collapsed="false" customWidth="true" hidden="false" outlineLevel="0" max="7" min="4" style="0" width="11"/>
    <col collapsed="false" customWidth="true" hidden="false" outlineLevel="0" max="8" min="8" style="0" width="20"/>
    <col collapsed="false" customWidth="true" hidden="false" outlineLevel="0" max="9" min="9" style="0" width="13"/>
    <col collapsed="false" customWidth="true" hidden="false" outlineLevel="0" max="10" min="10" style="0" width="8"/>
  </cols>
  <sheetData>
    <row r="1" customFormat="false" ht="19.7" hidden="false" customHeight="false" outlineLevel="0" collapsed="false">
      <c r="A1" s="1" t="s">
        <v>368</v>
      </c>
    </row>
    <row r="2" customFormat="false" ht="15" hidden="false" customHeight="false" outlineLevel="0" collapsed="false">
      <c r="A2" s="2" t="s">
        <v>369</v>
      </c>
    </row>
    <row r="4" customFormat="false" ht="26.85" hidden="false" customHeight="false" outlineLevel="0" collapsed="false">
      <c r="A4" s="3" t="s">
        <v>370</v>
      </c>
      <c r="B4" s="3" t="s">
        <v>371</v>
      </c>
      <c r="C4" s="3" t="s">
        <v>372</v>
      </c>
      <c r="D4" s="3" t="s">
        <v>321</v>
      </c>
      <c r="E4" s="3" t="s">
        <v>322</v>
      </c>
      <c r="F4" s="3" t="s">
        <v>373</v>
      </c>
      <c r="G4" s="3" t="s">
        <v>374</v>
      </c>
      <c r="H4" s="3" t="s">
        <v>375</v>
      </c>
      <c r="I4" s="3" t="s">
        <v>376</v>
      </c>
      <c r="J4" s="3" t="s">
        <v>62</v>
      </c>
    </row>
    <row r="5" customFormat="false" ht="26.85" hidden="false" customHeight="false" outlineLevel="0" collapsed="false">
      <c r="A5" s="4" t="s">
        <v>377</v>
      </c>
      <c r="B5" s="4" t="s">
        <v>378</v>
      </c>
      <c r="C5" s="4" t="s">
        <v>334</v>
      </c>
      <c r="D5" s="7" t="n">
        <v>2847</v>
      </c>
      <c r="E5" s="7" t="n">
        <v>569</v>
      </c>
      <c r="F5" s="7" t="n">
        <v>1367</v>
      </c>
      <c r="G5" s="5" t="n">
        <f aca="false">IFERROR((D5-F5)/(D5-E5),0)</f>
        <v>0.649692712906058</v>
      </c>
      <c r="H5" s="4" t="s">
        <v>379</v>
      </c>
      <c r="I5" s="4" t="s">
        <v>261</v>
      </c>
      <c r="J5" s="4" t="s">
        <v>179</v>
      </c>
    </row>
    <row r="6" customFormat="false" ht="15" hidden="false" customHeight="false" outlineLevel="0" collapsed="false">
      <c r="A6" s="4" t="s">
        <v>380</v>
      </c>
      <c r="B6" s="4" t="s">
        <v>381</v>
      </c>
      <c r="C6" s="4" t="s">
        <v>357</v>
      </c>
      <c r="D6" s="7" t="n">
        <v>0</v>
      </c>
      <c r="E6" s="7" t="n">
        <v>320000</v>
      </c>
      <c r="F6" s="7" t="n">
        <v>320000</v>
      </c>
      <c r="G6" s="5" t="n">
        <f aca="false">IFERROR((D6-F6)/(D6-E6),0)</f>
        <v>1</v>
      </c>
      <c r="H6" s="4" t="s">
        <v>382</v>
      </c>
      <c r="I6" s="4" t="s">
        <v>383</v>
      </c>
      <c r="J6" s="4" t="s">
        <v>195</v>
      </c>
    </row>
    <row r="7" customFormat="false" ht="15" hidden="false" customHeight="false" outlineLevel="0" collapsed="false">
      <c r="A7" s="4" t="s">
        <v>384</v>
      </c>
      <c r="B7" s="4" t="s">
        <v>378</v>
      </c>
      <c r="C7" s="4" t="s">
        <v>331</v>
      </c>
      <c r="D7" s="7" t="n">
        <v>127</v>
      </c>
      <c r="E7" s="7" t="n">
        <v>51</v>
      </c>
      <c r="F7" s="7" t="n">
        <v>67</v>
      </c>
      <c r="G7" s="5" t="n">
        <f aca="false">IFERROR((D7-F7)/(D7-E7),0)</f>
        <v>0.789473684210526</v>
      </c>
      <c r="H7" s="4" t="s">
        <v>385</v>
      </c>
      <c r="I7" s="4" t="s">
        <v>261</v>
      </c>
      <c r="J7" s="4" t="s">
        <v>179</v>
      </c>
    </row>
    <row r="8" customFormat="false" ht="15" hidden="false" customHeight="false" outlineLevel="0" collapsed="false">
      <c r="A8" s="4" t="s">
        <v>386</v>
      </c>
      <c r="B8" s="4" t="s">
        <v>381</v>
      </c>
      <c r="C8" s="4" t="s">
        <v>387</v>
      </c>
      <c r="D8" s="7" t="n">
        <v>200000</v>
      </c>
      <c r="E8" s="7" t="n">
        <v>120000</v>
      </c>
      <c r="F8" s="7" t="n">
        <v>118000</v>
      </c>
      <c r="G8" s="5" t="n">
        <f aca="false">IFERROR((D8-F8)/(D8-E8),0)</f>
        <v>1.025</v>
      </c>
      <c r="H8" s="4" t="s">
        <v>388</v>
      </c>
      <c r="I8" s="4" t="s">
        <v>383</v>
      </c>
      <c r="J8" s="4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5" min="4" style="0" width="4"/>
    <col collapsed="false" customWidth="true" hidden="false" outlineLevel="0" max="6" min="6" style="0" width="7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</cols>
  <sheetData>
    <row r="1" customFormat="false" ht="19.7" hidden="false" customHeight="false" outlineLevel="0" collapsed="false">
      <c r="A1" s="1" t="s">
        <v>389</v>
      </c>
    </row>
    <row r="2" customFormat="false" ht="15" hidden="false" customHeight="false" outlineLevel="0" collapsed="false">
      <c r="A2" s="2" t="s">
        <v>390</v>
      </c>
    </row>
    <row r="4" customFormat="false" ht="15" hidden="false" customHeight="false" outlineLevel="0" collapsed="false">
      <c r="A4" s="3" t="s">
        <v>231</v>
      </c>
      <c r="B4" s="3" t="s">
        <v>371</v>
      </c>
      <c r="C4" s="3" t="s">
        <v>391</v>
      </c>
      <c r="D4" s="3" t="s">
        <v>392</v>
      </c>
      <c r="E4" s="3" t="s">
        <v>393</v>
      </c>
      <c r="F4" s="3" t="s">
        <v>394</v>
      </c>
      <c r="G4" s="3" t="s">
        <v>186</v>
      </c>
      <c r="H4" s="3" t="s">
        <v>395</v>
      </c>
      <c r="I4" s="3" t="s">
        <v>238</v>
      </c>
      <c r="J4" s="3" t="s">
        <v>396</v>
      </c>
    </row>
    <row r="5" customFormat="false" ht="26.85" hidden="false" customHeight="false" outlineLevel="0" collapsed="false">
      <c r="A5" s="4" t="s">
        <v>397</v>
      </c>
      <c r="B5" s="4" t="s">
        <v>398</v>
      </c>
      <c r="C5" s="4" t="s">
        <v>399</v>
      </c>
      <c r="D5" s="7" t="n">
        <v>4</v>
      </c>
      <c r="E5" s="7" t="n">
        <v>4</v>
      </c>
      <c r="F5" s="4" t="n">
        <f aca="false">IF(OR(D5="",E5=""),"",D5*E5)</f>
        <v>16</v>
      </c>
      <c r="G5" s="4" t="s">
        <v>56</v>
      </c>
      <c r="H5" s="4" t="s">
        <v>400</v>
      </c>
      <c r="I5" s="4" t="s">
        <v>401</v>
      </c>
      <c r="J5" s="4" t="s">
        <v>402</v>
      </c>
    </row>
    <row r="6" customFormat="false" ht="26.85" hidden="false" customHeight="false" outlineLevel="0" collapsed="false">
      <c r="A6" s="4" t="s">
        <v>403</v>
      </c>
      <c r="B6" s="4" t="s">
        <v>398</v>
      </c>
      <c r="C6" s="4" t="s">
        <v>404</v>
      </c>
      <c r="D6" s="7" t="n">
        <v>3</v>
      </c>
      <c r="E6" s="7" t="n">
        <v>3</v>
      </c>
      <c r="F6" s="4" t="n">
        <f aca="false">IF(OR(D6="",E6=""),"",D6*E6)</f>
        <v>9</v>
      </c>
      <c r="G6" s="4" t="s">
        <v>405</v>
      </c>
      <c r="H6" s="4" t="s">
        <v>406</v>
      </c>
      <c r="I6" s="4" t="s">
        <v>407</v>
      </c>
      <c r="J6" s="4" t="s">
        <v>408</v>
      </c>
    </row>
    <row r="7" customFormat="false" ht="26.85" hidden="false" customHeight="false" outlineLevel="0" collapsed="false">
      <c r="A7" s="4" t="s">
        <v>409</v>
      </c>
      <c r="B7" s="4" t="s">
        <v>410</v>
      </c>
      <c r="C7" s="4" t="s">
        <v>411</v>
      </c>
      <c r="D7" s="7"/>
      <c r="E7" s="7"/>
      <c r="F7" s="4" t="str">
        <f aca="false">IF(OR(D7="",E7=""),"",D7*E7)</f>
        <v/>
      </c>
      <c r="G7" s="4" t="s">
        <v>405</v>
      </c>
      <c r="H7" s="4" t="s">
        <v>412</v>
      </c>
      <c r="I7" s="4" t="s">
        <v>407</v>
      </c>
      <c r="J7" s="4" t="s">
        <v>408</v>
      </c>
    </row>
    <row r="8" customFormat="false" ht="26.85" hidden="false" customHeight="false" outlineLevel="0" collapsed="false">
      <c r="A8" s="4" t="s">
        <v>413</v>
      </c>
      <c r="B8" s="4" t="s">
        <v>414</v>
      </c>
      <c r="C8" s="4" t="s">
        <v>415</v>
      </c>
      <c r="D8" s="7"/>
      <c r="E8" s="7"/>
      <c r="F8" s="4" t="str">
        <f aca="false">IF(OR(D8="",E8=""),"",D8*E8)</f>
        <v/>
      </c>
      <c r="G8" s="4" t="s">
        <v>212</v>
      </c>
      <c r="H8" s="4" t="s">
        <v>416</v>
      </c>
      <c r="I8" s="4" t="s">
        <v>407</v>
      </c>
      <c r="J8" s="4" t="s">
        <v>417</v>
      </c>
    </row>
    <row r="9" customFormat="false" ht="26.85" hidden="false" customHeight="false" outlineLevel="0" collapsed="false">
      <c r="A9" s="4" t="s">
        <v>418</v>
      </c>
      <c r="B9" s="4" t="s">
        <v>419</v>
      </c>
      <c r="C9" s="4" t="s">
        <v>420</v>
      </c>
      <c r="D9" s="7"/>
      <c r="E9" s="7"/>
      <c r="F9" s="4" t="str">
        <f aca="false">IF(OR(D9="",E9=""),"",D9*E9)</f>
        <v/>
      </c>
      <c r="G9" s="4" t="s">
        <v>405</v>
      </c>
      <c r="H9" s="4" t="s">
        <v>406</v>
      </c>
      <c r="I9" s="4" t="s">
        <v>407</v>
      </c>
      <c r="J9" s="4" t="s">
        <v>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5" min="4" style="0" width="4"/>
    <col collapsed="false" customWidth="true" hidden="false" outlineLevel="0" max="6" min="6" style="0" width="9"/>
    <col collapsed="false" customWidth="true" hidden="false" outlineLevel="0" max="7" min="7" style="0" width="26"/>
    <col collapsed="false" customWidth="true" hidden="false" outlineLevel="0" max="8" min="8" style="0" width="11"/>
    <col collapsed="false" customWidth="true" hidden="false" outlineLevel="0" max="10" min="9" style="0" width="6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22"/>
    <col collapsed="false" customWidth="true" hidden="false" outlineLevel="0" max="14" min="14" style="0" width="12"/>
    <col collapsed="false" customWidth="true" hidden="false" outlineLevel="0" max="15" min="15" style="0" width="11"/>
  </cols>
  <sheetData>
    <row r="1" customFormat="false" ht="19.7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422</v>
      </c>
    </row>
    <row r="4" customFormat="false" ht="26.85" hidden="false" customHeight="false" outlineLevel="0" collapsed="false">
      <c r="A4" s="3" t="s">
        <v>231</v>
      </c>
      <c r="B4" s="3" t="s">
        <v>423</v>
      </c>
      <c r="C4" s="3" t="s">
        <v>424</v>
      </c>
      <c r="D4" s="3" t="s">
        <v>392</v>
      </c>
      <c r="E4" s="3" t="s">
        <v>393</v>
      </c>
      <c r="F4" s="3" t="s">
        <v>425</v>
      </c>
      <c r="G4" s="3" t="s">
        <v>426</v>
      </c>
      <c r="H4" s="3" t="s">
        <v>186</v>
      </c>
      <c r="I4" s="3" t="s">
        <v>427</v>
      </c>
      <c r="J4" s="3" t="s">
        <v>428</v>
      </c>
      <c r="K4" s="3" t="s">
        <v>429</v>
      </c>
      <c r="L4" s="3" t="s">
        <v>430</v>
      </c>
      <c r="M4" s="3" t="s">
        <v>431</v>
      </c>
      <c r="N4" s="3" t="s">
        <v>322</v>
      </c>
      <c r="O4" s="3" t="s">
        <v>238</v>
      </c>
    </row>
    <row r="5" customFormat="false" ht="26.85" hidden="false" customHeight="false" outlineLevel="0" collapsed="false">
      <c r="A5" s="4" t="s">
        <v>432</v>
      </c>
      <c r="B5" s="4" t="s">
        <v>433</v>
      </c>
      <c r="C5" s="4" t="s">
        <v>434</v>
      </c>
      <c r="D5" s="7" t="n">
        <v>4</v>
      </c>
      <c r="E5" s="7" t="n">
        <v>4</v>
      </c>
      <c r="F5" s="4" t="n">
        <f aca="false">D5*E5</f>
        <v>16</v>
      </c>
      <c r="G5" s="4" t="s">
        <v>435</v>
      </c>
      <c r="H5" s="4" t="s">
        <v>56</v>
      </c>
      <c r="I5" s="7" t="n">
        <v>2</v>
      </c>
      <c r="J5" s="7" t="n">
        <v>4</v>
      </c>
      <c r="K5" s="4" t="n">
        <f aca="false">I5*J5</f>
        <v>8</v>
      </c>
      <c r="L5" s="4" t="str">
        <f aca="false">IF(K5&gt;=15,"High",IF(K5&gt;=8,"Medium","Low"))</f>
        <v>Medium</v>
      </c>
      <c r="M5" s="4" t="s">
        <v>436</v>
      </c>
      <c r="N5" s="4" t="s">
        <v>400</v>
      </c>
      <c r="O5" s="4" t="s">
        <v>401</v>
      </c>
    </row>
    <row r="6" customFormat="false" ht="26.85" hidden="false" customHeight="false" outlineLevel="0" collapsed="false">
      <c r="A6" s="4" t="s">
        <v>437</v>
      </c>
      <c r="B6" s="4" t="s">
        <v>438</v>
      </c>
      <c r="C6" s="4" t="s">
        <v>439</v>
      </c>
      <c r="D6" s="7" t="n">
        <v>3</v>
      </c>
      <c r="E6" s="7" t="n">
        <v>4</v>
      </c>
      <c r="F6" s="4" t="n">
        <f aca="false">D6*E6</f>
        <v>12</v>
      </c>
      <c r="G6" s="4" t="s">
        <v>440</v>
      </c>
      <c r="H6" s="4" t="s">
        <v>441</v>
      </c>
      <c r="I6" s="7" t="n">
        <v>2</v>
      </c>
      <c r="J6" s="7" t="n">
        <v>3</v>
      </c>
      <c r="K6" s="4" t="n">
        <f aca="false">I6*J6</f>
        <v>6</v>
      </c>
      <c r="L6" s="4" t="str">
        <f aca="false">IF(K6&gt;=15,"High",IF(K6&gt;=8,"Medium","Low"))</f>
        <v>Low</v>
      </c>
      <c r="M6" s="4" t="s">
        <v>442</v>
      </c>
      <c r="N6" s="4" t="s">
        <v>443</v>
      </c>
      <c r="O6" s="4" t="s">
        <v>407</v>
      </c>
    </row>
    <row r="7" customFormat="false" ht="26.85" hidden="false" customHeight="false" outlineLevel="0" collapsed="false">
      <c r="A7" s="4" t="s">
        <v>444</v>
      </c>
      <c r="B7" s="4" t="s">
        <v>445</v>
      </c>
      <c r="C7" s="4" t="s">
        <v>446</v>
      </c>
      <c r="D7" s="7" t="n">
        <v>3</v>
      </c>
      <c r="E7" s="7" t="n">
        <v>3</v>
      </c>
      <c r="F7" s="4" t="n">
        <f aca="false">D7*E7</f>
        <v>9</v>
      </c>
      <c r="G7" s="4" t="s">
        <v>447</v>
      </c>
      <c r="H7" s="4" t="s">
        <v>405</v>
      </c>
      <c r="I7" s="7" t="n">
        <v>2</v>
      </c>
      <c r="J7" s="7" t="n">
        <v>2</v>
      </c>
      <c r="K7" s="4" t="n">
        <f aca="false">I7*J7</f>
        <v>4</v>
      </c>
      <c r="L7" s="4" t="str">
        <f aca="false">IF(K7&gt;=15,"High",IF(K7&gt;=8,"Medium","Low"))</f>
        <v>Low</v>
      </c>
      <c r="M7" s="4" t="s">
        <v>448</v>
      </c>
      <c r="N7" s="4" t="s">
        <v>406</v>
      </c>
      <c r="O7" s="4" t="s">
        <v>401</v>
      </c>
    </row>
    <row r="8" customFormat="false" ht="15" hidden="false" customHeight="false" outlineLevel="0" collapsed="false">
      <c r="B8" s="9" t="s">
        <v>449</v>
      </c>
      <c r="K8" s="9" t="n">
        <f aca="false">SUM(K5:K7)</f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1"/>
  </cols>
  <sheetData>
    <row r="1" customFormat="false" ht="19.7" hidden="false" customHeight="false" outlineLevel="0" collapsed="false">
      <c r="A1" s="1" t="s">
        <v>450</v>
      </c>
    </row>
    <row r="2" customFormat="false" ht="15" hidden="false" customHeight="false" outlineLevel="0" collapsed="false">
      <c r="A2" s="2" t="s">
        <v>451</v>
      </c>
    </row>
    <row r="4" customFormat="false" ht="15" hidden="false" customHeight="false" outlineLevel="0" collapsed="false">
      <c r="A4" s="3" t="s">
        <v>231</v>
      </c>
      <c r="B4" s="3" t="s">
        <v>371</v>
      </c>
      <c r="C4" s="3" t="s">
        <v>452</v>
      </c>
      <c r="D4" s="3" t="s">
        <v>453</v>
      </c>
      <c r="E4" s="3" t="s">
        <v>454</v>
      </c>
      <c r="F4" s="3" t="s">
        <v>455</v>
      </c>
      <c r="G4" s="3" t="s">
        <v>456</v>
      </c>
      <c r="H4" s="3" t="s">
        <v>457</v>
      </c>
      <c r="I4" s="3" t="s">
        <v>186</v>
      </c>
      <c r="J4" s="3" t="s">
        <v>238</v>
      </c>
    </row>
    <row r="5" customFormat="false" ht="15" hidden="false" customHeight="false" outlineLevel="0" collapsed="false">
      <c r="A5" s="4" t="s">
        <v>458</v>
      </c>
      <c r="B5" s="4" t="s">
        <v>459</v>
      </c>
      <c r="C5" s="4" t="s">
        <v>116</v>
      </c>
      <c r="D5" s="4" t="s">
        <v>460</v>
      </c>
      <c r="E5" s="4" t="s">
        <v>461</v>
      </c>
      <c r="F5" s="4" t="s">
        <v>406</v>
      </c>
      <c r="G5" s="4" t="s">
        <v>462</v>
      </c>
      <c r="H5" s="7" t="n">
        <v>-3</v>
      </c>
      <c r="I5" s="4" t="s">
        <v>222</v>
      </c>
      <c r="J5" s="4" t="s">
        <v>249</v>
      </c>
    </row>
    <row r="6" customFormat="false" ht="26.85" hidden="false" customHeight="false" outlineLevel="0" collapsed="false">
      <c r="A6" s="4" t="s">
        <v>463</v>
      </c>
      <c r="B6" s="4" t="s">
        <v>459</v>
      </c>
      <c r="C6" s="4" t="s">
        <v>118</v>
      </c>
      <c r="D6" s="4" t="s">
        <v>116</v>
      </c>
      <c r="E6" s="4" t="s">
        <v>464</v>
      </c>
      <c r="F6" s="4" t="s">
        <v>465</v>
      </c>
      <c r="G6" s="4" t="s">
        <v>466</v>
      </c>
      <c r="H6" s="7" t="n">
        <v>6</v>
      </c>
      <c r="I6" s="4" t="s">
        <v>212</v>
      </c>
      <c r="J6" s="4" t="s">
        <v>244</v>
      </c>
    </row>
    <row r="7" customFormat="false" ht="15" hidden="false" customHeight="false" outlineLevel="0" collapsed="false">
      <c r="A7" s="4" t="s">
        <v>467</v>
      </c>
      <c r="B7" s="4" t="s">
        <v>459</v>
      </c>
      <c r="C7" s="4" t="s">
        <v>114</v>
      </c>
      <c r="D7" s="4" t="s">
        <v>118</v>
      </c>
      <c r="E7" s="4" t="s">
        <v>468</v>
      </c>
      <c r="F7" s="4" t="s">
        <v>469</v>
      </c>
      <c r="G7" s="4" t="s">
        <v>462</v>
      </c>
      <c r="H7" s="7" t="n">
        <v>2</v>
      </c>
      <c r="I7" s="4" t="s">
        <v>194</v>
      </c>
      <c r="J7" s="4" t="s">
        <v>244</v>
      </c>
    </row>
    <row r="8" customFormat="false" ht="26.85" hidden="false" customHeight="false" outlineLevel="0" collapsed="false">
      <c r="A8" s="4" t="s">
        <v>470</v>
      </c>
      <c r="B8" s="4" t="s">
        <v>471</v>
      </c>
      <c r="C8" s="4" t="s">
        <v>472</v>
      </c>
      <c r="D8" s="4" t="s">
        <v>213</v>
      </c>
      <c r="E8" s="4" t="s">
        <v>473</v>
      </c>
      <c r="F8" s="4" t="s">
        <v>412</v>
      </c>
      <c r="G8" s="4" t="s">
        <v>462</v>
      </c>
      <c r="H8" s="7" t="n">
        <v>0</v>
      </c>
      <c r="I8" s="4" t="s">
        <v>212</v>
      </c>
      <c r="J8" s="4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6" min="3" style="0" width="10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10"/>
  </cols>
  <sheetData>
    <row r="1" customFormat="false" ht="19.7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474</v>
      </c>
    </row>
    <row r="4" customFormat="false" ht="26.85" hidden="false" customHeight="false" outlineLevel="0" collapsed="false">
      <c r="A4" s="3" t="s">
        <v>475</v>
      </c>
      <c r="B4" s="3" t="s">
        <v>476</v>
      </c>
      <c r="C4" s="3" t="s">
        <v>477</v>
      </c>
      <c r="D4" s="3" t="s">
        <v>478</v>
      </c>
      <c r="E4" s="3" t="s">
        <v>479</v>
      </c>
      <c r="F4" s="3" t="s">
        <v>480</v>
      </c>
      <c r="G4" s="3" t="s">
        <v>481</v>
      </c>
      <c r="H4" s="3" t="s">
        <v>482</v>
      </c>
      <c r="I4" s="3" t="s">
        <v>483</v>
      </c>
    </row>
    <row r="5" customFormat="false" ht="15" hidden="false" customHeight="false" outlineLevel="0" collapsed="false">
      <c r="A5" s="4" t="s">
        <v>484</v>
      </c>
      <c r="B5" s="7" t="n">
        <v>2</v>
      </c>
      <c r="C5" s="7" t="n">
        <v>1.6</v>
      </c>
      <c r="D5" s="7" t="n">
        <v>3.2</v>
      </c>
      <c r="E5" s="7" t="n">
        <v>2.4</v>
      </c>
      <c r="F5" s="7" t="n">
        <v>1</v>
      </c>
      <c r="G5" s="4" t="n">
        <f aca="false">MAX(C5:F5)</f>
        <v>3.2</v>
      </c>
      <c r="H5" s="4" t="n">
        <f aca="false">G5-B5</f>
        <v>1.2</v>
      </c>
      <c r="I5" s="4" t="str">
        <f aca="false">IF(H5&gt;0,"SHORT","ok")</f>
        <v>SHORT</v>
      </c>
    </row>
    <row r="6" customFormat="false" ht="15" hidden="false" customHeight="false" outlineLevel="0" collapsed="false">
      <c r="A6" s="4" t="s">
        <v>485</v>
      </c>
      <c r="B6" s="7" t="n">
        <v>6</v>
      </c>
      <c r="C6" s="7" t="n">
        <v>4</v>
      </c>
      <c r="D6" s="7" t="n">
        <v>5</v>
      </c>
      <c r="E6" s="7" t="n">
        <v>5.5</v>
      </c>
      <c r="F6" s="7" t="n">
        <v>3</v>
      </c>
      <c r="G6" s="4" t="n">
        <f aca="false">MAX(C6:F6)</f>
        <v>5.5</v>
      </c>
      <c r="H6" s="4" t="n">
        <f aca="false">G6-B6</f>
        <v>-0.5</v>
      </c>
      <c r="I6" s="4" t="str">
        <f aca="false">IF(H6&gt;0,"SHORT","ok")</f>
        <v>ok</v>
      </c>
    </row>
    <row r="7" customFormat="false" ht="15" hidden="false" customHeight="false" outlineLevel="0" collapsed="false">
      <c r="A7" s="4" t="s">
        <v>486</v>
      </c>
      <c r="B7" s="7" t="n">
        <v>1.5</v>
      </c>
      <c r="C7" s="7" t="n">
        <v>1</v>
      </c>
      <c r="D7" s="7" t="n">
        <v>1.2</v>
      </c>
      <c r="E7" s="7" t="n">
        <v>1.8</v>
      </c>
      <c r="F7" s="7" t="n">
        <v>1</v>
      </c>
      <c r="G7" s="4" t="n">
        <f aca="false">MAX(C7:F7)</f>
        <v>1.8</v>
      </c>
      <c r="H7" s="4" t="n">
        <f aca="false">G7-B7</f>
        <v>0.3</v>
      </c>
      <c r="I7" s="4" t="str">
        <f aca="false">IF(H7&gt;0,"SHORT","ok")</f>
        <v>SHORT</v>
      </c>
    </row>
    <row r="8" customFormat="false" ht="15" hidden="false" customHeight="false" outlineLevel="0" collapsed="false">
      <c r="A8" s="4" t="s">
        <v>487</v>
      </c>
      <c r="B8" s="7" t="n">
        <v>3</v>
      </c>
      <c r="C8" s="7" t="n">
        <v>2</v>
      </c>
      <c r="D8" s="7" t="n">
        <v>3</v>
      </c>
      <c r="E8" s="7" t="n">
        <v>3.5</v>
      </c>
      <c r="F8" s="7" t="n">
        <v>2</v>
      </c>
      <c r="G8" s="4" t="n">
        <f aca="false">MAX(C8:F8)</f>
        <v>3.5</v>
      </c>
      <c r="H8" s="4" t="n">
        <f aca="false">G8-B8</f>
        <v>0.5</v>
      </c>
      <c r="I8" s="4" t="str">
        <f aca="false">IF(H8&gt;0,"SHORT","ok")</f>
        <v>SHORT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6" min="5" style="0" width="15"/>
    <col collapsed="false" customWidth="true" hidden="false" outlineLevel="0" max="7" min="7" style="0" width="7"/>
    <col collapsed="false" customWidth="true" hidden="false" outlineLevel="0" max="8" min="8" style="0" width="30"/>
    <col collapsed="false" customWidth="true" hidden="false" outlineLevel="0" max="9" min="9" style="0" width="12"/>
  </cols>
  <sheetData>
    <row r="1" customFormat="false" ht="19.7" hidden="false" customHeight="false" outlineLevel="0" collapsed="false">
      <c r="A1" s="1" t="s">
        <v>488</v>
      </c>
    </row>
    <row r="2" customFormat="false" ht="15" hidden="false" customHeight="false" outlineLevel="0" collapsed="false">
      <c r="A2" s="2" t="s">
        <v>489</v>
      </c>
    </row>
    <row r="4" customFormat="false" ht="26.85" hidden="false" customHeight="false" outlineLevel="0" collapsed="false">
      <c r="A4" s="3" t="s">
        <v>490</v>
      </c>
      <c r="B4" s="3" t="s">
        <v>491</v>
      </c>
      <c r="C4" s="3" t="s">
        <v>492</v>
      </c>
      <c r="D4" s="3" t="s">
        <v>493</v>
      </c>
      <c r="E4" s="3" t="s">
        <v>494</v>
      </c>
      <c r="F4" s="3" t="s">
        <v>495</v>
      </c>
      <c r="G4" s="3" t="s">
        <v>482</v>
      </c>
      <c r="H4" s="3" t="s">
        <v>496</v>
      </c>
      <c r="I4" s="3" t="s">
        <v>497</v>
      </c>
    </row>
    <row r="5" customFormat="false" ht="26.85" hidden="false" customHeight="false" outlineLevel="0" collapsed="false">
      <c r="A5" s="4" t="s">
        <v>498</v>
      </c>
      <c r="B5" s="4" t="s">
        <v>499</v>
      </c>
      <c r="C5" s="7" t="s">
        <v>462</v>
      </c>
      <c r="D5" s="7" t="s">
        <v>462</v>
      </c>
      <c r="E5" s="7" t="s">
        <v>500</v>
      </c>
      <c r="F5" s="7" t="s">
        <v>500</v>
      </c>
      <c r="G5" s="4" t="str">
        <f aca="false">IF(E5=F5,"aligned","GAP")</f>
        <v>aligned</v>
      </c>
      <c r="H5" s="4" t="s">
        <v>501</v>
      </c>
      <c r="I5" s="4" t="s">
        <v>56</v>
      </c>
    </row>
    <row r="6" customFormat="false" ht="26.85" hidden="false" customHeight="false" outlineLevel="0" collapsed="false">
      <c r="A6" s="4" t="s">
        <v>502</v>
      </c>
      <c r="B6" s="4" t="s">
        <v>387</v>
      </c>
      <c r="C6" s="7" t="s">
        <v>462</v>
      </c>
      <c r="D6" s="7" t="s">
        <v>466</v>
      </c>
      <c r="E6" s="7" t="s">
        <v>503</v>
      </c>
      <c r="F6" s="7" t="s">
        <v>500</v>
      </c>
      <c r="G6" s="4" t="str">
        <f aca="false">IF(E6=F6,"aligned","GAP")</f>
        <v>GAP</v>
      </c>
      <c r="H6" s="4" t="s">
        <v>504</v>
      </c>
      <c r="I6" s="4" t="s">
        <v>56</v>
      </c>
    </row>
    <row r="7" customFormat="false" ht="26.85" hidden="false" customHeight="false" outlineLevel="0" collapsed="false">
      <c r="A7" s="4" t="s">
        <v>505</v>
      </c>
      <c r="B7" s="4" t="s">
        <v>506</v>
      </c>
      <c r="C7" s="7" t="s">
        <v>462</v>
      </c>
      <c r="D7" s="7" t="s">
        <v>507</v>
      </c>
      <c r="E7" s="7" t="s">
        <v>508</v>
      </c>
      <c r="F7" s="7" t="s">
        <v>503</v>
      </c>
      <c r="G7" s="4" t="str">
        <f aca="false">IF(E7=F7,"aligned","GAP")</f>
        <v>GAP</v>
      </c>
      <c r="H7" s="4" t="s">
        <v>509</v>
      </c>
      <c r="I7" s="4" t="s">
        <v>510</v>
      </c>
    </row>
    <row r="8" customFormat="false" ht="26.85" hidden="false" customHeight="false" outlineLevel="0" collapsed="false">
      <c r="A8" s="4" t="s">
        <v>334</v>
      </c>
      <c r="B8" s="4" t="s">
        <v>511</v>
      </c>
      <c r="C8" s="7" t="s">
        <v>462</v>
      </c>
      <c r="D8" s="7" t="s">
        <v>462</v>
      </c>
      <c r="E8" s="7" t="s">
        <v>500</v>
      </c>
      <c r="F8" s="7" t="s">
        <v>500</v>
      </c>
      <c r="G8" s="4" t="str">
        <f aca="false">IF(E8=F8,"aligned","GAP")</f>
        <v>aligned</v>
      </c>
      <c r="H8" s="4" t="s">
        <v>512</v>
      </c>
      <c r="I8" s="4" t="s">
        <v>56</v>
      </c>
    </row>
    <row r="9" customFormat="false" ht="26.85" hidden="false" customHeight="false" outlineLevel="0" collapsed="false">
      <c r="A9" s="4" t="s">
        <v>513</v>
      </c>
      <c r="B9" s="4" t="s">
        <v>514</v>
      </c>
      <c r="C9" s="7" t="s">
        <v>466</v>
      </c>
      <c r="D9" s="7" t="s">
        <v>466</v>
      </c>
      <c r="E9" s="7" t="s">
        <v>508</v>
      </c>
      <c r="F9" s="7" t="s">
        <v>503</v>
      </c>
      <c r="G9" s="4" t="str">
        <f aca="false">IF(E9=F9,"aligned","GAP")</f>
        <v>GAP</v>
      </c>
      <c r="H9" s="4" t="s">
        <v>515</v>
      </c>
      <c r="I9" s="4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5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5" min="4" style="0" width="34"/>
    <col collapsed="false" customWidth="true" hidden="false" outlineLevel="0" max="6" min="6" style="0" width="8"/>
    <col collapsed="false" customWidth="true" hidden="false" outlineLevel="0" max="7" min="7" style="0" width="15"/>
  </cols>
  <sheetData>
    <row r="1" customFormat="false" ht="19.7" hidden="false" customHeight="false" outlineLevel="0" collapsed="false">
      <c r="A1" s="1" t="s">
        <v>516</v>
      </c>
    </row>
    <row r="2" customFormat="false" ht="15" hidden="false" customHeight="false" outlineLevel="0" collapsed="false">
      <c r="A2" s="2" t="s">
        <v>517</v>
      </c>
    </row>
    <row r="4" customFormat="false" ht="26.85" hidden="false" customHeight="false" outlineLevel="0" collapsed="false">
      <c r="A4" s="3" t="s">
        <v>518</v>
      </c>
      <c r="B4" s="3" t="s">
        <v>58</v>
      </c>
      <c r="C4" s="3" t="s">
        <v>56</v>
      </c>
      <c r="D4" s="3" t="s">
        <v>519</v>
      </c>
      <c r="E4" s="3" t="s">
        <v>331</v>
      </c>
      <c r="F4" s="3" t="s">
        <v>387</v>
      </c>
      <c r="G4" s="3" t="s">
        <v>520</v>
      </c>
    </row>
    <row r="5" customFormat="false" ht="39.55" hidden="false" customHeight="false" outlineLevel="0" collapsed="false">
      <c r="A5" s="4" t="s">
        <v>521</v>
      </c>
      <c r="B5" s="4" t="s">
        <v>522</v>
      </c>
      <c r="C5" s="4" t="s">
        <v>523</v>
      </c>
      <c r="D5" s="4" t="s">
        <v>393</v>
      </c>
      <c r="E5" s="4" t="s">
        <v>524</v>
      </c>
      <c r="F5" s="4" t="s">
        <v>524</v>
      </c>
      <c r="G5" s="4" t="s">
        <v>524</v>
      </c>
    </row>
    <row r="6" customFormat="false" ht="26.85" hidden="false" customHeight="false" outlineLevel="0" collapsed="false">
      <c r="A6" s="4" t="s">
        <v>525</v>
      </c>
      <c r="B6" s="4" t="s">
        <v>522</v>
      </c>
      <c r="C6" s="4" t="s">
        <v>523</v>
      </c>
      <c r="D6" s="4" t="s">
        <v>524</v>
      </c>
      <c r="E6" s="4" t="s">
        <v>524</v>
      </c>
      <c r="F6" s="4" t="s">
        <v>524</v>
      </c>
      <c r="G6" s="4" t="s">
        <v>524</v>
      </c>
    </row>
    <row r="7" customFormat="false" ht="26.85" hidden="false" customHeight="false" outlineLevel="0" collapsed="false">
      <c r="A7" s="4" t="s">
        <v>526</v>
      </c>
      <c r="B7" s="4" t="s">
        <v>522</v>
      </c>
      <c r="C7" s="4" t="s">
        <v>523</v>
      </c>
      <c r="D7" s="4" t="s">
        <v>524</v>
      </c>
      <c r="E7" s="4" t="s">
        <v>524</v>
      </c>
      <c r="F7" s="4" t="s">
        <v>393</v>
      </c>
      <c r="G7" s="4" t="s">
        <v>393</v>
      </c>
    </row>
    <row r="8" customFormat="false" ht="26.85" hidden="false" customHeight="false" outlineLevel="0" collapsed="false">
      <c r="A8" s="4" t="s">
        <v>527</v>
      </c>
      <c r="B8" s="4" t="s">
        <v>522</v>
      </c>
      <c r="C8" s="4" t="s">
        <v>523</v>
      </c>
      <c r="D8" s="4" t="s">
        <v>524</v>
      </c>
      <c r="E8" s="4" t="s">
        <v>524</v>
      </c>
      <c r="F8" s="4" t="s">
        <v>524</v>
      </c>
      <c r="G8" s="4" t="s">
        <v>393</v>
      </c>
    </row>
    <row r="9" customFormat="false" ht="26.85" hidden="false" customHeight="false" outlineLevel="0" collapsed="false">
      <c r="A9" s="4" t="s">
        <v>528</v>
      </c>
      <c r="B9" s="4" t="s">
        <v>522</v>
      </c>
      <c r="C9" s="4" t="s">
        <v>524</v>
      </c>
      <c r="D9" s="4" t="s">
        <v>393</v>
      </c>
      <c r="E9" s="4" t="s">
        <v>524</v>
      </c>
      <c r="F9" s="4" t="s">
        <v>524</v>
      </c>
      <c r="G9" s="4" t="s">
        <v>523</v>
      </c>
    </row>
    <row r="10" customFormat="false" ht="26.85" hidden="false" customHeight="false" outlineLevel="0" collapsed="false">
      <c r="A10" s="4" t="s">
        <v>529</v>
      </c>
      <c r="B10" s="4" t="s">
        <v>524</v>
      </c>
      <c r="C10" s="4" t="s">
        <v>522</v>
      </c>
      <c r="D10" s="4" t="s">
        <v>523</v>
      </c>
      <c r="E10" s="4" t="s">
        <v>524</v>
      </c>
      <c r="F10" s="4" t="s">
        <v>393</v>
      </c>
      <c r="G10" s="4" t="s">
        <v>524</v>
      </c>
    </row>
    <row r="11" customFormat="false" ht="26.85" hidden="false" customHeight="false" outlineLevel="0" collapsed="false">
      <c r="A11" s="4" t="s">
        <v>530</v>
      </c>
      <c r="B11" s="4" t="s">
        <v>522</v>
      </c>
      <c r="C11" s="4" t="s">
        <v>523</v>
      </c>
      <c r="D11" s="4" t="s">
        <v>524</v>
      </c>
      <c r="E11" s="4" t="s">
        <v>524</v>
      </c>
      <c r="F11" s="4" t="s">
        <v>393</v>
      </c>
      <c r="G11" s="4" t="s">
        <v>524</v>
      </c>
    </row>
    <row r="14" customFormat="false" ht="15" hidden="false" customHeight="false" outlineLevel="0" collapsed="false">
      <c r="A14" s="9" t="s">
        <v>531</v>
      </c>
    </row>
    <row r="15" customFormat="false" ht="15" hidden="false" customHeight="false" outlineLevel="0" collapsed="false">
      <c r="A15" s="3" t="s">
        <v>532</v>
      </c>
      <c r="B15" s="3" t="s">
        <v>533</v>
      </c>
      <c r="C15" s="3" t="s">
        <v>534</v>
      </c>
      <c r="D15" s="3" t="s">
        <v>535</v>
      </c>
      <c r="E15" s="3" t="s">
        <v>536</v>
      </c>
    </row>
    <row r="16" customFormat="false" ht="26.85" hidden="false" customHeight="false" outlineLevel="0" collapsed="false">
      <c r="A16" s="4" t="s">
        <v>537</v>
      </c>
      <c r="B16" s="4" t="s">
        <v>538</v>
      </c>
      <c r="C16" s="4" t="s">
        <v>58</v>
      </c>
      <c r="D16" s="4" t="s">
        <v>539</v>
      </c>
      <c r="E16" s="4" t="s">
        <v>540</v>
      </c>
    </row>
    <row r="17" customFormat="false" ht="26.85" hidden="false" customHeight="false" outlineLevel="0" collapsed="false">
      <c r="A17" s="4" t="s">
        <v>541</v>
      </c>
      <c r="B17" s="4" t="s">
        <v>542</v>
      </c>
      <c r="C17" s="4" t="s">
        <v>56</v>
      </c>
      <c r="D17" s="4" t="s">
        <v>543</v>
      </c>
      <c r="E17" s="4" t="s">
        <v>544</v>
      </c>
    </row>
    <row r="18" customFormat="false" ht="26.85" hidden="false" customHeight="false" outlineLevel="0" collapsed="false">
      <c r="A18" s="4" t="s">
        <v>545</v>
      </c>
      <c r="B18" s="4" t="s">
        <v>546</v>
      </c>
      <c r="C18" s="4" t="s">
        <v>547</v>
      </c>
      <c r="D18" s="4" t="s">
        <v>548</v>
      </c>
      <c r="E18" s="4" t="s">
        <v>549</v>
      </c>
    </row>
    <row r="19" customFormat="false" ht="26.85" hidden="false" customHeight="false" outlineLevel="0" collapsed="false">
      <c r="A19" s="4" t="s">
        <v>69</v>
      </c>
      <c r="B19" s="4" t="s">
        <v>550</v>
      </c>
      <c r="C19" s="4" t="s">
        <v>56</v>
      </c>
      <c r="D19" s="4" t="s">
        <v>551</v>
      </c>
      <c r="E19" s="4" t="s">
        <v>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0"/>
  </cols>
  <sheetData>
    <row r="1" customFormat="false" ht="19.7" hidden="false" customHeight="false" outlineLevel="0" collapsed="false">
      <c r="A1" s="1" t="s">
        <v>553</v>
      </c>
    </row>
    <row r="4" customFormat="false" ht="15" hidden="false" customHeight="false" outlineLevel="0" collapsed="false">
      <c r="A4" s="3" t="s">
        <v>231</v>
      </c>
      <c r="B4" s="3" t="s">
        <v>371</v>
      </c>
      <c r="C4" s="3" t="s">
        <v>554</v>
      </c>
      <c r="D4" s="3" t="s">
        <v>555</v>
      </c>
      <c r="E4" s="3" t="s">
        <v>556</v>
      </c>
      <c r="F4" s="3" t="s">
        <v>557</v>
      </c>
      <c r="G4" s="3" t="s">
        <v>558</v>
      </c>
      <c r="H4" s="3" t="s">
        <v>238</v>
      </c>
    </row>
    <row r="5" customFormat="false" ht="26.85" hidden="false" customHeight="false" outlineLevel="0" collapsed="false">
      <c r="A5" s="4" t="s">
        <v>559</v>
      </c>
      <c r="B5" s="4" t="s">
        <v>560</v>
      </c>
      <c r="C5" s="4" t="s">
        <v>561</v>
      </c>
      <c r="D5" s="4" t="s">
        <v>562</v>
      </c>
      <c r="E5" s="4" t="s">
        <v>563</v>
      </c>
      <c r="F5" s="4" t="s">
        <v>537</v>
      </c>
      <c r="G5" s="4" t="s">
        <v>564</v>
      </c>
      <c r="H5" s="4" t="s">
        <v>565</v>
      </c>
    </row>
    <row r="6" customFormat="false" ht="26.85" hidden="false" customHeight="false" outlineLevel="0" collapsed="false">
      <c r="A6" s="4" t="s">
        <v>566</v>
      </c>
      <c r="B6" s="4" t="s">
        <v>567</v>
      </c>
      <c r="C6" s="4" t="s">
        <v>568</v>
      </c>
      <c r="D6" s="4" t="s">
        <v>569</v>
      </c>
      <c r="E6" s="4" t="s">
        <v>570</v>
      </c>
      <c r="F6" s="4" t="s">
        <v>537</v>
      </c>
      <c r="G6" s="4" t="s">
        <v>571</v>
      </c>
      <c r="H6" s="4" t="s">
        <v>572</v>
      </c>
    </row>
    <row r="7" customFormat="false" ht="26.85" hidden="false" customHeight="false" outlineLevel="0" collapsed="false">
      <c r="A7" s="4" t="s">
        <v>573</v>
      </c>
      <c r="B7" s="4" t="s">
        <v>560</v>
      </c>
      <c r="C7" s="4" t="s">
        <v>574</v>
      </c>
      <c r="D7" s="4" t="s">
        <v>575</v>
      </c>
      <c r="E7" s="4" t="s">
        <v>576</v>
      </c>
      <c r="F7" s="4" t="s">
        <v>58</v>
      </c>
      <c r="G7" s="4" t="s">
        <v>577</v>
      </c>
      <c r="H7" s="4" t="s">
        <v>565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9"/>
  </cols>
  <sheetData>
    <row r="1" customFormat="false" ht="19.7" hidden="false" customHeight="false" outlineLevel="0" collapsed="false">
      <c r="A1" s="1" t="s">
        <v>578</v>
      </c>
    </row>
    <row r="2" customFormat="false" ht="15" hidden="false" customHeight="false" outlineLevel="0" collapsed="false">
      <c r="A2" s="2" t="s">
        <v>579</v>
      </c>
    </row>
    <row r="4" customFormat="false" ht="26.85" hidden="false" customHeight="false" outlineLevel="0" collapsed="false">
      <c r="A4" s="3" t="s">
        <v>580</v>
      </c>
      <c r="B4" s="3" t="s">
        <v>581</v>
      </c>
      <c r="C4" s="3" t="s">
        <v>582</v>
      </c>
      <c r="D4" s="3" t="s">
        <v>291</v>
      </c>
      <c r="E4" s="3" t="s">
        <v>292</v>
      </c>
      <c r="F4" s="3" t="s">
        <v>583</v>
      </c>
      <c r="G4" s="3" t="s">
        <v>584</v>
      </c>
    </row>
    <row r="5" customFormat="false" ht="15" hidden="false" customHeight="false" outlineLevel="0" collapsed="false">
      <c r="A5" s="4" t="s">
        <v>293</v>
      </c>
      <c r="B5" s="11" t="n">
        <v>2400000</v>
      </c>
      <c r="C5" s="11" t="n">
        <v>1900000</v>
      </c>
      <c r="D5" s="11" t="n">
        <v>1080000</v>
      </c>
      <c r="E5" s="11" t="n">
        <v>2460000</v>
      </c>
      <c r="F5" s="6" t="n">
        <f aca="false">B5-E5</f>
        <v>-60000</v>
      </c>
      <c r="G5" s="5" t="n">
        <f aca="false">IFERROR(D5/B5,0)</f>
        <v>0.45</v>
      </c>
    </row>
    <row r="6" customFormat="false" ht="15" hidden="false" customHeight="false" outlineLevel="0" collapsed="false">
      <c r="A6" s="4" t="s">
        <v>296</v>
      </c>
      <c r="B6" s="11" t="n">
        <v>900000</v>
      </c>
      <c r="C6" s="11" t="n">
        <v>540000</v>
      </c>
      <c r="D6" s="11" t="n">
        <v>360000</v>
      </c>
      <c r="E6" s="11" t="n">
        <v>900000</v>
      </c>
      <c r="F6" s="6" t="n">
        <f aca="false">B6-E6</f>
        <v>0</v>
      </c>
      <c r="G6" s="5" t="n">
        <f aca="false">IFERROR(D6/B6,0)</f>
        <v>0.4</v>
      </c>
    </row>
    <row r="7" customFormat="false" ht="15" hidden="false" customHeight="false" outlineLevel="0" collapsed="false">
      <c r="A7" s="4" t="s">
        <v>298</v>
      </c>
      <c r="B7" s="11" t="n">
        <v>1200000</v>
      </c>
      <c r="C7" s="11" t="n">
        <v>200000</v>
      </c>
      <c r="D7" s="11" t="n">
        <v>90000</v>
      </c>
      <c r="E7" s="11" t="n">
        <v>1200000</v>
      </c>
      <c r="F7" s="6" t="n">
        <f aca="false">B7-E7</f>
        <v>0</v>
      </c>
      <c r="G7" s="5" t="n">
        <f aca="false">IFERROR(D7/B7,0)</f>
        <v>0.075</v>
      </c>
    </row>
    <row r="8" customFormat="false" ht="15" hidden="false" customHeight="false" outlineLevel="0" collapsed="false">
      <c r="A8" s="4" t="s">
        <v>164</v>
      </c>
      <c r="B8" s="11" t="n">
        <v>300000</v>
      </c>
      <c r="C8" s="11" t="n">
        <v>150000</v>
      </c>
      <c r="D8" s="11" t="n">
        <v>140000</v>
      </c>
      <c r="E8" s="11" t="n">
        <v>300000</v>
      </c>
      <c r="F8" s="6" t="n">
        <f aca="false">B8-E8</f>
        <v>0</v>
      </c>
      <c r="G8" s="5" t="n">
        <f aca="false">IFERROR(D8/B8,0)</f>
        <v>0.466666666666667</v>
      </c>
    </row>
    <row r="9" customFormat="false" ht="15" hidden="false" customHeight="false" outlineLevel="0" collapsed="false">
      <c r="A9" s="4" t="s">
        <v>585</v>
      </c>
      <c r="B9" s="11" t="n">
        <v>180000</v>
      </c>
      <c r="C9" s="11" t="n">
        <v>0</v>
      </c>
      <c r="D9" s="11" t="n">
        <v>50000</v>
      </c>
      <c r="E9" s="11" t="n">
        <v>180000</v>
      </c>
      <c r="F9" s="6" t="n">
        <f aca="false">B9-E9</f>
        <v>0</v>
      </c>
      <c r="G9" s="5" t="n">
        <f aca="false">IFERROR(D9/B9,0)</f>
        <v>0.277777777777778</v>
      </c>
    </row>
    <row r="10" customFormat="false" ht="26.85" hidden="false" customHeight="false" outlineLevel="0" collapsed="false">
      <c r="A10" s="4" t="s">
        <v>586</v>
      </c>
      <c r="B10" s="11" t="n">
        <v>120000</v>
      </c>
      <c r="C10" s="11" t="n">
        <v>0</v>
      </c>
      <c r="D10" s="11" t="n">
        <v>0</v>
      </c>
      <c r="E10" s="11" t="n">
        <v>120000</v>
      </c>
      <c r="F10" s="6" t="n">
        <f aca="false">B10-E10</f>
        <v>0</v>
      </c>
      <c r="G10" s="5" t="n">
        <f aca="false">IFERROR(D10/B10,0)</f>
        <v>0</v>
      </c>
    </row>
    <row r="11" customFormat="false" ht="15" hidden="false" customHeight="false" outlineLevel="0" collapsed="false">
      <c r="A11" s="9" t="s">
        <v>587</v>
      </c>
      <c r="B11" s="10" t="n">
        <f aca="false">SUM(B5:B10)</f>
        <v>5100000</v>
      </c>
      <c r="C11" s="10" t="n">
        <f aca="false">SUM(C5:C10)</f>
        <v>2790000</v>
      </c>
      <c r="D11" s="10" t="n">
        <f aca="false">SUM(D5:D10)</f>
        <v>1720000</v>
      </c>
      <c r="E11" s="10" t="n">
        <f aca="false">SUM(E5:E10)</f>
        <v>5160000</v>
      </c>
      <c r="F11" s="10" t="n">
        <f aca="false">SUM(F5:F10)</f>
        <v>-60000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9"/>
  </cols>
  <sheetData>
    <row r="1" customFormat="false" ht="19.7" hidden="false" customHeight="false" outlineLevel="0" collapsed="false">
      <c r="A1" s="1" t="s">
        <v>588</v>
      </c>
    </row>
    <row r="2" customFormat="false" ht="15" hidden="false" customHeight="false" outlineLevel="0" collapsed="false">
      <c r="A2" s="2" t="s">
        <v>589</v>
      </c>
    </row>
    <row r="4" customFormat="false" ht="26.85" hidden="false" customHeight="false" outlineLevel="0" collapsed="false">
      <c r="A4" s="3" t="s">
        <v>590</v>
      </c>
      <c r="B4" s="3" t="s">
        <v>591</v>
      </c>
      <c r="C4" s="3" t="s">
        <v>592</v>
      </c>
      <c r="D4" s="3" t="s">
        <v>593</v>
      </c>
      <c r="E4" s="3" t="s">
        <v>560</v>
      </c>
      <c r="F4" s="3" t="s">
        <v>594</v>
      </c>
      <c r="G4" s="3" t="s">
        <v>595</v>
      </c>
      <c r="H4" s="3" t="s">
        <v>186</v>
      </c>
      <c r="I4" s="3" t="s">
        <v>238</v>
      </c>
    </row>
    <row r="5" customFormat="false" ht="15" hidden="false" customHeight="false" outlineLevel="0" collapsed="false">
      <c r="A5" s="4" t="s">
        <v>596</v>
      </c>
      <c r="B5" s="4" t="s">
        <v>597</v>
      </c>
      <c r="C5" s="4" t="s">
        <v>243</v>
      </c>
      <c r="D5" s="4" t="s">
        <v>243</v>
      </c>
      <c r="E5" s="4" t="s">
        <v>308</v>
      </c>
      <c r="F5" s="4" t="s">
        <v>196</v>
      </c>
      <c r="G5" s="4" t="s">
        <v>196</v>
      </c>
      <c r="H5" s="4" t="s">
        <v>598</v>
      </c>
      <c r="I5" s="4" t="s">
        <v>565</v>
      </c>
    </row>
    <row r="6" customFormat="false" ht="26.85" hidden="false" customHeight="false" outlineLevel="0" collapsed="false">
      <c r="A6" s="4" t="s">
        <v>599</v>
      </c>
      <c r="B6" s="4" t="s">
        <v>465</v>
      </c>
      <c r="C6" s="4" t="s">
        <v>243</v>
      </c>
      <c r="D6" s="4" t="s">
        <v>600</v>
      </c>
      <c r="E6" s="4" t="s">
        <v>600</v>
      </c>
      <c r="F6" s="4" t="s">
        <v>601</v>
      </c>
      <c r="G6" s="4" t="s">
        <v>602</v>
      </c>
      <c r="H6" s="4" t="s">
        <v>331</v>
      </c>
      <c r="I6" s="4" t="s">
        <v>565</v>
      </c>
    </row>
    <row r="7" customFormat="false" ht="26.85" hidden="false" customHeight="false" outlineLevel="0" collapsed="false">
      <c r="A7" s="4" t="s">
        <v>603</v>
      </c>
      <c r="B7" s="4" t="s">
        <v>416</v>
      </c>
      <c r="C7" s="4" t="s">
        <v>312</v>
      </c>
      <c r="D7" s="4" t="s">
        <v>196</v>
      </c>
      <c r="E7" s="4" t="s">
        <v>312</v>
      </c>
      <c r="F7" s="4" t="s">
        <v>196</v>
      </c>
      <c r="G7" s="4" t="s">
        <v>196</v>
      </c>
      <c r="H7" s="4" t="s">
        <v>331</v>
      </c>
      <c r="I7" s="4" t="s">
        <v>407</v>
      </c>
    </row>
    <row r="8" customFormat="false" ht="15" hidden="false" customHeight="false" outlineLevel="0" collapsed="false">
      <c r="A8" s="4" t="s">
        <v>604</v>
      </c>
      <c r="B8" s="4" t="s">
        <v>605</v>
      </c>
      <c r="C8" s="4" t="s">
        <v>312</v>
      </c>
      <c r="D8" s="4" t="s">
        <v>196</v>
      </c>
      <c r="E8" s="4" t="s">
        <v>312</v>
      </c>
      <c r="F8" s="4" t="s">
        <v>196</v>
      </c>
      <c r="G8" s="4" t="s">
        <v>196</v>
      </c>
      <c r="H8" s="4" t="s">
        <v>598</v>
      </c>
      <c r="I8" s="4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0"/>
  </cols>
  <sheetData>
    <row r="1" customFormat="false" ht="19.7" hidden="false" customHeight="false" outlineLevel="0" collapsed="false">
      <c r="A1" s="1" t="s">
        <v>606</v>
      </c>
    </row>
    <row r="4" customFormat="false" ht="15" hidden="false" customHeight="false" outlineLevel="0" collapsed="false">
      <c r="A4" s="3" t="s">
        <v>231</v>
      </c>
      <c r="B4" s="3" t="s">
        <v>607</v>
      </c>
      <c r="C4" s="3" t="s">
        <v>608</v>
      </c>
      <c r="D4" s="3" t="s">
        <v>556</v>
      </c>
      <c r="E4" s="3" t="s">
        <v>609</v>
      </c>
      <c r="F4" s="3" t="s">
        <v>186</v>
      </c>
      <c r="G4" s="3" t="s">
        <v>610</v>
      </c>
      <c r="H4" s="3" t="s">
        <v>238</v>
      </c>
    </row>
    <row r="5" customFormat="false" ht="26.85" hidden="false" customHeight="false" outlineLevel="0" collapsed="false">
      <c r="A5" s="4" t="s">
        <v>611</v>
      </c>
      <c r="B5" s="4" t="s">
        <v>612</v>
      </c>
      <c r="C5" s="4" t="s">
        <v>613</v>
      </c>
      <c r="D5" s="4" t="s">
        <v>614</v>
      </c>
      <c r="E5" s="4" t="s">
        <v>615</v>
      </c>
      <c r="F5" s="4" t="s">
        <v>56</v>
      </c>
      <c r="G5" s="4" t="s">
        <v>412</v>
      </c>
      <c r="H5" s="4" t="s">
        <v>616</v>
      </c>
    </row>
    <row r="6" customFormat="false" ht="26.85" hidden="false" customHeight="false" outlineLevel="0" collapsed="false">
      <c r="A6" s="4" t="s">
        <v>617</v>
      </c>
      <c r="B6" s="4" t="s">
        <v>618</v>
      </c>
      <c r="C6" s="4" t="s">
        <v>619</v>
      </c>
      <c r="D6" s="4" t="s">
        <v>620</v>
      </c>
      <c r="E6" s="4" t="s">
        <v>621</v>
      </c>
      <c r="F6" s="4" t="s">
        <v>56</v>
      </c>
      <c r="G6" s="4" t="s">
        <v>622</v>
      </c>
      <c r="H6" s="4" t="s">
        <v>616</v>
      </c>
    </row>
    <row r="7" customFormat="false" ht="26.85" hidden="false" customHeight="false" outlineLevel="0" collapsed="false">
      <c r="A7" s="4" t="s">
        <v>623</v>
      </c>
      <c r="B7" s="4" t="s">
        <v>24</v>
      </c>
      <c r="C7" s="4" t="s">
        <v>624</v>
      </c>
      <c r="D7" s="4" t="s">
        <v>625</v>
      </c>
      <c r="E7" s="4" t="s">
        <v>626</v>
      </c>
      <c r="F7" s="4" t="s">
        <v>441</v>
      </c>
      <c r="G7" s="4" t="s">
        <v>252</v>
      </c>
      <c r="H7" s="4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5" min="3" style="0" width="12"/>
  </cols>
  <sheetData>
    <row r="1" customFormat="false" ht="19.7" hidden="false" customHeight="false" outlineLevel="0" collapsed="false">
      <c r="A1" s="1" t="s">
        <v>627</v>
      </c>
    </row>
    <row r="4" customFormat="false" ht="15" hidden="false" customHeight="false" outlineLevel="0" collapsed="false">
      <c r="A4" s="3" t="s">
        <v>628</v>
      </c>
      <c r="B4" s="3" t="s">
        <v>629</v>
      </c>
      <c r="C4" s="3" t="s">
        <v>186</v>
      </c>
      <c r="D4" s="3" t="s">
        <v>395</v>
      </c>
      <c r="E4" s="3" t="s">
        <v>238</v>
      </c>
    </row>
    <row r="5" customFormat="false" ht="15" hidden="false" customHeight="false" outlineLevel="0" collapsed="false">
      <c r="A5" s="4" t="s">
        <v>630</v>
      </c>
      <c r="B5" s="4" t="s">
        <v>631</v>
      </c>
      <c r="C5" s="4" t="s">
        <v>56</v>
      </c>
      <c r="D5" s="4" t="s">
        <v>632</v>
      </c>
      <c r="E5" s="4" t="s">
        <v>313</v>
      </c>
    </row>
    <row r="6" customFormat="false" ht="26.85" hidden="false" customHeight="false" outlineLevel="0" collapsed="false">
      <c r="A6" s="4" t="s">
        <v>633</v>
      </c>
      <c r="B6" s="4" t="s">
        <v>634</v>
      </c>
      <c r="C6" s="4" t="s">
        <v>441</v>
      </c>
      <c r="D6" s="4" t="s">
        <v>632</v>
      </c>
      <c r="E6" s="4" t="s">
        <v>407</v>
      </c>
    </row>
    <row r="7" customFormat="false" ht="15" hidden="false" customHeight="false" outlineLevel="0" collapsed="false">
      <c r="A7" s="4" t="s">
        <v>635</v>
      </c>
      <c r="B7" s="4" t="s">
        <v>636</v>
      </c>
      <c r="C7" s="4" t="s">
        <v>56</v>
      </c>
      <c r="D7" s="4" t="s">
        <v>637</v>
      </c>
      <c r="E7" s="4" t="s">
        <v>407</v>
      </c>
    </row>
    <row r="8" customFormat="false" ht="15" hidden="false" customHeight="false" outlineLevel="0" collapsed="false">
      <c r="A8" s="4" t="s">
        <v>638</v>
      </c>
      <c r="B8" s="4" t="s">
        <v>639</v>
      </c>
      <c r="C8" s="4" t="s">
        <v>387</v>
      </c>
      <c r="D8" s="4" t="s">
        <v>640</v>
      </c>
      <c r="E8" s="4" t="s">
        <v>407</v>
      </c>
    </row>
    <row r="9" customFormat="false" ht="15" hidden="false" customHeight="false" outlineLevel="0" collapsed="false">
      <c r="A9" s="4" t="s">
        <v>641</v>
      </c>
      <c r="B9" s="4" t="s">
        <v>642</v>
      </c>
      <c r="C9" s="4" t="s">
        <v>58</v>
      </c>
      <c r="D9" s="4" t="s">
        <v>169</v>
      </c>
      <c r="E9" s="4" t="s">
        <v>407</v>
      </c>
    </row>
    <row r="10" customFormat="false" ht="15" hidden="false" customHeight="false" outlineLevel="0" collapsed="false">
      <c r="A10" s="4" t="s">
        <v>643</v>
      </c>
      <c r="B10" s="4" t="s">
        <v>644</v>
      </c>
      <c r="C10" s="4" t="s">
        <v>52</v>
      </c>
      <c r="D10" s="4" t="s">
        <v>169</v>
      </c>
      <c r="E10" s="4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2026-06-07T03:30:03Z</dcterms:created>
  <dc:creator>openpyxl</dc:creator>
  <dc:description/>
  <dc:language>en-US</dc:language>
  <cp:lastModifiedBy/>
  <dcterms:modified xsi:type="dcterms:W3CDTF">2026-06-07T03:30:03Z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