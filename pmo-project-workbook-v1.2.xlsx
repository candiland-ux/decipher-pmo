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harter" sheetId="2" state="visible" r:id="rId4"/>
    <sheet name="Stakeholders" sheetId="3" state="visible" r:id="rId5"/>
    <sheet name="RACI" sheetId="4" state="visible" r:id="rId6"/>
    <sheet name="Requirements" sheetId="5" state="visible" r:id="rId7"/>
    <sheet name="RAID Log" sheetId="6" state="visible" r:id="rId8"/>
    <sheet name="Schedule" sheetId="7" state="visible" r:id="rId9"/>
    <sheet name="Resources" sheetId="8" state="visible" r:id="rId10"/>
    <sheet name="Budget" sheetId="9" state="visible" r:id="rId11"/>
    <sheet name="Decisions &amp; Changes" sheetId="10" state="visible" r:id="rId12"/>
    <sheet name="Action Items" sheetId="11" state="visible" r:id="rId13"/>
    <sheet name="Vendor Management" sheetId="12" state="visible" r:id="rId14"/>
    <sheet name="Status Reports" sheetId="13" state="visible" r:id="rId15"/>
    <sheet name="UAT Log" sheetId="14" state="visible" r:id="rId16"/>
    <sheet name="Post-Incident Actions" sheetId="15" state="visible" r:id="rId17"/>
    <sheet name="Lessons Learned" sheetId="16" state="visible" r:id="rId18"/>
    <sheet name="Closeout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<sst xmlns="http://schemas.openxmlformats.org/spreadsheetml/2006/main" count="521" uniqueCount="459">
  <si>
    <t xml:space="preserve">PMO Project Workbook</t>
  </si>
  <si>
    <t xml:space="preserve">Single source of truth for one project. All tabs reference this project.</t>
  </si>
  <si>
    <t xml:space="preserve">Document version: v1.2 — 2026-04-27</t>
  </si>
  <si>
    <t xml:space="preserve">Project Identification</t>
  </si>
  <si>
    <t xml:space="preserve">Project name</t>
  </si>
  <si>
    <t xml:space="preserve">Project ID / code</t>
  </si>
  <si>
    <t xml:space="preserve">Project sponsor</t>
  </si>
  <si>
    <t xml:space="preserve">Project manager / PM</t>
  </si>
  <si>
    <t xml:space="preserve">Department / function</t>
  </si>
  <si>
    <t xml:space="preserve">Customer / business unit</t>
  </si>
  <si>
    <t xml:space="preserve">Start date</t>
  </si>
  <si>
    <t xml:space="preserve">Target end date</t>
  </si>
  <si>
    <t xml:space="preserve">Approved budget</t>
  </si>
  <si>
    <t xml:space="preserve">Phase</t>
  </si>
  <si>
    <t xml:space="preserve">Current overall status</t>
  </si>
  <si>
    <t xml:space="preserve">Status rationale</t>
  </si>
  <si>
    <t xml:space="preserve">Last status update</t>
  </si>
  <si>
    <t xml:space="preserve">What On-Track / At-Risk / Off-Track mean</t>
  </si>
  <si>
    <t xml:space="preserve">Status</t>
  </si>
  <si>
    <t xml:space="preserve">Definition for this project</t>
  </si>
  <si>
    <t xml:space="preserve">On-Track</t>
  </si>
  <si>
    <t xml:space="preserve">On track on scope, schedule, and budget. Risks within tolerance. No executive escalations needed.</t>
  </si>
  <si>
    <t xml:space="preserve">At-Risk</t>
  </si>
  <si>
    <t xml:space="preserve">Material issues being actively mitigated, BUT project timeline and budget still expected to hold. Sponsor and steering awareness needed; intervention typically not. Trigger: high-impact risk unmitigated, OR material variance on any single dimension (cost/schedule/scope).</t>
  </si>
  <si>
    <t xml:space="preserve">Off-Track</t>
  </si>
  <si>
    <t xml:space="preserve">Material risk to project completion timing, budget, or scope. Executive intervention required. Trigger: critical-path slip with no recovery plan, OR unrecoverable budget overrun, OR material scope reduction needed, OR sponsor support compromised.</t>
  </si>
  <si>
    <t xml:space="preserve">Note: RAG definitions vary by org. Adjust to your PMO's standards and document the change in the Decisions &amp; Changes log so historical status reports remain interpretable.</t>
  </si>
  <si>
    <t xml:space="preserve">Workbook Map</t>
  </si>
  <si>
    <t xml:space="preserve">#</t>
  </si>
  <si>
    <t xml:space="preserve">Tab</t>
  </si>
  <si>
    <t xml:space="preserve">Purpose</t>
  </si>
  <si>
    <t xml:space="preserve">When you use it</t>
  </si>
  <si>
    <t xml:space="preserve">1</t>
  </si>
  <si>
    <t xml:space="preserve">Cover</t>
  </si>
  <si>
    <t xml:space="preserve">Project ID and tab map</t>
  </si>
  <si>
    <t xml:space="preserve">Always — top-level reference</t>
  </si>
  <si>
    <t xml:space="preserve">2</t>
  </si>
  <si>
    <t xml:space="preserve">Charter</t>
  </si>
  <si>
    <t xml:space="preserve">Business case, scope, objectives, success criteria, sign-offs</t>
  </si>
  <si>
    <t xml:space="preserve">Initiate phase; reference throughout</t>
  </si>
  <si>
    <t xml:space="preserve">3</t>
  </si>
  <si>
    <t xml:space="preserve">Stakeholders</t>
  </si>
  <si>
    <t xml:space="preserve">Stakeholder register and engagement plan</t>
  </si>
  <si>
    <t xml:space="preserve">Initiate / Plan; update as it changes</t>
  </si>
  <si>
    <t xml:space="preserve">4</t>
  </si>
  <si>
    <t xml:space="preserve">RACI</t>
  </si>
  <si>
    <t xml:space="preserve">Decision-level accountability matrix with auto-validation</t>
  </si>
  <si>
    <t xml:space="preserve">Plan phase; revisit on org changes</t>
  </si>
  <si>
    <t xml:space="preserve">5</t>
  </si>
  <si>
    <t xml:space="preserve">Requirements</t>
  </si>
  <si>
    <t xml:space="preserve">Business + technical requirements, traced to design and test</t>
  </si>
  <si>
    <t xml:space="preserve">Plan onward; foundation for UAT</t>
  </si>
  <si>
    <t xml:space="preserve">6</t>
  </si>
  <si>
    <t xml:space="preserve">RAID Log</t>
  </si>
  <si>
    <t xml:space="preserve">Risks, Assumptions, Issues, Dependencies — single integrated log</t>
  </si>
  <si>
    <t xml:space="preserve">Plan onward; weekly review</t>
  </si>
  <si>
    <t xml:space="preserve">7</t>
  </si>
  <si>
    <t xml:space="preserve">Schedule</t>
  </si>
  <si>
    <t xml:space="preserve">Milestones, deliverables, dates, dependencies, status</t>
  </si>
  <si>
    <t xml:space="preserve">Plan onward; weekly update</t>
  </si>
  <si>
    <t xml:space="preserve">8</t>
  </si>
  <si>
    <t xml:space="preserve">Resources</t>
  </si>
  <si>
    <t xml:space="preserve">Team roster, allocation %, type, rate, summary metrics</t>
  </si>
  <si>
    <t xml:space="preserve">9</t>
  </si>
  <si>
    <t xml:space="preserve">Budget</t>
  </si>
  <si>
    <t xml:space="preserve">Budget by category, planned vs actual, variance, forecast</t>
  </si>
  <si>
    <t xml:space="preserve">Plan onward; monthly close</t>
  </si>
  <si>
    <t xml:space="preserve">10</t>
  </si>
  <si>
    <t xml:space="preserve">Decisions &amp; Changes</t>
  </si>
  <si>
    <t xml:space="preserve">Combined log: decisions made AND approved scope/schedule/budget changes</t>
  </si>
  <si>
    <t xml:space="preserve">Throughout — append as decided/approved</t>
  </si>
  <si>
    <t xml:space="preserve">11</t>
  </si>
  <si>
    <t xml:space="preserve">Action Items</t>
  </si>
  <si>
    <t xml:space="preserve">Meeting action items + cross-meeting commitments</t>
  </si>
  <si>
    <t xml:space="preserve">Throughout — review weekly</t>
  </si>
  <si>
    <t xml:space="preserve">12</t>
  </si>
  <si>
    <t xml:space="preserve">Vendor Management</t>
  </si>
  <si>
    <t xml:space="preserve">Vendor SLA, escalations, business reviews, renewals</t>
  </si>
  <si>
    <t xml:space="preserve">Monthly + ad-hoc</t>
  </si>
  <si>
    <t xml:space="preserve">13</t>
  </si>
  <si>
    <t xml:space="preserve">Status Reports</t>
  </si>
  <si>
    <t xml:space="preserve">Weekly status snapshots — running history</t>
  </si>
  <si>
    <t xml:space="preserve">Weekly — append a new row</t>
  </si>
  <si>
    <t xml:space="preserve">14</t>
  </si>
  <si>
    <t xml:space="preserve">UAT Log</t>
  </si>
  <si>
    <t xml:space="preserve">Test cases, execution results, entry/exit criteria</t>
  </si>
  <si>
    <t xml:space="preserve">Test &amp; deploy phase</t>
  </si>
  <si>
    <t xml:space="preserve">15</t>
  </si>
  <si>
    <t xml:space="preserve">Post-Incident Actions</t>
  </si>
  <si>
    <t xml:space="preserve">Cross-incident corrective action tracker with verification</t>
  </si>
  <si>
    <t xml:space="preserve">Standalone — used by all post-incident reviews</t>
  </si>
  <si>
    <t xml:space="preserve">16</t>
  </si>
  <si>
    <t xml:space="preserve">Lessons Learned</t>
  </si>
  <si>
    <t xml:space="preserve">Captured throughout the project, formalized at close</t>
  </si>
  <si>
    <t xml:space="preserve">Throughout, formalized at close</t>
  </si>
  <si>
    <t xml:space="preserve">17</t>
  </si>
  <si>
    <t xml:space="preserve">Closeout</t>
  </si>
  <si>
    <t xml:space="preserve">Final outcomes, benefits realization, archive pointers</t>
  </si>
  <si>
    <t xml:space="preserve">Close phase only</t>
  </si>
  <si>
    <t xml:space="preserve">How to Use This Workbook</t>
  </si>
  <si>
    <t xml:space="preserve">1. Fill in the Cover tab first — every other tab assumes the project ID is set.</t>
  </si>
  <si>
    <t xml:space="preserve">2. Tabs follow lifecycle order: Initiate → Plan → Execute → Test → Close.</t>
  </si>
  <si>
    <t xml:space="preserve">3. The RAID Log replaces separate Risk, Assumption, Issue, and Dependency tabs.</t>
  </si>
  <si>
    <t xml:space="preserve">4. Decisions &amp; Changes is one combined tab — filter by Type column to see decisions vs change requests.</t>
  </si>
  <si>
    <t xml:space="preserve">5. Action Items are distinct from RAID — meeting/working commitments with a name and a date, separate from risks/issues.</t>
  </si>
  <si>
    <t xml:space="preserve">6. Status Reports, Decisions &amp; Changes, and Action Items are append-only. Never overwrite past entries.</t>
  </si>
  <si>
    <t xml:space="preserve">7. RACI integrity: the # of A's column flags activities that don't have exactly one Accountable.</t>
  </si>
  <si>
    <t xml:space="preserve">8. Requirements Trace: Must Have requirements without test cases are flagged in the summary.</t>
  </si>
  <si>
    <t xml:space="preserve">9. Post-Incident Actions is a standalone, cross-incident tracker — not project-specific.</t>
  </si>
  <si>
    <t xml:space="preserve">10. Vendor Management tab tracks vendors engaged on this project — SLAs, escalations, renewal dates.</t>
  </si>
  <si>
    <t xml:space="preserve">Known artifact overlap: stakeholder data</t>
  </si>
  <si>
    <t xml:space="preserve">Stakeholder identification lives in the Stakeholders tab — name, role, classification, RACI level.</t>
  </si>
  <si>
    <t xml:space="preserve">When you build a Communications Plan (separate doc), the Audience Map will need many of the same names.</t>
  </si>
  <si>
    <t xml:space="preserve">Discipline: keep stakeholder identification authoritative in the Stakeholders tab. Keep channel/cadence specifics in the Comms Plan.</t>
  </si>
  <si>
    <t xml:space="preserve">Review for consistency at monthly planning. If a stakeholder changes role, update both.</t>
  </si>
  <si>
    <t xml:space="preserve">Cross-platform compatibility</t>
  </si>
  <si>
    <t xml:space="preserve">Tested in Microsoft Excel and LibreOffice Calc. All formulas use cross-platform compatible functions (no XLOOKUP, IFS, LET).</t>
  </si>
  <si>
    <t xml:space="preserve">Conditional formatting (RAG colors) and dropdowns work in Excel, Google Sheets, and LibreOffice. Apple Numbers may render conditional formatting differently — re-apply if importing to Numbers.</t>
  </si>
  <si>
    <t xml:space="preserve">If migrating to Notion / Asana / Smartsheet / Jira, the methodology applies — re-create the tab structures as databases or boards.</t>
  </si>
  <si>
    <t xml:space="preserve">Project Charter</t>
  </si>
  <si>
    <t xml:space="preserve">The foundational document. Approved at kickoff, referenced throughout.</t>
  </si>
  <si>
    <t xml:space="preserve">Pulled from Cover tab</t>
  </si>
  <si>
    <t xml:space="preserve">Executive accountable for project success</t>
  </si>
  <si>
    <t xml:space="preserve">Person running the project day-to-day</t>
  </si>
  <si>
    <t xml:space="preserve">Date</t>
  </si>
  <si>
    <t xml:space="preserve">Charter version date</t>
  </si>
  <si>
    <t xml:space="preserve">Version</t>
  </si>
  <si>
    <t xml:space="preserve">v1.0, v1.1, etc.</t>
  </si>
  <si>
    <t xml:space="preserve">BUSINESS CASE</t>
  </si>
  <si>
    <t xml:space="preserve">Problem / opportunity</t>
  </si>
  <si>
    <t xml:space="preserve">What problem are we solving?</t>
  </si>
  <si>
    <t xml:space="preserve">Strategic alignment</t>
  </si>
  <si>
    <t xml:space="preserve">Which corporate goal or OKR does this support?</t>
  </si>
  <si>
    <t xml:space="preserve">Expected business value</t>
  </si>
  <si>
    <t xml:space="preserve">Revenue, cost savings, efficiency, risk mitigation — quantified</t>
  </si>
  <si>
    <t xml:space="preserve">Cost of not doing</t>
  </si>
  <si>
    <t xml:space="preserve">What happens if we don't do this?</t>
  </si>
  <si>
    <t xml:space="preserve">OBJECTIVES &amp; SUCCESS CRITERIA</t>
  </si>
  <si>
    <t xml:space="preserve">Project objectives</t>
  </si>
  <si>
    <t xml:space="preserve">3–5 SMART objectives</t>
  </si>
  <si>
    <t xml:space="preserve">Success criteria</t>
  </si>
  <si>
    <t xml:space="preserve">How we'll know we succeeded — measurable</t>
  </si>
  <si>
    <t xml:space="preserve">KPIs / metrics</t>
  </si>
  <si>
    <t xml:space="preserve">Specific metrics with targets</t>
  </si>
  <si>
    <t xml:space="preserve">SCOPE</t>
  </si>
  <si>
    <t xml:space="preserve">In scope</t>
  </si>
  <si>
    <t xml:space="preserve">What this project will deliver</t>
  </si>
  <si>
    <t xml:space="preserve">Out of scope</t>
  </si>
  <si>
    <t xml:space="preserve">Explicitly what this project will NOT deliver</t>
  </si>
  <si>
    <t xml:space="preserve">Assumptions</t>
  </si>
  <si>
    <t xml:space="preserve">Working assumptions</t>
  </si>
  <si>
    <t xml:space="preserve">Constraints</t>
  </si>
  <si>
    <t xml:space="preserve">Time, budget, technical, regulatory, organizational</t>
  </si>
  <si>
    <t xml:space="preserve">DELIVERABLES &amp; MILESTONES</t>
  </si>
  <si>
    <t xml:space="preserve">Major deliverables</t>
  </si>
  <si>
    <t xml:space="preserve">Top-level outputs</t>
  </si>
  <si>
    <t xml:space="preserve">Key milestones</t>
  </si>
  <si>
    <t xml:space="preserve">Top-level dates</t>
  </si>
  <si>
    <t xml:space="preserve">STAKEHOLDERS &amp; GOVERNANCE</t>
  </si>
  <si>
    <t xml:space="preserve">Sponsor</t>
  </si>
  <si>
    <t xml:space="preserve">Final decision authority</t>
  </si>
  <si>
    <t xml:space="preserve">Steering committee</t>
  </si>
  <si>
    <t xml:space="preserve">Names + roles</t>
  </si>
  <si>
    <t xml:space="preserve">Decision-making model</t>
  </si>
  <si>
    <t xml:space="preserve">Consensus, sponsor decides, etc.</t>
  </si>
  <si>
    <t xml:space="preserve">Escalation path</t>
  </si>
  <si>
    <t xml:space="preserve">Who escalates to whom</t>
  </si>
  <si>
    <t xml:space="preserve">BUDGET</t>
  </si>
  <si>
    <t xml:space="preserve">Total approved</t>
  </si>
  <si>
    <t xml:space="preserve">Funding source</t>
  </si>
  <si>
    <t xml:space="preserve">Department, program, capex, opex</t>
  </si>
  <si>
    <t xml:space="preserve">Budget authority</t>
  </si>
  <si>
    <t xml:space="preserve">Who can approve overages</t>
  </si>
  <si>
    <t xml:space="preserve">HIGH-LEVEL RISKS</t>
  </si>
  <si>
    <t xml:space="preserve">Top risks at kickoff</t>
  </si>
  <si>
    <t xml:space="preserve">Top 3–5 risks</t>
  </si>
  <si>
    <t xml:space="preserve">APPROVALS</t>
  </si>
  <si>
    <t xml:space="preserve">Sponsor approval</t>
  </si>
  <si>
    <t xml:space="preserve">Name, date, signature</t>
  </si>
  <si>
    <t xml:space="preserve">PMO approval</t>
  </si>
  <si>
    <t xml:space="preserve">Name, date</t>
  </si>
  <si>
    <t xml:space="preserve">Finance approval</t>
  </si>
  <si>
    <t xml:space="preserve">Other approvals</t>
  </si>
  <si>
    <t xml:space="preserve">Legal, security, compliance as required</t>
  </si>
  <si>
    <t xml:space="preserve">Stakeholder Register &amp; Engagement Plan</t>
  </si>
  <si>
    <t xml:space="preserve">Who matters, what they need, how we engage them.</t>
  </si>
  <si>
    <t xml:space="preserve">Name</t>
  </si>
  <si>
    <t xml:space="preserve">Role / Title</t>
  </si>
  <si>
    <t xml:space="preserve">Org / Department</t>
  </si>
  <si>
    <t xml:space="preserve">Influence</t>
  </si>
  <si>
    <t xml:space="preserve">Interest</t>
  </si>
  <si>
    <t xml:space="preserve">Engagement level</t>
  </si>
  <si>
    <t xml:space="preserve">Preferred channel</t>
  </si>
  <si>
    <t xml:space="preserve">Communication needs / cadence</t>
  </si>
  <si>
    <t xml:space="preserve">RACI Matrix</t>
  </si>
  <si>
    <t xml:space="preserve">Activities/decisions in rows, roles in columns. Exactly ONE A per row.</t>
  </si>
  <si>
    <t xml:space="preserve">Activity / Decision</t>
  </si>
  <si>
    <t xml:space="preserve">PM</t>
  </si>
  <si>
    <t xml:space="preserve">Eng Lead</t>
  </si>
  <si>
    <t xml:space="preserve">QA Lead</t>
  </si>
  <si>
    <t xml:space="preserve">Business / PO</t>
  </si>
  <si>
    <t xml:space="preserve">Security</t>
  </si>
  <si>
    <t xml:space="preserve">Compliance / Legal</t>
  </si>
  <si>
    <t xml:space="preserve">Vendor</t>
  </si>
  <si>
    <t xml:space="preserve"># of A's</t>
  </si>
  <si>
    <t xml:space="preserve">Approve project charter</t>
  </si>
  <si>
    <t xml:space="preserve">Approve scope changes</t>
  </si>
  <si>
    <t xml:space="preserve">Approve budget changes</t>
  </si>
  <si>
    <t xml:space="preserve">Approve schedule changes</t>
  </si>
  <si>
    <t xml:space="preserve">Approve vendor selection</t>
  </si>
  <si>
    <t xml:space="preserve">Sign off on requirements (BRD)</t>
  </si>
  <si>
    <t xml:space="preserve">Sign off on technical design</t>
  </si>
  <si>
    <t xml:space="preserve">Approve UAT entry / exit criteria</t>
  </si>
  <si>
    <t xml:space="preserve">Approve go-live / production deployment</t>
  </si>
  <si>
    <t xml:space="preserve">Approve security review</t>
  </si>
  <si>
    <t xml:space="preserve">Approve compliance review</t>
  </si>
  <si>
    <t xml:space="preserve">Approve customer / external communications</t>
  </si>
  <si>
    <t xml:space="preserve">Resolve P0/P1 issues during execute</t>
  </si>
  <si>
    <t xml:space="preserve">Approve project closeout</t>
  </si>
  <si>
    <t xml:space="preserve">Approve benefits realization plan</t>
  </si>
  <si>
    <t xml:space="preserve">Field guide</t>
  </si>
  <si>
    <t xml:space="preserve">R — Responsible</t>
  </si>
  <si>
    <t xml:space="preserve">Does the work. Multiple R's allowed.</t>
  </si>
  <si>
    <t xml:space="preserve">A — Accountable</t>
  </si>
  <si>
    <t xml:space="preserve">Owns the outcome. Exactly ONE A per row. The buck stops here.</t>
  </si>
  <si>
    <t xml:space="preserve">C — Consulted</t>
  </si>
  <si>
    <t xml:space="preserve">Provides input before the decision. Two-way comms.</t>
  </si>
  <si>
    <t xml:space="preserve">I — Informed</t>
  </si>
  <si>
    <t xml:space="preserve">Notified after the decision. One-way comms.</t>
  </si>
  <si>
    <t xml:space="preserve">R/A or A/R</t>
  </si>
  <si>
    <t xml:space="preserve">Same person both responsible and accountable. Use sparingly.</t>
  </si>
  <si>
    <t xml:space="preserve">Requirements Traceability Matrix</t>
  </si>
  <si>
    <t xml:space="preserve">Every business and technical requirement, traced from source through design to test.</t>
  </si>
  <si>
    <t xml:space="preserve">ID</t>
  </si>
  <si>
    <t xml:space="preserve">Type</t>
  </si>
  <si>
    <t xml:space="preserve">Requirement description</t>
  </si>
  <si>
    <t xml:space="preserve">Source</t>
  </si>
  <si>
    <t xml:space="preserve">Priority</t>
  </si>
  <si>
    <t xml:space="preserve">Owner</t>
  </si>
  <si>
    <t xml:space="preserve">Linked design / spec</t>
  </si>
  <si>
    <t xml:space="preserve">Linked test case</t>
  </si>
  <si>
    <t xml:space="preserve">UAT result</t>
  </si>
  <si>
    <t xml:space="preserve">Coverage summary</t>
  </si>
  <si>
    <t xml:space="preserve">Total requirements</t>
  </si>
  <si>
    <t xml:space="preserve">Must Have count</t>
  </si>
  <si>
    <t xml:space="preserve">Approved or in progress</t>
  </si>
  <si>
    <t xml:space="preserve">UAT pass rate</t>
  </si>
  <si>
    <t xml:space="preserve">Must Have requirements without test case</t>
  </si>
  <si>
    <t xml:space="preserve">RAID Log — Risks, Assumptions, Issues, Dependencies</t>
  </si>
  <si>
    <t xml:space="preserve">Single integrated log. Filter by Type column to view a specific category.</t>
  </si>
  <si>
    <t xml:space="preserve">Description</t>
  </si>
  <si>
    <t xml:space="preserve">Likelihood</t>
  </si>
  <si>
    <t xml:space="preserve">Impact</t>
  </si>
  <si>
    <t xml:space="preserve">Score</t>
  </si>
  <si>
    <t xml:space="preserve">Date raised</t>
  </si>
  <si>
    <t xml:space="preserve">Target close</t>
  </si>
  <si>
    <t xml:space="preserve">Mitigation / response plan</t>
  </si>
  <si>
    <t xml:space="preserve">Schedule — Milestones &amp; Deliverables</t>
  </si>
  <si>
    <t xml:space="preserve">Top-level project schedule. Detailed task management lives in Jira / Smartsheet / MS Project.</t>
  </si>
  <si>
    <t xml:space="preserve">Milestone / deliverable</t>
  </si>
  <si>
    <t xml:space="preserve">Planned start</t>
  </si>
  <si>
    <t xml:space="preserve">Planned end</t>
  </si>
  <si>
    <t xml:space="preserve">Actual end</t>
  </si>
  <si>
    <t xml:space="preserve">Dependencies / notes</t>
  </si>
  <si>
    <t xml:space="preserve">Resource Plan</t>
  </si>
  <si>
    <t xml:space="preserve">People allocated to this project.</t>
  </si>
  <si>
    <t xml:space="preserve">Role on project</t>
  </si>
  <si>
    <t xml:space="preserve">Home department</t>
  </si>
  <si>
    <t xml:space="preserve">Allocation %</t>
  </si>
  <si>
    <t xml:space="preserve">End date</t>
  </si>
  <si>
    <t xml:space="preserve">Hourly / loaded rate</t>
  </si>
  <si>
    <t xml:space="preserve">Notes</t>
  </si>
  <si>
    <t xml:space="preserve">Allocation summary</t>
  </si>
  <si>
    <t xml:space="preserve">Total FTE allocation</t>
  </si>
  <si>
    <t xml:space="preserve">Total contractor allocation</t>
  </si>
  <si>
    <t xml:space="preserve">Headcount on project</t>
  </si>
  <si>
    <t xml:space="preserve">Budget — Planned vs Actual</t>
  </si>
  <si>
    <t xml:space="preserve">Track approved budget against actual spend. Update at month-end close.</t>
  </si>
  <si>
    <t xml:space="preserve">Total approved budget</t>
  </si>
  <si>
    <t xml:space="preserve">Currency</t>
  </si>
  <si>
    <t xml:space="preserve">USD</t>
  </si>
  <si>
    <t xml:space="preserve">As of date</t>
  </si>
  <si>
    <t xml:space="preserve">Category</t>
  </si>
  <si>
    <t xml:space="preserve">Planned ($)</t>
  </si>
  <si>
    <t xml:space="preserve">Committed ($)</t>
  </si>
  <si>
    <t xml:space="preserve">Actual to date ($)</t>
  </si>
  <si>
    <t xml:space="preserve">Variance ($)</t>
  </si>
  <si>
    <t xml:space="preserve">% used</t>
  </si>
  <si>
    <t xml:space="preserve">Labor — internal</t>
  </si>
  <si>
    <t xml:space="preserve">Labor — contractors</t>
  </si>
  <si>
    <t xml:space="preserve">Vendors / SOWs</t>
  </si>
  <si>
    <t xml:space="preserve">Software &amp; tools</t>
  </si>
  <si>
    <t xml:space="preserve">Hardware / infrastructure</t>
  </si>
  <si>
    <t xml:space="preserve">Travel</t>
  </si>
  <si>
    <t xml:space="preserve">Training</t>
  </si>
  <si>
    <t xml:space="preserve">Communications &amp; marketing</t>
  </si>
  <si>
    <t xml:space="preserve">Contingency</t>
  </si>
  <si>
    <t xml:space="preserve">Other</t>
  </si>
  <si>
    <t xml:space="preserve">TOTAL</t>
  </si>
  <si>
    <t xml:space="preserve">Decisions &amp; Changes — Combined Log</t>
  </si>
  <si>
    <t xml:space="preserve">Append-only log of decisions made AND approved scope/schedule/budget changes. Filter by Type.</t>
  </si>
  <si>
    <t xml:space="preserve">Title / decision / change</t>
  </si>
  <si>
    <t xml:space="preserve">Rationale</t>
  </si>
  <si>
    <t xml:space="preserve">Owner / decision-maker</t>
  </si>
  <si>
    <t xml:space="preserve">Schedule impact (days)</t>
  </si>
  <si>
    <t xml:space="preserve">Budget impact ($)</t>
  </si>
  <si>
    <t xml:space="preserve">Scope impact</t>
  </si>
  <si>
    <t xml:space="preserve">Approver</t>
  </si>
  <si>
    <t xml:space="preserve">Decision = a choice made (vendor, design, scope clarification). Change Request = a formal modification to the approved baseline (charter scope, schedule, budget). Filter by this column.</t>
  </si>
  <si>
    <t xml:space="preserve">Decisions</t>
  </si>
  <si>
    <t xml:space="preserve">Don't need a formal approval workflow. Just need to be recorded. Status = Active / Superseded / Reversed.</t>
  </si>
  <si>
    <t xml:space="preserve">Change Requests</t>
  </si>
  <si>
    <t xml:space="preserve">Go through workflow: Submitted → Under Review → Approved / Rejected → Implemented. Schedule and budget impact are required.</t>
  </si>
  <si>
    <t xml:space="preserve">Append-only</t>
  </si>
  <si>
    <t xml:space="preserve">Never delete entries. If a decision is reversed or change is undone, mark superseded/reversed and add a new row.</t>
  </si>
  <si>
    <t xml:space="preserve">Action Items Tracker</t>
  </si>
  <si>
    <t xml:space="preserve">Meeting action items and cross-meeting commitments. Reviewed weekly. Distinct from RAID (issues) and Decisions &amp; Changes.</t>
  </si>
  <si>
    <t xml:space="preserve">Source meeting / context</t>
  </si>
  <si>
    <t xml:space="preserve">Due date</t>
  </si>
  <si>
    <t xml:space="preserve">Quick metrics</t>
  </si>
  <si>
    <t xml:space="preserve">Open + In Progress</t>
  </si>
  <si>
    <t xml:space="preserve">Done</t>
  </si>
  <si>
    <t xml:space="preserve">Blocked</t>
  </si>
  <si>
    <t xml:space="preserve">Carried Over</t>
  </si>
  <si>
    <t xml:space="preserve">Vendor Management Tracker</t>
  </si>
  <si>
    <t xml:space="preserve">Vendors engaged on this project. Track SLA performance, escalations, business reviews, and renewals.</t>
  </si>
  <si>
    <t xml:space="preserve">Service / Tool</t>
  </si>
  <si>
    <t xml:space="preserve">Contract end</t>
  </si>
  <si>
    <t xml:space="preserve">Annual spend ($)</t>
  </si>
  <si>
    <t xml:space="preserve">SLA performance</t>
  </si>
  <si>
    <t xml:space="preserve">Open escalations</t>
  </si>
  <si>
    <t xml:space="preserve">Last business review</t>
  </si>
  <si>
    <t xml:space="preserve">Next renewal action</t>
  </si>
  <si>
    <t xml:space="preserve">Owner / Account mgr</t>
  </si>
  <si>
    <t xml:space="preserve">Total annual vendor spend</t>
  </si>
  <si>
    <t xml:space="preserve">Vendor management discipline</t>
  </si>
  <si>
    <t xml:space="preserve">Track every vendor engaged on the project. Escalation count is leading indicator of contract health. Quarterly business reviews surface issues before renewal. Renewal action 6 months ahead of contract end.</t>
  </si>
  <si>
    <t xml:space="preserve">Status Reports — Running History</t>
  </si>
  <si>
    <t xml:space="preserve">Append a new row each reporting cycle. This is the historical record.</t>
  </si>
  <si>
    <t xml:space="preserve">Report date</t>
  </si>
  <si>
    <t xml:space="preserve">Reporting period</t>
  </si>
  <si>
    <t xml:space="preserve">Reported by</t>
  </si>
  <si>
    <t xml:space="preserve">Overall status</t>
  </si>
  <si>
    <t xml:space="preserve">Key accomplishments this period</t>
  </si>
  <si>
    <t xml:space="preserve">Planned for next period</t>
  </si>
  <si>
    <t xml:space="preserve">Top risks / issues</t>
  </si>
  <si>
    <t xml:space="preserve">Asks / blockers</t>
  </si>
  <si>
    <t xml:space="preserve">UAT Test Case Log</t>
  </si>
  <si>
    <t xml:space="preserve">Each row is one test case run. Pass rate auto-calculates for exit criteria.</t>
  </si>
  <si>
    <t xml:space="preserve">UAT Entry / Exit Criteria</t>
  </si>
  <si>
    <t xml:space="preserve">Entry criteria met (Y/N + date)</t>
  </si>
  <si>
    <t xml:space="preserve">Exit criteria target (% pass)</t>
  </si>
  <si>
    <t xml:space="preserve">Actual pass rate</t>
  </si>
  <si>
    <t xml:space="preserve">UAT lead</t>
  </si>
  <si>
    <t xml:space="preserve">UAT period</t>
  </si>
  <si>
    <t xml:space="preserve">Sign-off received from</t>
  </si>
  <si>
    <t xml:space="preserve">Test Cases</t>
  </si>
  <si>
    <t xml:space="preserve">Test ID</t>
  </si>
  <si>
    <t xml:space="preserve">Test case description</t>
  </si>
  <si>
    <t xml:space="preserve">Linked req (ID from Requirements tab)</t>
  </si>
  <si>
    <t xml:space="preserve">Test data / preconditions</t>
  </si>
  <si>
    <t xml:space="preserve">Expected result</t>
  </si>
  <si>
    <t xml:space="preserve">Tester</t>
  </si>
  <si>
    <t xml:space="preserve">Test date</t>
  </si>
  <si>
    <t xml:space="preserve">Result</t>
  </si>
  <si>
    <t xml:space="preserve">Defect ID (if Fail)</t>
  </si>
  <si>
    <t xml:space="preserve">Test execution summary</t>
  </si>
  <si>
    <t xml:space="preserve">Total test cases</t>
  </si>
  <si>
    <t xml:space="preserve">Pass</t>
  </si>
  <si>
    <t xml:space="preserve">Fail</t>
  </si>
  <si>
    <t xml:space="preserve">Not Run</t>
  </si>
  <si>
    <t xml:space="preserve">Pass rate (Pass / Pass+Fail)</t>
  </si>
  <si>
    <t xml:space="preserve">Defects open (rows with Defect ID)</t>
  </si>
  <si>
    <t xml:space="preserve">Post-Incident Action Tracker</t>
  </si>
  <si>
    <t xml:space="preserve">Cross-incident corrective actions with verification. Standalone tracker — used by all post-incident reviews.</t>
  </si>
  <si>
    <t xml:space="preserve">Tracker summary</t>
  </si>
  <si>
    <t xml:space="preserve">Total open actions</t>
  </si>
  <si>
    <t xml:space="preserve">Overdue</t>
  </si>
  <si>
    <t xml:space="preserve">Done — awaiting verification</t>
  </si>
  <si>
    <t xml:space="preserve">Verified effective</t>
  </si>
  <si>
    <t xml:space="preserve">Re-incidents detected</t>
  </si>
  <si>
    <t xml:space="preserve">Corrective actions</t>
  </si>
  <si>
    <t xml:space="preserve">Action ID</t>
  </si>
  <si>
    <t xml:space="preserve">Incident ID</t>
  </si>
  <si>
    <t xml:space="preserve">Severity</t>
  </si>
  <si>
    <t xml:space="preserve">Action description</t>
  </si>
  <si>
    <t xml:space="preserve">Tied to root cause</t>
  </si>
  <si>
    <t xml:space="preserve">Verification result</t>
  </si>
  <si>
    <t xml:space="preserve">Re-incident? (verification check)</t>
  </si>
  <si>
    <t xml:space="preserve">Sequential — PIA-001, PIA-002, etc.</t>
  </si>
  <si>
    <t xml:space="preserve">Cross-reference to the incident this action came from. One incident may have multiple actions; one action may address multiple incidents.</t>
  </si>
  <si>
    <t xml:space="preserve">Code fix: specific bug. Infrastructure: capacity, redundancy, config. Process: how we work. Tooling: what we use. Training: knowledge gap. Policy: rules. Detection: monitoring/alerting/runbooks.</t>
  </si>
  <si>
    <t xml:space="preserve">Reference the specific root cause from the post-mortem RCA. Helps identify systemic vs one-off fixes.</t>
  </si>
  <si>
    <t xml:space="preserve">Open: not started. In Progress: being worked. Done: implemented. Verified: confirmed effective via test/audit/drill. Dropped: deliberately not pursuing (record rationale in Notes).</t>
  </si>
  <si>
    <t xml:space="preserve">Verification</t>
  </si>
  <si>
    <t xml:space="preserve">30/60/90-day check after Done. Did the fix actually close the gap? Confirmed effective / Partially effective / Not effective.</t>
  </si>
  <si>
    <t xml:space="preserve">Re-incident check</t>
  </si>
  <si>
    <t xml:space="preserve">Has anything similar happened since this action was Done? If Yes, the action wasn't effective — re-open or replace.</t>
  </si>
  <si>
    <t xml:space="preserve">Due date column auto-highlights actions past due that aren't Done/Verified/Dropped.</t>
  </si>
  <si>
    <t xml:space="preserve">Captured throughout the project, finalized at close.</t>
  </si>
  <si>
    <t xml:space="preserve">Lesson / observation</t>
  </si>
  <si>
    <t xml:space="preserve">Recommendation for next time</t>
  </si>
  <si>
    <t xml:space="preserve">Owner to share / apply</t>
  </si>
  <si>
    <t xml:space="preserve">Project Closeout Report</t>
  </si>
  <si>
    <t xml:space="preserve">Completed at project close.</t>
  </si>
  <si>
    <t xml:space="preserve">Closeout date</t>
  </si>
  <si>
    <t xml:space="preserve">FINAL OUTCOMES</t>
  </si>
  <si>
    <t xml:space="preserve">Objectives met (Y/N + summary)</t>
  </si>
  <si>
    <t xml:space="preserve">For each charter objective: was it delivered?</t>
  </si>
  <si>
    <t xml:space="preserve">Success criteria achieved</t>
  </si>
  <si>
    <t xml:space="preserve">Per charter — score against each measurable criterion</t>
  </si>
  <si>
    <t xml:space="preserve">Final scope vs original</t>
  </si>
  <si>
    <t xml:space="preserve">What shipped vs what was originally planned</t>
  </si>
  <si>
    <t xml:space="preserve">Final schedule vs original</t>
  </si>
  <si>
    <t xml:space="preserve">Planned end vs actual end — explain variance</t>
  </si>
  <si>
    <t xml:space="preserve">Final budget vs approved</t>
  </si>
  <si>
    <t xml:space="preserve">Approved budget vs actual spend — explain variance</t>
  </si>
  <si>
    <t xml:space="preserve">BENEFITS REALIZATION</t>
  </si>
  <si>
    <t xml:space="preserve">Expected business value (from charter)</t>
  </si>
  <si>
    <t xml:space="preserve">Restate what the project promised</t>
  </si>
  <si>
    <t xml:space="preserve">Realized benefits to date</t>
  </si>
  <si>
    <t xml:space="preserve">What's already been measured / achieved</t>
  </si>
  <si>
    <t xml:space="preserve">Outstanding benefits</t>
  </si>
  <si>
    <t xml:space="preserve">Benefits expected to materialize after closeout — and when</t>
  </si>
  <si>
    <t xml:space="preserve">Benefit owner post-closeout</t>
  </si>
  <si>
    <t xml:space="preserve">Who tracks realized benefits going forward</t>
  </si>
  <si>
    <t xml:space="preserve">Measurement plan</t>
  </si>
  <si>
    <t xml:space="preserve">How and when realized benefits will be verified</t>
  </si>
  <si>
    <t xml:space="preserve">STAKEHOLDER FEEDBACK</t>
  </si>
  <si>
    <t xml:space="preserve">Sponsor feedback</t>
  </si>
  <si>
    <t xml:space="preserve">From sponsor</t>
  </si>
  <si>
    <t xml:space="preserve">Customer / business feedback</t>
  </si>
  <si>
    <t xml:space="preserve">From end users / business unit</t>
  </si>
  <si>
    <t xml:space="preserve">Team feedback</t>
  </si>
  <si>
    <t xml:space="preserve">From the project team</t>
  </si>
  <si>
    <t xml:space="preserve">OPEN ITEMS AT CLOSE</t>
  </si>
  <si>
    <t xml:space="preserve">Outstanding risks transferred</t>
  </si>
  <si>
    <t xml:space="preserve">Risks that persist beyond the project — to whom transferred</t>
  </si>
  <si>
    <t xml:space="preserve">Unfinished deliverables</t>
  </si>
  <si>
    <t xml:space="preserve">If anything is incomplete — handoff plan</t>
  </si>
  <si>
    <t xml:space="preserve">Operational handoff</t>
  </si>
  <si>
    <t xml:space="preserve">Who owns the deliverables operationally</t>
  </si>
  <si>
    <t xml:space="preserve">LESSONS &amp; KNOWLEDGE TRANSFER</t>
  </si>
  <si>
    <t xml:space="preserve">Top 3 wins to repeat</t>
  </si>
  <si>
    <t xml:space="preserve">From Lessons Learned</t>
  </si>
  <si>
    <t xml:space="preserve">Top 3 changes for next time</t>
  </si>
  <si>
    <t xml:space="preserve">Biggest things to do differently</t>
  </si>
  <si>
    <t xml:space="preserve">Knowledge base updates made</t>
  </si>
  <si>
    <t xml:space="preserve">Where lessons were filed for reuse</t>
  </si>
  <si>
    <t xml:space="preserve">ARCHIVE &amp; DOCUMENTATION</t>
  </si>
  <si>
    <t xml:space="preserve">Workbook archive location</t>
  </si>
  <si>
    <t xml:space="preserve">Where this workbook is stored</t>
  </si>
  <si>
    <t xml:space="preserve">Supporting documents archived</t>
  </si>
  <si>
    <t xml:space="preserve">Charter, contracts, design docs, test results</t>
  </si>
  <si>
    <t xml:space="preserve">Records retention period</t>
  </si>
  <si>
    <t xml:space="preserve">How long these records must be retained</t>
  </si>
  <si>
    <t xml:space="preserve">Sponsor sign-off on closeout</t>
  </si>
  <si>
    <t xml:space="preserve">PMO sign-off on closeout</t>
  </si>
  <si>
    <t xml:space="preserve">Finance sign-off (budget close)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</si>
</sst>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0"/>
    <numFmt numFmtId="167" formatCode="0.0%"/>
    <numFmt numFmtId="168" formatCode="yyyy\-mm\-dd"/>
    <numFmt numFmtId="169" formatCode="0%"/>
    <numFmt numFmtId="170" formatCode="\$#,##0.00"/>
    <numFmt numFmtId="171" formatCode="0.0"/>
    <numFmt numFmtId="172" formatCode="\$#,##0"/>
    <numFmt numFmtId="173" formatCode="\$#,##0;&quot;($&quot;#,##0\);\-"/>
    <numFmt numFmtId="174" formatCode="0;\(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3864"/>
      <name val="Arial"/>
      <family val="2"/>
      <charset val="1"/>
    </font>
    <font>
      <i val="true"/>
      <sz val="11"/>
      <color rgb="FF595959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4"/>
      <color rgb="FF1F3864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20"/>
      <color rgb="FF1F3864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sz val="10"/>
      <color rgb="FF595959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A9D08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A9D08E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6" min="4" style="0" width="22"/>
  </cols>
  <sheetData>
    <row r="1" customFormat="false" ht="16.5" hidden="false" customHeight="true" outlineLevel="0" collapsed="false"/>
    <row r="2" customFormat="false" ht="33" hidden="false" customHeight="true" outlineLevel="0" collapsed="false">
      <c r="B2" s="1" t="s">
        <v>0</v>
      </c>
    </row>
    <row r="3" customFormat="false" ht="16.5" hidden="false" customHeight="true" outlineLevel="0" collapsed="false">
      <c r="B3" s="2" t="s">
        <v>1</v>
      </c>
    </row>
    <row r="4" customFormat="false" ht="16.5" hidden="false" customHeight="true" outlineLevel="0" collapsed="false">
      <c r="B4" s="3" t="s">
        <v>2</v>
      </c>
    </row>
    <row r="5" customFormat="false" ht="18.75" hidden="false" customHeight="true" outlineLevel="0" collapsed="false">
      <c r="B5" s="4" t="s">
        <v>3</v>
      </c>
    </row>
    <row r="6" customFormat="false" ht="16.5" hidden="false" customHeight="true" outlineLevel="0" collapsed="false"/>
    <row r="7" customFormat="false" ht="16.5" hidden="false" customHeight="true" outlineLevel="0" collapsed="false">
      <c r="B7" s="5" t="s">
        <v>4</v>
      </c>
      <c r="C7" s="6"/>
      <c r="D7" s="6"/>
      <c r="E7" s="6"/>
      <c r="F7" s="6"/>
    </row>
    <row r="8" customFormat="false" ht="16.5" hidden="false" customHeight="true" outlineLevel="0" collapsed="false">
      <c r="B8" s="5" t="s">
        <v>5</v>
      </c>
      <c r="C8" s="6"/>
      <c r="D8" s="6"/>
      <c r="E8" s="6"/>
      <c r="F8" s="6"/>
    </row>
    <row r="9" customFormat="false" ht="16.5" hidden="false" customHeight="true" outlineLevel="0" collapsed="false">
      <c r="B9" s="5" t="s">
        <v>6</v>
      </c>
      <c r="C9" s="6"/>
      <c r="D9" s="6"/>
      <c r="E9" s="6"/>
      <c r="F9" s="6"/>
    </row>
    <row r="10" customFormat="false" ht="16.5" hidden="false" customHeight="true" outlineLevel="0" collapsed="false">
      <c r="B10" s="5" t="s">
        <v>7</v>
      </c>
      <c r="C10" s="6"/>
      <c r="D10" s="6"/>
      <c r="E10" s="6"/>
      <c r="F10" s="6"/>
    </row>
    <row r="11" customFormat="false" ht="16.5" hidden="false" customHeight="true" outlineLevel="0" collapsed="false">
      <c r="B11" s="5" t="s">
        <v>8</v>
      </c>
      <c r="C11" s="6"/>
      <c r="D11" s="6"/>
      <c r="E11" s="6"/>
      <c r="F11" s="6"/>
    </row>
    <row r="12" customFormat="false" ht="16.5" hidden="false" customHeight="true" outlineLevel="0" collapsed="false">
      <c r="B12" s="5" t="s">
        <v>9</v>
      </c>
      <c r="C12" s="6"/>
      <c r="D12" s="6"/>
      <c r="E12" s="6"/>
      <c r="F12" s="6"/>
    </row>
    <row r="13" customFormat="false" ht="16.5" hidden="false" customHeight="true" outlineLevel="0" collapsed="false">
      <c r="B13" s="5" t="s">
        <v>10</v>
      </c>
      <c r="C13" s="6"/>
      <c r="D13" s="6"/>
      <c r="E13" s="6"/>
      <c r="F13" s="6"/>
    </row>
    <row r="14" customFormat="false" ht="16.5" hidden="false" customHeight="true" outlineLevel="0" collapsed="false">
      <c r="B14" s="5" t="s">
        <v>11</v>
      </c>
      <c r="C14" s="6"/>
      <c r="D14" s="6"/>
      <c r="E14" s="6"/>
      <c r="F14" s="6"/>
    </row>
    <row r="15" customFormat="false" ht="16.5" hidden="false" customHeight="true" outlineLevel="0" collapsed="false">
      <c r="B15" s="5" t="s">
        <v>12</v>
      </c>
      <c r="C15" s="6"/>
      <c r="D15" s="6"/>
      <c r="E15" s="6"/>
      <c r="F15" s="6"/>
    </row>
    <row r="16" customFormat="false" ht="16.5" hidden="false" customHeight="true" outlineLevel="0" collapsed="false">
      <c r="B16" s="5" t="s">
        <v>13</v>
      </c>
      <c r="C16" s="6"/>
      <c r="D16" s="6"/>
      <c r="E16" s="6"/>
      <c r="F16" s="6"/>
    </row>
    <row r="17" customFormat="false" ht="16.5" hidden="false" customHeight="true" outlineLevel="0" collapsed="false">
      <c r="B17" s="5" t="s">
        <v>14</v>
      </c>
      <c r="C17" s="6"/>
      <c r="D17" s="6"/>
      <c r="E17" s="6"/>
      <c r="F17" s="6"/>
    </row>
    <row r="18" customFormat="false" ht="60" hidden="false" customHeight="true" outlineLevel="0" collapsed="false">
      <c r="B18" s="5" t="s">
        <v>15</v>
      </c>
      <c r="C18" s="6"/>
      <c r="D18" s="6"/>
      <c r="E18" s="6"/>
      <c r="F18" s="6"/>
    </row>
    <row r="19" customFormat="false" ht="16.5" hidden="false" customHeight="true" outlineLevel="0" collapsed="false">
      <c r="B19" s="5" t="s">
        <v>16</v>
      </c>
      <c r="C19" s="6"/>
      <c r="D19" s="6"/>
      <c r="E19" s="6"/>
      <c r="F19" s="6"/>
    </row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>
      <c r="B22" s="4" t="s">
        <v>17</v>
      </c>
    </row>
    <row r="23" customFormat="false" ht="16.5" hidden="false" customHeight="true" outlineLevel="0" collapsed="false"/>
    <row r="24" customFormat="false" ht="27.75" hidden="false" customHeight="true" outlineLevel="0" collapsed="false">
      <c r="B24" s="7" t="s">
        <v>18</v>
      </c>
      <c r="C24" s="7" t="s">
        <v>19</v>
      </c>
    </row>
    <row r="25" customFormat="false" ht="60" hidden="false" customHeight="true" outlineLevel="0" collapsed="false">
      <c r="B25" s="8" t="s">
        <v>20</v>
      </c>
      <c r="C25" s="9" t="s">
        <v>21</v>
      </c>
      <c r="D25" s="9"/>
      <c r="E25" s="9"/>
      <c r="F25" s="9"/>
    </row>
    <row r="26" customFormat="false" ht="60" hidden="false" customHeight="true" outlineLevel="0" collapsed="false">
      <c r="B26" s="10" t="s">
        <v>22</v>
      </c>
      <c r="C26" s="9" t="s">
        <v>23</v>
      </c>
      <c r="D26" s="9"/>
      <c r="E26" s="9"/>
      <c r="F26" s="9"/>
    </row>
    <row r="27" customFormat="false" ht="60" hidden="false" customHeight="true" outlineLevel="0" collapsed="false">
      <c r="B27" s="11" t="s">
        <v>24</v>
      </c>
      <c r="C27" s="9" t="s">
        <v>25</v>
      </c>
      <c r="D27" s="9"/>
      <c r="E27" s="9"/>
      <c r="F27" s="9"/>
    </row>
    <row r="28" customFormat="false" ht="16.5" hidden="false" customHeight="true" outlineLevel="0" collapsed="false"/>
    <row r="29" customFormat="false" ht="31.5" hidden="false" customHeight="true" outlineLevel="0" collapsed="false">
      <c r="B29" s="12" t="s">
        <v>26</v>
      </c>
      <c r="C29" s="12"/>
      <c r="D29" s="12"/>
      <c r="E29" s="12"/>
      <c r="F29" s="12"/>
    </row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>
      <c r="B33" s="4" t="s">
        <v>27</v>
      </c>
    </row>
    <row r="34" customFormat="false" ht="16.5" hidden="false" customHeight="true" outlineLevel="0" collapsed="false"/>
    <row r="35" customFormat="false" ht="16.5" hidden="false" customHeight="true" outlineLevel="0" collapsed="false">
      <c r="B35" s="7" t="s">
        <v>28</v>
      </c>
      <c r="C35" s="7" t="s">
        <v>29</v>
      </c>
      <c r="D35" s="7" t="s">
        <v>30</v>
      </c>
      <c r="E35" s="7" t="s">
        <v>31</v>
      </c>
    </row>
    <row r="36" customFormat="false" ht="31.5" hidden="false" customHeight="true" outlineLevel="0" collapsed="false">
      <c r="B36" s="9" t="s">
        <v>32</v>
      </c>
      <c r="C36" s="9" t="s">
        <v>33</v>
      </c>
      <c r="D36" s="9" t="s">
        <v>34</v>
      </c>
      <c r="E36" s="9" t="s">
        <v>35</v>
      </c>
    </row>
    <row r="37" customFormat="false" ht="48" hidden="false" customHeight="tru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</row>
    <row r="38" customFormat="false" ht="31.5" hidden="false" customHeight="true" outlineLevel="0" collapsed="false">
      <c r="B38" s="9" t="s">
        <v>40</v>
      </c>
      <c r="C38" s="9" t="s">
        <v>41</v>
      </c>
      <c r="D38" s="9" t="s">
        <v>42</v>
      </c>
      <c r="E38" s="9" t="s">
        <v>43</v>
      </c>
    </row>
    <row r="39" customFormat="false" ht="48" hidden="false" customHeight="true" outlineLevel="0" collapsed="false">
      <c r="B39" s="13" t="s">
        <v>44</v>
      </c>
      <c r="C39" s="13" t="s">
        <v>45</v>
      </c>
      <c r="D39" s="13" t="s">
        <v>46</v>
      </c>
      <c r="E39" s="13" t="s">
        <v>47</v>
      </c>
    </row>
    <row r="40" customFormat="false" ht="48" hidden="false" customHeight="true" outlineLevel="0" collapsed="false">
      <c r="B40" s="9" t="s">
        <v>48</v>
      </c>
      <c r="C40" s="9" t="s">
        <v>49</v>
      </c>
      <c r="D40" s="9" t="s">
        <v>50</v>
      </c>
      <c r="E40" s="9" t="s">
        <v>51</v>
      </c>
    </row>
    <row r="41" customFormat="false" ht="48" hidden="false" customHeight="true" outlineLevel="0" collapsed="false">
      <c r="B41" s="13" t="s">
        <v>52</v>
      </c>
      <c r="C41" s="13" t="s">
        <v>53</v>
      </c>
      <c r="D41" s="13" t="s">
        <v>54</v>
      </c>
      <c r="E41" s="13" t="s">
        <v>55</v>
      </c>
    </row>
    <row r="42" customFormat="false" ht="48" hidden="false" customHeight="true" outlineLevel="0" collapsed="false">
      <c r="B42" s="9" t="s">
        <v>56</v>
      </c>
      <c r="C42" s="9" t="s">
        <v>57</v>
      </c>
      <c r="D42" s="9" t="s">
        <v>58</v>
      </c>
      <c r="E42" s="9" t="s">
        <v>59</v>
      </c>
    </row>
    <row r="43" customFormat="false" ht="48" hidden="false" customHeight="true" outlineLevel="0" collapsed="false">
      <c r="B43" s="13" t="s">
        <v>60</v>
      </c>
      <c r="C43" s="13" t="s">
        <v>61</v>
      </c>
      <c r="D43" s="13" t="s">
        <v>62</v>
      </c>
      <c r="E43" s="13" t="s">
        <v>55</v>
      </c>
    </row>
    <row r="44" customFormat="false" ht="48" hidden="false" customHeight="true" outlineLevel="0" collapsed="false">
      <c r="B44" s="9" t="s">
        <v>63</v>
      </c>
      <c r="C44" s="9" t="s">
        <v>64</v>
      </c>
      <c r="D44" s="9" t="s">
        <v>65</v>
      </c>
      <c r="E44" s="9" t="s">
        <v>66</v>
      </c>
    </row>
    <row r="45" customFormat="false" ht="63" hidden="false" customHeight="true" outlineLevel="0" collapsed="false">
      <c r="B45" s="13" t="s">
        <v>67</v>
      </c>
      <c r="C45" s="13" t="s">
        <v>68</v>
      </c>
      <c r="D45" s="13" t="s">
        <v>69</v>
      </c>
      <c r="E45" s="13" t="s">
        <v>70</v>
      </c>
    </row>
    <row r="46" customFormat="false" ht="48" hidden="false" customHeight="true" outlineLevel="0" collapsed="false">
      <c r="B46" s="9" t="s">
        <v>71</v>
      </c>
      <c r="C46" s="9" t="s">
        <v>72</v>
      </c>
      <c r="D46" s="9" t="s">
        <v>73</v>
      </c>
      <c r="E46" s="9" t="s">
        <v>74</v>
      </c>
    </row>
    <row r="47" customFormat="false" ht="48" hidden="false" customHeight="true" outlineLevel="0" collapsed="false">
      <c r="B47" s="13" t="s">
        <v>75</v>
      </c>
      <c r="C47" s="13" t="s">
        <v>76</v>
      </c>
      <c r="D47" s="13" t="s">
        <v>77</v>
      </c>
      <c r="E47" s="13" t="s">
        <v>78</v>
      </c>
    </row>
    <row r="48" customFormat="false" ht="31.5" hidden="false" customHeight="true" outlineLevel="0" collapsed="false">
      <c r="B48" s="9" t="s">
        <v>79</v>
      </c>
      <c r="C48" s="9" t="s">
        <v>80</v>
      </c>
      <c r="D48" s="9" t="s">
        <v>81</v>
      </c>
      <c r="E48" s="9" t="s">
        <v>82</v>
      </c>
    </row>
    <row r="49" customFormat="false" ht="48" hidden="false" customHeight="true" outlineLevel="0" collapsed="false">
      <c r="B49" s="13" t="s">
        <v>83</v>
      </c>
      <c r="C49" s="13" t="s">
        <v>84</v>
      </c>
      <c r="D49" s="13" t="s">
        <v>85</v>
      </c>
      <c r="E49" s="13" t="s">
        <v>86</v>
      </c>
    </row>
    <row r="50" customFormat="false" ht="48" hidden="false" customHeight="true" outlineLevel="0" collapsed="false">
      <c r="B50" s="9" t="s">
        <v>87</v>
      </c>
      <c r="C50" s="9" t="s">
        <v>88</v>
      </c>
      <c r="D50" s="9" t="s">
        <v>89</v>
      </c>
      <c r="E50" s="9" t="s">
        <v>90</v>
      </c>
    </row>
    <row r="51" customFormat="false" ht="48" hidden="false" customHeight="true" outlineLevel="0" collapsed="false">
      <c r="B51" s="13" t="s">
        <v>91</v>
      </c>
      <c r="C51" s="13" t="s">
        <v>92</v>
      </c>
      <c r="D51" s="13" t="s">
        <v>93</v>
      </c>
      <c r="E51" s="13" t="s">
        <v>94</v>
      </c>
    </row>
    <row r="52" customFormat="false" ht="48" hidden="false" customHeight="true" outlineLevel="0" collapsed="false">
      <c r="B52" s="9" t="s">
        <v>95</v>
      </c>
      <c r="C52" s="9" t="s">
        <v>96</v>
      </c>
      <c r="D52" s="9" t="s">
        <v>97</v>
      </c>
      <c r="E52" s="9" t="s">
        <v>98</v>
      </c>
    </row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>
      <c r="B55" s="4" t="s">
        <v>99</v>
      </c>
    </row>
    <row r="56" customFormat="false" ht="16.5" hidden="false" customHeight="true" outlineLevel="0" collapsed="false"/>
    <row r="57" customFormat="false" ht="21.75" hidden="false" customHeight="true" outlineLevel="0" collapsed="false">
      <c r="B57" s="14" t="s">
        <v>100</v>
      </c>
      <c r="C57" s="14"/>
      <c r="D57" s="14"/>
      <c r="E57" s="14"/>
      <c r="F57" s="14"/>
    </row>
    <row r="58" customFormat="false" ht="21.75" hidden="false" customHeight="true" outlineLevel="0" collapsed="false">
      <c r="B58" s="14" t="s">
        <v>101</v>
      </c>
      <c r="C58" s="14"/>
      <c r="D58" s="14"/>
      <c r="E58" s="14"/>
      <c r="F58" s="14"/>
    </row>
    <row r="59" customFormat="false" ht="21.75" hidden="false" customHeight="true" outlineLevel="0" collapsed="false">
      <c r="B59" s="14" t="s">
        <v>102</v>
      </c>
      <c r="C59" s="14"/>
      <c r="D59" s="14"/>
      <c r="E59" s="14"/>
      <c r="F59" s="14"/>
    </row>
    <row r="60" customFormat="false" ht="21.75" hidden="false" customHeight="true" outlineLevel="0" collapsed="false">
      <c r="B60" s="14" t="s">
        <v>103</v>
      </c>
      <c r="C60" s="14"/>
      <c r="D60" s="14"/>
      <c r="E60" s="14"/>
      <c r="F60" s="14"/>
    </row>
    <row r="61" customFormat="false" ht="21.75" hidden="false" customHeight="true" outlineLevel="0" collapsed="false">
      <c r="B61" s="14" t="s">
        <v>104</v>
      </c>
      <c r="C61" s="14"/>
      <c r="D61" s="14"/>
      <c r="E61" s="14"/>
      <c r="F61" s="14"/>
    </row>
    <row r="62" customFormat="false" ht="21.75" hidden="false" customHeight="true" outlineLevel="0" collapsed="false">
      <c r="B62" s="14" t="s">
        <v>105</v>
      </c>
      <c r="C62" s="14"/>
      <c r="D62" s="14"/>
      <c r="E62" s="14"/>
      <c r="F62" s="14"/>
    </row>
    <row r="63" customFormat="false" ht="21.75" hidden="false" customHeight="true" outlineLevel="0" collapsed="false">
      <c r="B63" s="14" t="s">
        <v>106</v>
      </c>
      <c r="C63" s="14"/>
      <c r="D63" s="14"/>
      <c r="E63" s="14"/>
      <c r="F63" s="14"/>
    </row>
    <row r="64" customFormat="false" ht="21.75" hidden="false" customHeight="true" outlineLevel="0" collapsed="false">
      <c r="B64" s="14" t="s">
        <v>107</v>
      </c>
      <c r="C64" s="14"/>
      <c r="D64" s="14"/>
      <c r="E64" s="14"/>
      <c r="F64" s="14"/>
    </row>
    <row r="65" customFormat="false" ht="21.75" hidden="false" customHeight="true" outlineLevel="0" collapsed="false">
      <c r="B65" s="14" t="s">
        <v>108</v>
      </c>
      <c r="C65" s="14"/>
      <c r="D65" s="14"/>
      <c r="E65" s="14"/>
      <c r="F65" s="14"/>
    </row>
    <row r="66" customFormat="false" ht="21.75" hidden="false" customHeight="true" outlineLevel="0" collapsed="false">
      <c r="B66" s="14" t="s">
        <v>109</v>
      </c>
      <c r="C66" s="14"/>
      <c r="D66" s="14"/>
      <c r="E66" s="14"/>
      <c r="F66" s="14"/>
    </row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>
      <c r="B69" s="4" t="s">
        <v>110</v>
      </c>
    </row>
    <row r="70" customFormat="false" ht="16.5" hidden="false" customHeight="true" outlineLevel="0" collapsed="false"/>
    <row r="71" customFormat="false" ht="27.75" hidden="false" customHeight="true" outlineLevel="0" collapsed="false">
      <c r="B71" s="14" t="s">
        <v>111</v>
      </c>
      <c r="C71" s="14"/>
      <c r="D71" s="14"/>
      <c r="E71" s="14"/>
      <c r="F71" s="14"/>
    </row>
    <row r="72" customFormat="false" ht="27.75" hidden="false" customHeight="true" outlineLevel="0" collapsed="false">
      <c r="B72" s="14" t="s">
        <v>112</v>
      </c>
      <c r="C72" s="14"/>
      <c r="D72" s="14"/>
      <c r="E72" s="14"/>
      <c r="F72" s="14"/>
    </row>
    <row r="73" customFormat="false" ht="27.75" hidden="false" customHeight="true" outlineLevel="0" collapsed="false">
      <c r="B73" s="14" t="s">
        <v>113</v>
      </c>
      <c r="C73" s="14"/>
      <c r="D73" s="14"/>
      <c r="E73" s="14"/>
      <c r="F73" s="14"/>
    </row>
    <row r="74" customFormat="false" ht="27.75" hidden="false" customHeight="true" outlineLevel="0" collapsed="false">
      <c r="B74" s="14" t="s">
        <v>114</v>
      </c>
      <c r="C74" s="14"/>
      <c r="D74" s="14"/>
      <c r="E74" s="14"/>
      <c r="F74" s="14"/>
    </row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>
      <c r="B77" s="4" t="s">
        <v>115</v>
      </c>
    </row>
    <row r="78" customFormat="false" ht="16.5" hidden="false" customHeight="true" outlineLevel="0" collapsed="false"/>
    <row r="79" customFormat="false" ht="27.75" hidden="false" customHeight="true" outlineLevel="0" collapsed="false">
      <c r="B79" s="14" t="s">
        <v>116</v>
      </c>
      <c r="C79" s="14"/>
      <c r="D79" s="14"/>
      <c r="E79" s="14"/>
      <c r="F79" s="14"/>
    </row>
    <row r="80" customFormat="false" ht="31.5" hidden="false" customHeight="true" outlineLevel="0" collapsed="false">
      <c r="B80" s="14" t="s">
        <v>117</v>
      </c>
      <c r="C80" s="14"/>
      <c r="D80" s="14"/>
      <c r="E80" s="14"/>
      <c r="F80" s="14"/>
    </row>
    <row r="81" customFormat="false" ht="27.75" hidden="false" customHeight="true" outlineLevel="0" collapsed="false">
      <c r="B81" s="14" t="s">
        <v>118</v>
      </c>
      <c r="C81" s="14"/>
      <c r="D81" s="14"/>
      <c r="E81" s="14"/>
      <c r="F81" s="14"/>
    </row>
  </sheetData>
  <mergeCells count="34"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5:F25"/>
    <mergeCell ref="C26:F26"/>
    <mergeCell ref="C27:F27"/>
    <mergeCell ref="B29:F29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71:F71"/>
    <mergeCell ref="B72:F72"/>
    <mergeCell ref="B73:F73"/>
    <mergeCell ref="B74:F74"/>
    <mergeCell ref="B79:F79"/>
    <mergeCell ref="B80:F80"/>
    <mergeCell ref="B81:F81"/>
  </mergeCells>
  <conditionalFormatting sqref="C17">
    <cfRule type="expression" priority="2" aboveAverage="0" equalAverage="0" bottom="0" percent="0" rank="0" text="" dxfId="0">
      <formula>EXACT(C17,"Off-Track")</formula>
    </cfRule>
    <cfRule type="expression" priority="3" aboveAverage="0" equalAverage="0" bottom="0" percent="0" rank="0" text="" dxfId="1">
      <formula>EXACT(C17,"At-Risk")</formula>
    </cfRule>
    <cfRule type="expression" priority="4" aboveAverage="0" equalAverage="0" bottom="0" percent="0" rank="0" text="" dxfId="2">
      <formula>EXACT(C17,"On-Track")</formula>
    </cfRule>
  </conditionalFormatting>
  <dataValidations count="2">
    <dataValidation allowBlank="true" errorStyle="stop" operator="between" showDropDown="false" showErrorMessage="false" showInputMessage="false" sqref="C16" type="list">
      <formula1>"Initiate,Plan,Execute,Monitor &amp; Control,Close,On Hold"</formula1>
      <formula2>0</formula2>
    </dataValidation>
    <dataValidation allowBlank="true" errorStyle="stop" operator="between" showDropDown="false" showErrorMessage="false" showInputMessage="false" sqref="C17" type="list">
      <formula1>"On-Track,At-Risk,Off-Track,Not Started,On Hold,Complete"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119</v>
      </c>
    </row>
    <row r="3" customFormat="false" ht="16.5" hidden="false" customHeight="true" outlineLevel="0" collapsed="false">
      <c r="B3" s="2" t="s">
        <v>120</v>
      </c>
    </row>
    <row r="4" customFormat="false" ht="16.5" hidden="false" customHeight="true" outlineLevel="0" collapsed="false"/>
    <row r="5" customFormat="false" ht="36" hidden="false" customHeight="true" outlineLevel="0" collapsed="false">
      <c r="B5" s="5" t="s">
        <v>4</v>
      </c>
      <c r="C5" s="16" t="s">
        <v>121</v>
      </c>
    </row>
    <row r="6" customFormat="false" ht="36" hidden="false" customHeight="true" outlineLevel="0" collapsed="false">
      <c r="B6" s="5" t="s">
        <v>6</v>
      </c>
      <c r="C6" s="16" t="s">
        <v>122</v>
      </c>
    </row>
    <row r="7" customFormat="false" ht="36" hidden="false" customHeight="true" outlineLevel="0" collapsed="false">
      <c r="B7" s="5" t="s">
        <v>7</v>
      </c>
      <c r="C7" s="16" t="s">
        <v>123</v>
      </c>
    </row>
    <row r="8" customFormat="false" ht="36" hidden="false" customHeight="true" outlineLevel="0" collapsed="false">
      <c r="B8" s="5" t="s">
        <v>124</v>
      </c>
      <c r="C8" s="16" t="s">
        <v>125</v>
      </c>
    </row>
    <row r="9" customFormat="false" ht="36" hidden="false" customHeight="true" outlineLevel="0" collapsed="false">
      <c r="B9" s="5" t="s">
        <v>126</v>
      </c>
      <c r="C9" s="16" t="s">
        <v>127</v>
      </c>
    </row>
    <row r="10" customFormat="false" ht="21.75" hidden="false" customHeight="true" outlineLevel="0" collapsed="false">
      <c r="B10" s="17" t="s">
        <v>128</v>
      </c>
      <c r="C10" s="17"/>
    </row>
    <row r="11" customFormat="false" ht="36" hidden="false" customHeight="true" outlineLevel="0" collapsed="false">
      <c r="B11" s="5" t="s">
        <v>129</v>
      </c>
      <c r="C11" s="16" t="s">
        <v>130</v>
      </c>
    </row>
    <row r="12" customFormat="false" ht="36" hidden="false" customHeight="true" outlineLevel="0" collapsed="false">
      <c r="B12" s="5" t="s">
        <v>131</v>
      </c>
      <c r="C12" s="16" t="s">
        <v>132</v>
      </c>
    </row>
    <row r="13" customFormat="false" ht="36" hidden="false" customHeight="true" outlineLevel="0" collapsed="false">
      <c r="B13" s="5" t="s">
        <v>133</v>
      </c>
      <c r="C13" s="16" t="s">
        <v>134</v>
      </c>
    </row>
    <row r="14" customFormat="false" ht="36" hidden="false" customHeight="true" outlineLevel="0" collapsed="false">
      <c r="B14" s="5" t="s">
        <v>135</v>
      </c>
      <c r="C14" s="16" t="s">
        <v>136</v>
      </c>
    </row>
    <row r="15" customFormat="false" ht="21.75" hidden="false" customHeight="true" outlineLevel="0" collapsed="false">
      <c r="B15" s="17" t="s">
        <v>137</v>
      </c>
      <c r="C15" s="17"/>
    </row>
    <row r="16" customFormat="false" ht="36" hidden="false" customHeight="true" outlineLevel="0" collapsed="false">
      <c r="B16" s="5" t="s">
        <v>138</v>
      </c>
      <c r="C16" s="16" t="s">
        <v>139</v>
      </c>
    </row>
    <row r="17" customFormat="false" ht="36" hidden="false" customHeight="true" outlineLevel="0" collapsed="false">
      <c r="B17" s="5" t="s">
        <v>140</v>
      </c>
      <c r="C17" s="16" t="s">
        <v>141</v>
      </c>
    </row>
    <row r="18" customFormat="false" ht="36" hidden="false" customHeight="true" outlineLevel="0" collapsed="false">
      <c r="B18" s="5" t="s">
        <v>142</v>
      </c>
      <c r="C18" s="16" t="s">
        <v>143</v>
      </c>
    </row>
    <row r="19" customFormat="false" ht="21.75" hidden="false" customHeight="true" outlineLevel="0" collapsed="false">
      <c r="B19" s="17" t="s">
        <v>144</v>
      </c>
      <c r="C19" s="17"/>
    </row>
    <row r="20" customFormat="false" ht="36" hidden="false" customHeight="true" outlineLevel="0" collapsed="false">
      <c r="B20" s="5" t="s">
        <v>145</v>
      </c>
      <c r="C20" s="16" t="s">
        <v>146</v>
      </c>
    </row>
    <row r="21" customFormat="false" ht="36" hidden="false" customHeight="true" outlineLevel="0" collapsed="false">
      <c r="B21" s="5" t="s">
        <v>147</v>
      </c>
      <c r="C21" s="16" t="s">
        <v>148</v>
      </c>
    </row>
    <row r="22" customFormat="false" ht="36" hidden="false" customHeight="true" outlineLevel="0" collapsed="false">
      <c r="B22" s="5" t="s">
        <v>149</v>
      </c>
      <c r="C22" s="16" t="s">
        <v>150</v>
      </c>
    </row>
    <row r="23" customFormat="false" ht="36" hidden="false" customHeight="true" outlineLevel="0" collapsed="false">
      <c r="B23" s="5" t="s">
        <v>151</v>
      </c>
      <c r="C23" s="16" t="s">
        <v>152</v>
      </c>
    </row>
    <row r="24" customFormat="false" ht="21.75" hidden="false" customHeight="true" outlineLevel="0" collapsed="false">
      <c r="B24" s="17" t="s">
        <v>153</v>
      </c>
      <c r="C24" s="17"/>
    </row>
    <row r="25" customFormat="false" ht="36" hidden="false" customHeight="true" outlineLevel="0" collapsed="false">
      <c r="B25" s="5" t="s">
        <v>154</v>
      </c>
      <c r="C25" s="16" t="s">
        <v>155</v>
      </c>
    </row>
    <row r="26" customFormat="false" ht="36" hidden="false" customHeight="true" outlineLevel="0" collapsed="false">
      <c r="B26" s="5" t="s">
        <v>156</v>
      </c>
      <c r="C26" s="16" t="s">
        <v>157</v>
      </c>
    </row>
    <row r="27" customFormat="false" ht="21.75" hidden="false" customHeight="true" outlineLevel="0" collapsed="false">
      <c r="B27" s="17" t="s">
        <v>158</v>
      </c>
      <c r="C27" s="17"/>
    </row>
    <row r="28" customFormat="false" ht="36" hidden="false" customHeight="true" outlineLevel="0" collapsed="false">
      <c r="B28" s="5" t="s">
        <v>159</v>
      </c>
      <c r="C28" s="16" t="s">
        <v>160</v>
      </c>
    </row>
    <row r="29" customFormat="false" ht="36" hidden="false" customHeight="true" outlineLevel="0" collapsed="false">
      <c r="B29" s="5" t="s">
        <v>161</v>
      </c>
      <c r="C29" s="16" t="s">
        <v>162</v>
      </c>
    </row>
    <row r="30" customFormat="false" ht="36" hidden="false" customHeight="true" outlineLevel="0" collapsed="false">
      <c r="B30" s="5" t="s">
        <v>163</v>
      </c>
      <c r="C30" s="16" t="s">
        <v>164</v>
      </c>
    </row>
    <row r="31" customFormat="false" ht="36" hidden="false" customHeight="true" outlineLevel="0" collapsed="false">
      <c r="B31" s="5" t="s">
        <v>165</v>
      </c>
      <c r="C31" s="16" t="s">
        <v>166</v>
      </c>
    </row>
    <row r="32" customFormat="false" ht="21.75" hidden="false" customHeight="true" outlineLevel="0" collapsed="false">
      <c r="B32" s="17" t="s">
        <v>167</v>
      </c>
      <c r="C32" s="17"/>
    </row>
    <row r="33" customFormat="false" ht="36" hidden="false" customHeight="true" outlineLevel="0" collapsed="false">
      <c r="B33" s="5" t="s">
        <v>12</v>
      </c>
      <c r="C33" s="16" t="s">
        <v>168</v>
      </c>
    </row>
    <row r="34" customFormat="false" ht="36" hidden="false" customHeight="true" outlineLevel="0" collapsed="false">
      <c r="B34" s="5" t="s">
        <v>169</v>
      </c>
      <c r="C34" s="16" t="s">
        <v>170</v>
      </c>
    </row>
    <row r="35" customFormat="false" ht="36" hidden="false" customHeight="true" outlineLevel="0" collapsed="false">
      <c r="B35" s="5" t="s">
        <v>171</v>
      </c>
      <c r="C35" s="16" t="s">
        <v>172</v>
      </c>
    </row>
    <row r="36" customFormat="false" ht="21.75" hidden="false" customHeight="true" outlineLevel="0" collapsed="false">
      <c r="B36" s="17" t="s">
        <v>173</v>
      </c>
      <c r="C36" s="17"/>
    </row>
    <row r="37" customFormat="false" ht="36" hidden="false" customHeight="true" outlineLevel="0" collapsed="false">
      <c r="B37" s="5" t="s">
        <v>174</v>
      </c>
      <c r="C37" s="16" t="s">
        <v>175</v>
      </c>
    </row>
    <row r="38" customFormat="false" ht="21.75" hidden="false" customHeight="true" outlineLevel="0" collapsed="false">
      <c r="B38" s="17" t="s">
        <v>176</v>
      </c>
      <c r="C38" s="17"/>
    </row>
    <row r="39" customFormat="false" ht="36" hidden="false" customHeight="true" outlineLevel="0" collapsed="false">
      <c r="B39" s="5" t="s">
        <v>177</v>
      </c>
      <c r="C39" s="16" t="s">
        <v>178</v>
      </c>
    </row>
    <row r="40" customFormat="false" ht="36" hidden="false" customHeight="true" outlineLevel="0" collapsed="false">
      <c r="B40" s="5" t="s">
        <v>179</v>
      </c>
      <c r="C40" s="16" t="s">
        <v>180</v>
      </c>
    </row>
    <row r="41" customFormat="false" ht="36" hidden="false" customHeight="true" outlineLevel="0" collapsed="false">
      <c r="B41" s="5" t="s">
        <v>181</v>
      </c>
      <c r="C41" s="16" t="s">
        <v>180</v>
      </c>
    </row>
    <row r="42" customFormat="false" ht="36" hidden="false" customHeight="true" outlineLevel="0" collapsed="false">
      <c r="B42" s="5" t="s">
        <v>182</v>
      </c>
      <c r="C42" s="16" t="s">
        <v>183</v>
      </c>
    </row>
  </sheetData>
  <mergeCells count="8">
    <mergeCell ref="B10:C10"/>
    <mergeCell ref="B15:C15"/>
    <mergeCell ref="B19:C19"/>
    <mergeCell ref="B24:C24"/>
    <mergeCell ref="B27:C27"/>
    <mergeCell ref="B32:C32"/>
    <mergeCell ref="B36:C36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8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184</v>
      </c>
    </row>
    <row r="3" customFormat="false" ht="16.5" hidden="false" customHeight="true" outlineLevel="0" collapsed="false">
      <c r="B3" s="2" t="s">
        <v>185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186</v>
      </c>
      <c r="C5" s="7" t="s">
        <v>187</v>
      </c>
      <c r="D5" s="7" t="s">
        <v>188</v>
      </c>
      <c r="E5" s="7" t="s">
        <v>189</v>
      </c>
      <c r="F5" s="7" t="s">
        <v>190</v>
      </c>
      <c r="G5" s="7" t="s">
        <v>45</v>
      </c>
      <c r="H5" s="7" t="s">
        <v>191</v>
      </c>
      <c r="I5" s="7" t="s">
        <v>192</v>
      </c>
      <c r="J5" s="7" t="s">
        <v>193</v>
      </c>
    </row>
    <row r="6" customFormat="false" ht="27.75" hidden="false" customHeight="true" outlineLevel="0" collapsed="false">
      <c r="B6" s="9"/>
      <c r="C6" s="9"/>
      <c r="D6" s="9"/>
      <c r="E6" s="9"/>
      <c r="F6" s="9"/>
      <c r="G6" s="9"/>
      <c r="H6" s="9"/>
      <c r="I6" s="9"/>
      <c r="J6" s="9"/>
    </row>
    <row r="7" customFormat="false" ht="27.75" hidden="false" customHeight="true" outlineLevel="0" collapsed="false">
      <c r="B7" s="13"/>
      <c r="C7" s="13"/>
      <c r="D7" s="13"/>
      <c r="E7" s="13"/>
      <c r="F7" s="13"/>
      <c r="G7" s="13"/>
      <c r="H7" s="13"/>
      <c r="I7" s="13"/>
      <c r="J7" s="13"/>
    </row>
    <row r="8" customFormat="false" ht="27.75" hidden="false" customHeight="true" outlineLevel="0" collapsed="false">
      <c r="B8" s="9"/>
      <c r="C8" s="9"/>
      <c r="D8" s="9"/>
      <c r="E8" s="9"/>
      <c r="F8" s="9"/>
      <c r="G8" s="9"/>
      <c r="H8" s="9"/>
      <c r="I8" s="9"/>
      <c r="J8" s="9"/>
    </row>
    <row r="9" customFormat="false" ht="27.75" hidden="false" customHeight="true" outlineLevel="0" collapsed="false">
      <c r="B9" s="13"/>
      <c r="C9" s="13"/>
      <c r="D9" s="13"/>
      <c r="E9" s="13"/>
      <c r="F9" s="13"/>
      <c r="G9" s="13"/>
      <c r="H9" s="13"/>
      <c r="I9" s="13"/>
      <c r="J9" s="13"/>
    </row>
    <row r="10" customFormat="false" ht="27.75" hidden="false" customHeight="true" outlineLevel="0" collapsed="false">
      <c r="B10" s="9"/>
      <c r="C10" s="9"/>
      <c r="D10" s="9"/>
      <c r="E10" s="9"/>
      <c r="F10" s="9"/>
      <c r="G10" s="9"/>
      <c r="H10" s="9"/>
      <c r="I10" s="9"/>
      <c r="J10" s="9"/>
    </row>
    <row r="11" customFormat="false" ht="27.75" hidden="false" customHeight="true" outlineLevel="0" collapsed="false"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27.75" hidden="false" customHeight="true" outlineLevel="0" collapsed="false">
      <c r="B12" s="9"/>
      <c r="C12" s="9"/>
      <c r="D12" s="9"/>
      <c r="E12" s="9"/>
      <c r="F12" s="9"/>
      <c r="G12" s="9"/>
      <c r="H12" s="9"/>
      <c r="I12" s="9"/>
      <c r="J12" s="9"/>
    </row>
    <row r="13" customFormat="false" ht="27.7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27.75" hidden="false" customHeight="true" outlineLevel="0" collapsed="false">
      <c r="B14" s="9"/>
      <c r="C14" s="9"/>
      <c r="D14" s="9"/>
      <c r="E14" s="9"/>
      <c r="F14" s="9"/>
      <c r="G14" s="9"/>
      <c r="H14" s="9"/>
      <c r="I14" s="9"/>
      <c r="J14" s="9"/>
    </row>
    <row r="15" customFormat="false" ht="27.75" hidden="false" customHeight="true" outlineLevel="0" collapsed="false"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27.75" hidden="false" customHeight="true" outlineLevel="0" collapsed="false"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7.75" hidden="false" customHeight="true" outlineLevel="0" collapsed="false"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27.75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</row>
    <row r="19" customFormat="false" ht="27.75" hidden="false" customHeight="true" outlineLevel="0" collapsed="false"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27.75" hidden="false" customHeight="true" outlineLevel="0" collapsed="false">
      <c r="B20" s="9"/>
      <c r="C20" s="9"/>
      <c r="D20" s="9"/>
      <c r="E20" s="9"/>
      <c r="F20" s="9"/>
      <c r="G20" s="9"/>
      <c r="H20" s="9"/>
      <c r="I20" s="9"/>
      <c r="J20" s="9"/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27.75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27.75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27.75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27.75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27.75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</row>
  </sheetData>
  <dataValidations count="4">
    <dataValidation allowBlank="true" errorStyle="stop" operator="between" showDropDown="false" showErrorMessage="false" showInputMessage="false" sqref="E6:F30" type="list">
      <formula1>"High,Medium,Low"</formula1>
      <formula2>0</formula2>
    </dataValidation>
    <dataValidation allowBlank="true" errorStyle="stop" operator="between" showDropDown="false" showErrorMessage="false" showInputMessage="false" sqref="G6:G30" type="list">
      <formula1>"Responsible,Accountable,Consulted,Informed"</formula1>
      <formula2>0</formula2>
    </dataValidation>
    <dataValidation allowBlank="true" errorStyle="stop" operator="between" showDropDown="false" showErrorMessage="false" showInputMessage="false" sqref="H6:H30" type="list">
      <formula1>"Champion,Supportive,Neutral,Resistant,Blocker"</formula1>
      <formula2>0</formula2>
    </dataValidation>
    <dataValidation allowBlank="true" errorStyle="stop" operator="between" showDropDown="false" showErrorMessage="false" showInputMessage="false" sqref="I6:I30" type="list">
      <formula1>"Email,Slack,Teams,1:1 meeting,Steering meeting,Townhall,Status report"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0" min="3" style="0" width="14"/>
    <col collapsed="false" customWidth="true" hidden="false" outlineLevel="0" max="11" min="11" style="0" width="12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194</v>
      </c>
    </row>
    <row r="3" customFormat="false" ht="16.5" hidden="false" customHeight="true" outlineLevel="0" collapsed="false">
      <c r="B3" s="2" t="s">
        <v>195</v>
      </c>
    </row>
    <row r="4" customFormat="false" ht="16.5" hidden="false" customHeight="true" outlineLevel="0" collapsed="false"/>
    <row r="5" customFormat="false" ht="36" hidden="false" customHeight="true" outlineLevel="0" collapsed="false">
      <c r="B5" s="7" t="s">
        <v>196</v>
      </c>
      <c r="C5" s="7" t="s">
        <v>159</v>
      </c>
      <c r="D5" s="7" t="s">
        <v>197</v>
      </c>
      <c r="E5" s="7" t="s">
        <v>198</v>
      </c>
      <c r="F5" s="7" t="s">
        <v>199</v>
      </c>
      <c r="G5" s="7" t="s">
        <v>200</v>
      </c>
      <c r="H5" s="7" t="s">
        <v>201</v>
      </c>
      <c r="I5" s="7" t="s">
        <v>202</v>
      </c>
      <c r="J5" s="7" t="s">
        <v>203</v>
      </c>
      <c r="K5" s="18" t="s">
        <v>204</v>
      </c>
    </row>
    <row r="6" customFormat="false" ht="27.75" hidden="false" customHeight="true" outlineLevel="0" collapsed="false">
      <c r="B6" s="9" t="s">
        <v>205</v>
      </c>
      <c r="C6" s="9"/>
      <c r="D6" s="9"/>
      <c r="E6" s="9"/>
      <c r="F6" s="9"/>
      <c r="G6" s="9"/>
      <c r="H6" s="9"/>
      <c r="I6" s="9"/>
      <c r="J6" s="9"/>
      <c r="K6" s="19" t="n">
        <f aca="false">COUNTIF(C6:J6,"A")+COUNTIF(C6:J6,"A/R")+COUNTIF(C6:J6,"R/A")</f>
        <v>0</v>
      </c>
    </row>
    <row r="7" customFormat="false" ht="27.75" hidden="false" customHeight="true" outlineLevel="0" collapsed="false">
      <c r="B7" s="13" t="s">
        <v>206</v>
      </c>
      <c r="C7" s="13"/>
      <c r="D7" s="13"/>
      <c r="E7" s="13"/>
      <c r="F7" s="13"/>
      <c r="G7" s="13"/>
      <c r="H7" s="13"/>
      <c r="I7" s="13"/>
      <c r="J7" s="13"/>
      <c r="K7" s="19" t="n">
        <f aca="false">COUNTIF(C7:J7,"A")+COUNTIF(C7:J7,"A/R")+COUNTIF(C7:J7,"R/A")</f>
        <v>0</v>
      </c>
    </row>
    <row r="8" customFormat="false" ht="27.75" hidden="false" customHeight="true" outlineLevel="0" collapsed="false">
      <c r="B8" s="9" t="s">
        <v>207</v>
      </c>
      <c r="C8" s="9"/>
      <c r="D8" s="9"/>
      <c r="E8" s="9"/>
      <c r="F8" s="9"/>
      <c r="G8" s="9"/>
      <c r="H8" s="9"/>
      <c r="I8" s="9"/>
      <c r="J8" s="9"/>
      <c r="K8" s="19" t="n">
        <f aca="false">COUNTIF(C8:J8,"A")+COUNTIF(C8:J8,"A/R")+COUNTIF(C8:J8,"R/A")</f>
        <v>0</v>
      </c>
    </row>
    <row r="9" customFormat="false" ht="27.75" hidden="false" customHeight="true" outlineLevel="0" collapsed="false">
      <c r="B9" s="13" t="s">
        <v>208</v>
      </c>
      <c r="C9" s="13"/>
      <c r="D9" s="13"/>
      <c r="E9" s="13"/>
      <c r="F9" s="13"/>
      <c r="G9" s="13"/>
      <c r="H9" s="13"/>
      <c r="I9" s="13"/>
      <c r="J9" s="13"/>
      <c r="K9" s="19" t="n">
        <f aca="false">COUNTIF(C9:J9,"A")+COUNTIF(C9:J9,"A/R")+COUNTIF(C9:J9,"R/A")</f>
        <v>0</v>
      </c>
    </row>
    <row r="10" customFormat="false" ht="27.75" hidden="false" customHeight="true" outlineLevel="0" collapsed="false">
      <c r="B10" s="9" t="s">
        <v>209</v>
      </c>
      <c r="C10" s="9"/>
      <c r="D10" s="9"/>
      <c r="E10" s="9"/>
      <c r="F10" s="9"/>
      <c r="G10" s="9"/>
      <c r="H10" s="9"/>
      <c r="I10" s="9"/>
      <c r="J10" s="9"/>
      <c r="K10" s="19" t="n">
        <f aca="false">COUNTIF(C10:J10,"A")+COUNTIF(C10:J10,"A/R")+COUNTIF(C10:J10,"R/A")</f>
        <v>0</v>
      </c>
    </row>
    <row r="11" customFormat="false" ht="27.75" hidden="false" customHeight="true" outlineLevel="0" collapsed="false">
      <c r="B11" s="13" t="s">
        <v>210</v>
      </c>
      <c r="C11" s="13"/>
      <c r="D11" s="13"/>
      <c r="E11" s="13"/>
      <c r="F11" s="13"/>
      <c r="G11" s="13"/>
      <c r="H11" s="13"/>
      <c r="I11" s="13"/>
      <c r="J11" s="13"/>
      <c r="K11" s="19" t="n">
        <f aca="false">COUNTIF(C11:J11,"A")+COUNTIF(C11:J11,"A/R")+COUNTIF(C11:J11,"R/A")</f>
        <v>0</v>
      </c>
    </row>
    <row r="12" customFormat="false" ht="27.75" hidden="false" customHeight="true" outlineLevel="0" collapsed="false">
      <c r="B12" s="9" t="s">
        <v>211</v>
      </c>
      <c r="C12" s="9"/>
      <c r="D12" s="9"/>
      <c r="E12" s="9"/>
      <c r="F12" s="9"/>
      <c r="G12" s="9"/>
      <c r="H12" s="9"/>
      <c r="I12" s="9"/>
      <c r="J12" s="9"/>
      <c r="K12" s="19" t="n">
        <f aca="false">COUNTIF(C12:J12,"A")+COUNTIF(C12:J12,"A/R")+COUNTIF(C12:J12,"R/A")</f>
        <v>0</v>
      </c>
    </row>
    <row r="13" customFormat="false" ht="27.75" hidden="false" customHeight="true" outlineLevel="0" collapsed="false">
      <c r="B13" s="13" t="s">
        <v>212</v>
      </c>
      <c r="C13" s="13"/>
      <c r="D13" s="13"/>
      <c r="E13" s="13"/>
      <c r="F13" s="13"/>
      <c r="G13" s="13"/>
      <c r="H13" s="13"/>
      <c r="I13" s="13"/>
      <c r="J13" s="13"/>
      <c r="K13" s="19" t="n">
        <f aca="false">COUNTIF(C13:J13,"A")+COUNTIF(C13:J13,"A/R")+COUNTIF(C13:J13,"R/A")</f>
        <v>0</v>
      </c>
    </row>
    <row r="14" customFormat="false" ht="31.5" hidden="false" customHeight="true" outlineLevel="0" collapsed="false">
      <c r="B14" s="9" t="s">
        <v>213</v>
      </c>
      <c r="C14" s="9"/>
      <c r="D14" s="9"/>
      <c r="E14" s="9"/>
      <c r="F14" s="9"/>
      <c r="G14" s="9"/>
      <c r="H14" s="9"/>
      <c r="I14" s="9"/>
      <c r="J14" s="9"/>
      <c r="K14" s="19" t="n">
        <f aca="false">COUNTIF(C14:J14,"A")+COUNTIF(C14:J14,"A/R")+COUNTIF(C14:J14,"R/A")</f>
        <v>0</v>
      </c>
    </row>
    <row r="15" customFormat="false" ht="27.75" hidden="false" customHeight="true" outlineLevel="0" collapsed="false">
      <c r="B15" s="13" t="s">
        <v>214</v>
      </c>
      <c r="C15" s="13"/>
      <c r="D15" s="13"/>
      <c r="E15" s="13"/>
      <c r="F15" s="13"/>
      <c r="G15" s="13"/>
      <c r="H15" s="13"/>
      <c r="I15" s="13"/>
      <c r="J15" s="13"/>
      <c r="K15" s="19" t="n">
        <f aca="false">COUNTIF(C15:J15,"A")+COUNTIF(C15:J15,"A/R")+COUNTIF(C15:J15,"R/A")</f>
        <v>0</v>
      </c>
    </row>
    <row r="16" customFormat="false" ht="27.75" hidden="false" customHeight="true" outlineLevel="0" collapsed="false">
      <c r="B16" s="9" t="s">
        <v>215</v>
      </c>
      <c r="C16" s="9"/>
      <c r="D16" s="9"/>
      <c r="E16" s="9"/>
      <c r="F16" s="9"/>
      <c r="G16" s="9"/>
      <c r="H16" s="9"/>
      <c r="I16" s="9"/>
      <c r="J16" s="9"/>
      <c r="K16" s="19" t="n">
        <f aca="false">COUNTIF(C16:J16,"A")+COUNTIF(C16:J16,"A/R")+COUNTIF(C16:J16,"R/A")</f>
        <v>0</v>
      </c>
    </row>
    <row r="17" customFormat="false" ht="31.5" hidden="false" customHeight="true" outlineLevel="0" collapsed="false">
      <c r="B17" s="13" t="s">
        <v>216</v>
      </c>
      <c r="C17" s="13"/>
      <c r="D17" s="13"/>
      <c r="E17" s="13"/>
      <c r="F17" s="13"/>
      <c r="G17" s="13"/>
      <c r="H17" s="13"/>
      <c r="I17" s="13"/>
      <c r="J17" s="13"/>
      <c r="K17" s="19" t="n">
        <f aca="false">COUNTIF(C17:J17,"A")+COUNTIF(C17:J17,"A/R")+COUNTIF(C17:J17,"R/A")</f>
        <v>0</v>
      </c>
    </row>
    <row r="18" customFormat="false" ht="27.75" hidden="false" customHeight="true" outlineLevel="0" collapsed="false">
      <c r="B18" s="9" t="s">
        <v>217</v>
      </c>
      <c r="C18" s="9"/>
      <c r="D18" s="9"/>
      <c r="E18" s="9"/>
      <c r="F18" s="9"/>
      <c r="G18" s="9"/>
      <c r="H18" s="9"/>
      <c r="I18" s="9"/>
      <c r="J18" s="9"/>
      <c r="K18" s="19" t="n">
        <f aca="false">COUNTIF(C18:J18,"A")+COUNTIF(C18:J18,"A/R")+COUNTIF(C18:J18,"R/A")</f>
        <v>0</v>
      </c>
    </row>
    <row r="19" customFormat="false" ht="27.75" hidden="false" customHeight="true" outlineLevel="0" collapsed="false">
      <c r="B19" s="13" t="s">
        <v>218</v>
      </c>
      <c r="C19" s="13"/>
      <c r="D19" s="13"/>
      <c r="E19" s="13"/>
      <c r="F19" s="13"/>
      <c r="G19" s="13"/>
      <c r="H19" s="13"/>
      <c r="I19" s="13"/>
      <c r="J19" s="13"/>
      <c r="K19" s="19" t="n">
        <f aca="false">COUNTIF(C19:J19,"A")+COUNTIF(C19:J19,"A/R")+COUNTIF(C19:J19,"R/A")</f>
        <v>0</v>
      </c>
    </row>
    <row r="20" customFormat="false" ht="27.75" hidden="false" customHeight="true" outlineLevel="0" collapsed="false">
      <c r="B20" s="9" t="s">
        <v>219</v>
      </c>
      <c r="C20" s="9"/>
      <c r="D20" s="9"/>
      <c r="E20" s="9"/>
      <c r="F20" s="9"/>
      <c r="G20" s="9"/>
      <c r="H20" s="9"/>
      <c r="I20" s="9"/>
      <c r="J20" s="9"/>
      <c r="K20" s="19" t="n">
        <f aca="false">COUNTIF(C20:J20,"A")+COUNTIF(C20:J20,"A/R")+COUNTIF(C20:J20,"R/A")</f>
        <v>0</v>
      </c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13"/>
      <c r="H21" s="13"/>
      <c r="I21" s="13"/>
      <c r="J21" s="13"/>
      <c r="K21" s="19" t="n">
        <f aca="false">COUNTIF(C21:J21,"A")+COUNTIF(C21:J21,"A/R")+COUNTIF(C21:J21,"R/A")</f>
        <v>0</v>
      </c>
    </row>
    <row r="22" customFormat="false" ht="27.75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19" t="n">
        <f aca="false">COUNTIF(C22:J22,"A")+COUNTIF(C22:J22,"A/R")+COUNTIF(C22:J22,"R/A")</f>
        <v>0</v>
      </c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13"/>
      <c r="H23" s="13"/>
      <c r="I23" s="13"/>
      <c r="J23" s="13"/>
      <c r="K23" s="19" t="n">
        <f aca="false">COUNTIF(C23:J23,"A")+COUNTIF(C23:J23,"A/R")+COUNTIF(C23:J23,"R/A")</f>
        <v>0</v>
      </c>
    </row>
    <row r="24" customFormat="false" ht="27.75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19" t="n">
        <f aca="false">COUNTIF(C24:J24,"A")+COUNTIF(C24:J24,"A/R")+COUNTIF(C24:J24,"R/A")</f>
        <v>0</v>
      </c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13"/>
      <c r="H25" s="13"/>
      <c r="I25" s="13"/>
      <c r="J25" s="13"/>
      <c r="K25" s="19" t="n">
        <f aca="false">COUNTIF(C25:J25,"A")+COUNTIF(C25:J25,"A/R")+COUNTIF(C25:J25,"R/A")</f>
        <v>0</v>
      </c>
    </row>
    <row r="26" customFormat="false" ht="27.75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19" t="n">
        <f aca="false">COUNTIF(C26:J26,"A")+COUNTIF(C26:J26,"A/R")+COUNTIF(C26:J26,"R/A")</f>
        <v>0</v>
      </c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13"/>
      <c r="H27" s="13"/>
      <c r="I27" s="13"/>
      <c r="J27" s="13"/>
      <c r="K27" s="19" t="n">
        <f aca="false">COUNTIF(C27:J27,"A")+COUNTIF(C27:J27,"A/R")+COUNTIF(C27:J27,"R/A")</f>
        <v>0</v>
      </c>
    </row>
    <row r="28" customFormat="false" ht="27.75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19" t="n">
        <f aca="false">COUNTIF(C28:J28,"A")+COUNTIF(C28:J28,"A/R")+COUNTIF(C28:J28,"R/A")</f>
        <v>0</v>
      </c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13"/>
      <c r="H29" s="13"/>
      <c r="I29" s="13"/>
      <c r="J29" s="13"/>
      <c r="K29" s="19" t="n">
        <f aca="false">COUNTIF(C29:J29,"A")+COUNTIF(C29:J29,"A/R")+COUNTIF(C29:J29,"R/A")</f>
        <v>0</v>
      </c>
    </row>
    <row r="30" customFormat="false" ht="27.75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19" t="n">
        <f aca="false">COUNTIF(C30:J30,"A")+COUNTIF(C30:J30,"A/R")+COUNTIF(C30:J30,"R/A")</f>
        <v>0</v>
      </c>
    </row>
    <row r="31" customFormat="false" ht="16.5" hidden="false" customHeight="true" outlineLevel="0" collapsed="false">
      <c r="K31" s="19" t="n">
        <f aca="false">COUNTIF(C31:J31,"A")+COUNTIF(C31:J31,"A/R")+COUNTIF(C31:J31,"R/A")</f>
        <v>0</v>
      </c>
    </row>
    <row r="32" customFormat="false" ht="16.5" hidden="false" customHeight="true" outlineLevel="0" collapsed="false">
      <c r="K32" s="19" t="n">
        <f aca="false">COUNTIF(C32:J32,"A")+COUNTIF(C32:J32,"A/R")+COUNTIF(C32:J32,"R/A")</f>
        <v>0</v>
      </c>
    </row>
    <row r="33" customFormat="false" ht="16.5" hidden="false" customHeight="true" outlineLevel="0" collapsed="false">
      <c r="K33" s="19" t="n">
        <f aca="false">COUNTIF(C33:J33,"A")+COUNTIF(C33:J33,"A/R")+COUNTIF(C33:J33,"R/A")</f>
        <v>0</v>
      </c>
    </row>
    <row r="34" customFormat="false" ht="16.5" hidden="false" customHeight="true" outlineLevel="0" collapsed="false">
      <c r="K34" s="19" t="n">
        <f aca="false">COUNTIF(C34:J34,"A")+COUNTIF(C34:J34,"A/R")+COUNTIF(C34:J34,"R/A")</f>
        <v>0</v>
      </c>
    </row>
    <row r="35" customFormat="false" ht="16.5" hidden="false" customHeight="true" outlineLevel="0" collapsed="false">
      <c r="K35" s="19" t="n">
        <f aca="false">COUNTIF(C35:J35,"A")+COUNTIF(C35:J35,"A/R")+COUNTIF(C35:J35,"R/A")</f>
        <v>0</v>
      </c>
    </row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>
      <c r="B40" s="20" t="s">
        <v>220</v>
      </c>
    </row>
    <row r="41" customFormat="false" ht="16.5" hidden="false" customHeight="true" outlineLevel="0" collapsed="false"/>
    <row r="42" customFormat="false" ht="24" hidden="false" customHeight="true" outlineLevel="0" collapsed="false">
      <c r="B42" s="5" t="s">
        <v>221</v>
      </c>
      <c r="C42" s="16" t="s">
        <v>222</v>
      </c>
      <c r="D42" s="16"/>
      <c r="E42" s="16"/>
      <c r="F42" s="16"/>
      <c r="G42" s="16"/>
      <c r="H42" s="16"/>
      <c r="I42" s="16"/>
      <c r="J42" s="16"/>
      <c r="K42" s="16"/>
    </row>
    <row r="43" customFormat="false" ht="24" hidden="false" customHeight="true" outlineLevel="0" collapsed="false">
      <c r="B43" s="5" t="s">
        <v>223</v>
      </c>
      <c r="C43" s="16" t="s">
        <v>224</v>
      </c>
      <c r="D43" s="16"/>
      <c r="E43" s="16"/>
      <c r="F43" s="16"/>
      <c r="G43" s="16"/>
      <c r="H43" s="16"/>
      <c r="I43" s="16"/>
      <c r="J43" s="16"/>
      <c r="K43" s="16"/>
    </row>
    <row r="44" customFormat="false" ht="24" hidden="false" customHeight="true" outlineLevel="0" collapsed="false">
      <c r="B44" s="5" t="s">
        <v>225</v>
      </c>
      <c r="C44" s="16" t="s">
        <v>226</v>
      </c>
      <c r="D44" s="16"/>
      <c r="E44" s="16"/>
      <c r="F44" s="16"/>
      <c r="G44" s="16"/>
      <c r="H44" s="16"/>
      <c r="I44" s="16"/>
      <c r="J44" s="16"/>
      <c r="K44" s="16"/>
    </row>
    <row r="45" customFormat="false" ht="24" hidden="false" customHeight="true" outlineLevel="0" collapsed="false">
      <c r="B45" s="5" t="s">
        <v>227</v>
      </c>
      <c r="C45" s="16" t="s">
        <v>228</v>
      </c>
      <c r="D45" s="16"/>
      <c r="E45" s="16"/>
      <c r="F45" s="16"/>
      <c r="G45" s="16"/>
      <c r="H45" s="16"/>
      <c r="I45" s="16"/>
      <c r="J45" s="16"/>
      <c r="K45" s="16"/>
    </row>
    <row r="46" customFormat="false" ht="24" hidden="false" customHeight="true" outlineLevel="0" collapsed="false">
      <c r="B46" s="5" t="s">
        <v>229</v>
      </c>
      <c r="C46" s="16" t="s">
        <v>230</v>
      </c>
      <c r="D46" s="16"/>
      <c r="E46" s="16"/>
      <c r="F46" s="16"/>
      <c r="G46" s="16"/>
      <c r="H46" s="16"/>
      <c r="I46" s="16"/>
      <c r="J46" s="16"/>
      <c r="K46" s="16"/>
    </row>
  </sheetData>
  <mergeCells count="5">
    <mergeCell ref="C42:K42"/>
    <mergeCell ref="C43:K43"/>
    <mergeCell ref="C44:K44"/>
    <mergeCell ref="C45:K45"/>
    <mergeCell ref="C46:K46"/>
  </mergeCells>
  <conditionalFormatting sqref="C6:J35">
    <cfRule type="expression" priority="2" aboveAverage="0" equalAverage="0" bottom="0" percent="0" rank="0" text="" dxfId="3">
      <formula>OR(EXACT(C6,"A"),EXACT(C6,"A/R"),EXACT(C6,"R/A"))</formula>
    </cfRule>
    <cfRule type="expression" priority="3" aboveAverage="0" equalAverage="0" bottom="0" percent="0" rank="0" text="" dxfId="4">
      <formula>EXACT(C6,"R")</formula>
    </cfRule>
    <cfRule type="expression" priority="4" aboveAverage="0" equalAverage="0" bottom="0" percent="0" rank="0" text="" dxfId="1">
      <formula>EXACT(C6,"C")</formula>
    </cfRule>
    <cfRule type="expression" priority="5" aboveAverage="0" equalAverage="0" bottom="0" percent="0" rank="0" text="" dxfId="5">
      <formula>EXACT(C6,"I")</formula>
    </cfRule>
  </conditionalFormatting>
  <conditionalFormatting sqref="K6:K35">
    <cfRule type="cellIs" priority="6" operator="notEqual" aboveAverage="0" equalAverage="0" bottom="0" percent="0" rank="0" text="" dxfId="0">
      <formula>1</formula>
    </cfRule>
    <cfRule type="cellIs" priority="7" operator="equal" aboveAverage="0" equalAverage="0" bottom="0" percent="0" rank="0" text="" dxfId="2">
      <formula>1</formula>
    </cfRule>
  </conditionalFormatting>
  <dataValidations count="1">
    <dataValidation allowBlank="true" errorStyle="stop" operator="between" showDropDown="false" showErrorMessage="false" showInputMessage="false" sqref="C6:J35" type="list">
      <formula1>"R,A,C,I,R/A,A/R"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231</v>
      </c>
    </row>
    <row r="3" customFormat="false" ht="16.5" hidden="false" customHeight="true" outlineLevel="0" collapsed="false">
      <c r="B3" s="2" t="s">
        <v>232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233</v>
      </c>
      <c r="C5" s="7" t="s">
        <v>234</v>
      </c>
      <c r="D5" s="7" t="s">
        <v>235</v>
      </c>
      <c r="E5" s="7" t="s">
        <v>236</v>
      </c>
      <c r="F5" s="7" t="s">
        <v>237</v>
      </c>
      <c r="G5" s="7" t="s">
        <v>18</v>
      </c>
      <c r="H5" s="7" t="s">
        <v>238</v>
      </c>
      <c r="I5" s="7" t="s">
        <v>239</v>
      </c>
      <c r="J5" s="7" t="s">
        <v>240</v>
      </c>
      <c r="K5" s="7" t="s">
        <v>241</v>
      </c>
    </row>
    <row r="6" customFormat="false" ht="27.75" hidden="false" customHeight="true" outlineLevel="0" collapsed="false"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27.75" hidden="false" customHeight="true" outlineLevel="0" collapsed="false"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27.75" hidden="false" customHeight="true" outlineLevel="0" collapsed="false"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27.75" hidden="false" customHeight="true" outlineLevel="0" collapsed="false"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27.75" hidden="false" customHeight="true" outlineLevel="0" collapsed="false"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27.75" hidden="false" customHeight="true" outlineLevel="0" collapsed="false"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27.75" hidden="false" customHeight="true" outlineLevel="0" collapsed="false"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27.7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27.75" hidden="false" customHeight="true" outlineLevel="0" collapsed="false"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27.75" hidden="false" customHeight="true" outlineLevel="0" collapsed="false"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27.75" hidden="false" customHeight="true" outlineLevel="0" collapsed="false"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27.75" hidden="false" customHeight="true" outlineLevel="0" collapsed="false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27.75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27.75" hidden="false" customHeight="true" outlineLevel="0" collapsed="false"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27.75" hidden="false" customHeight="tru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27.75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27.75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27.75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27.75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27.75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27.75" hidden="false" customHeight="true" outlineLevel="0" collapsed="false"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27.75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27.75" hidden="false" customHeight="true" outlineLevel="0" collapsed="false"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27.75" hidden="false" customHeight="tru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27.75" hidden="false" customHeight="true" outlineLevel="0" collapsed="false"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27.75" hidden="false" customHeight="tru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27.75" hidden="false" customHeight="true" outlineLevel="0" collapsed="false"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27.75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27.75" hidden="false" customHeight="true" outlineLevel="0" collapsed="false"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27.75" hidden="false" customHeight="tru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27.75" hidden="false" customHeight="true" outlineLevel="0" collapsed="false"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27.75" hidden="false" customHeight="tru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27.75" hidden="false" customHeight="true" outlineLevel="0" collapsed="false"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27.75" hidden="false" customHeight="tru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27.75" hidden="false" customHeight="true" outlineLevel="0" collapsed="false"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>
      <c r="B48" s="20" t="s">
        <v>242</v>
      </c>
    </row>
    <row r="49" customFormat="false" ht="16.5" hidden="false" customHeight="true" outlineLevel="0" collapsed="false"/>
    <row r="50" customFormat="false" ht="31.5" hidden="false" customHeight="true" outlineLevel="0" collapsed="false">
      <c r="B50" s="5" t="s">
        <v>243</v>
      </c>
      <c r="D50" s="21" t="n">
        <f aca="false">COUNTA(D6:D45)</f>
        <v>0</v>
      </c>
    </row>
    <row r="51" customFormat="false" ht="31.5" hidden="false" customHeight="true" outlineLevel="0" collapsed="false">
      <c r="B51" s="5" t="s">
        <v>244</v>
      </c>
      <c r="D51" s="21" t="n">
        <f aca="false">COUNTIF(F6:F45,"Must Have")</f>
        <v>0</v>
      </c>
    </row>
    <row r="52" customFormat="false" ht="48" hidden="false" customHeight="true" outlineLevel="0" collapsed="false">
      <c r="B52" s="5" t="s">
        <v>245</v>
      </c>
      <c r="D52" s="21" t="n">
        <f aca="false">COUNTIF(G6:G45,"Approved")+COUNTIF(G6:G45,"In Development")+COUNTIF(G6:G45,"In Test")+COUNTIF(G6:G45,"Accepted")</f>
        <v>0</v>
      </c>
    </row>
    <row r="53" customFormat="false" ht="31.5" hidden="false" customHeight="true" outlineLevel="0" collapsed="false">
      <c r="B53" s="5" t="s">
        <v>246</v>
      </c>
      <c r="D53" s="22" t="n">
        <f aca="false">IFERROR(COUNTIF(K6:K45,"Pass")/(COUNTIF(K6:K45,"Pass")+COUNTIF(K6:K45,"Fail")),0)</f>
        <v>0</v>
      </c>
    </row>
    <row r="54" customFormat="false" ht="63" hidden="false" customHeight="true" outlineLevel="0" collapsed="false">
      <c r="B54" s="5" t="s">
        <v>247</v>
      </c>
      <c r="D54" s="21" t="n">
        <f aca="false">SUMPRODUCT((F6:F45="Must Have")*(J6:J45=""))</f>
        <v>0</v>
      </c>
    </row>
  </sheetData>
  <conditionalFormatting sqref="K6:K45">
    <cfRule type="expression" priority="2" aboveAverage="0" equalAverage="0" bottom="0" percent="0" rank="0" text="" dxfId="2">
      <formula>EXACT(K6,"Pass")</formula>
    </cfRule>
    <cfRule type="expression" priority="3" aboveAverage="0" equalAverage="0" bottom="0" percent="0" rank="0" text="" dxfId="0">
      <formula>EXACT(K6,"Fail")</formula>
    </cfRule>
    <cfRule type="expression" priority="4" aboveAverage="0" equalAverage="0" bottom="0" percent="0" rank="0" text="" dxfId="0">
      <formula>EXACT(K6,"Blocked")</formula>
    </cfRule>
    <cfRule type="expression" priority="5" aboveAverage="0" equalAverage="0" bottom="0" percent="0" rank="0" text="" dxfId="1">
      <formula>EXACT(K6,"Not Run")</formula>
    </cfRule>
  </conditionalFormatting>
  <dataValidations count="4">
    <dataValidation allowBlank="true" errorStyle="stop" operator="between" showDropDown="false" showErrorMessage="false" showInputMessage="false" sqref="C6:C45" type="list">
      <formula1>"Business,Functional,Non-functional,Technical,Compliance,Security,Data"</formula1>
      <formula2>0</formula2>
    </dataValidation>
    <dataValidation allowBlank="true" errorStyle="stop" operator="between" showDropDown="false" showErrorMessage="false" showInputMessage="false" sqref="F6:F45" type="list">
      <formula1>"Must Have,Should Have,Could Have,Won't Have"</formula1>
      <formula2>0</formula2>
    </dataValidation>
    <dataValidation allowBlank="true" errorStyle="stop" operator="between" showDropDown="false" showErrorMessage="false" showInputMessage="false" sqref="G6:G45" type="list">
      <formula1>"Draft,Approved,In Development,In Test,Accepted,Deferred,Rejected"</formula1>
      <formula2>0</formula2>
    </dataValidation>
    <dataValidation allowBlank="true" errorStyle="stop" operator="between" showDropDown="false" showErrorMessage="false" showInputMessage="false" sqref="K6:K45" type="list">
      <formula1>"Pass,Fail,Blocked,Not Run,N/A"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16"/>
    <col collapsed="false" customWidth="true" hidden="false" outlineLevel="0" max="12" min="12" style="0" width="24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248</v>
      </c>
    </row>
    <row r="3" customFormat="false" ht="16.5" hidden="false" customHeight="true" outlineLevel="0" collapsed="false">
      <c r="B3" s="2" t="s">
        <v>249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233</v>
      </c>
      <c r="C5" s="7" t="s">
        <v>234</v>
      </c>
      <c r="D5" s="7" t="s">
        <v>250</v>
      </c>
      <c r="E5" s="7" t="s">
        <v>251</v>
      </c>
      <c r="F5" s="7" t="s">
        <v>252</v>
      </c>
      <c r="G5" s="7" t="s">
        <v>253</v>
      </c>
      <c r="H5" s="7" t="s">
        <v>18</v>
      </c>
      <c r="I5" s="7" t="s">
        <v>238</v>
      </c>
      <c r="J5" s="7" t="s">
        <v>254</v>
      </c>
      <c r="K5" s="7" t="s">
        <v>255</v>
      </c>
      <c r="L5" s="7" t="s">
        <v>256</v>
      </c>
    </row>
    <row r="6" customFormat="false" ht="27.75" hidden="false" customHeight="true" outlineLevel="0" collapsed="false">
      <c r="B6" s="9"/>
      <c r="C6" s="9"/>
      <c r="D6" s="9"/>
      <c r="E6" s="9"/>
      <c r="F6" s="9"/>
      <c r="G6" s="23" t="str">
        <f aca="false">IF(OR(E6="",F6=""),"",(IF(E6="High",3,IF(E6="Medium",2,IF(E6="Low",1,0))))*(IF(F6="High",3,IF(F6="Medium",2,IF(F6="Low",1,0)))))</f>
        <v/>
      </c>
      <c r="H6" s="9"/>
      <c r="I6" s="9"/>
      <c r="J6" s="24"/>
      <c r="K6" s="24"/>
      <c r="L6" s="9"/>
    </row>
    <row r="7" customFormat="false" ht="27.75" hidden="false" customHeight="true" outlineLevel="0" collapsed="false">
      <c r="B7" s="13"/>
      <c r="C7" s="13"/>
      <c r="D7" s="13"/>
      <c r="E7" s="13"/>
      <c r="F7" s="13"/>
      <c r="G7" s="25" t="str">
        <f aca="false">IF(OR(E7="",F7=""),"",(IF(E7="High",3,IF(E7="Medium",2,IF(E7="Low",1,0))))*(IF(F7="High",3,IF(F7="Medium",2,IF(F7="Low",1,0)))))</f>
        <v/>
      </c>
      <c r="H7" s="13"/>
      <c r="I7" s="13"/>
      <c r="J7" s="26"/>
      <c r="K7" s="26"/>
      <c r="L7" s="13"/>
    </row>
    <row r="8" customFormat="false" ht="27.75" hidden="false" customHeight="true" outlineLevel="0" collapsed="false">
      <c r="B8" s="9"/>
      <c r="C8" s="9"/>
      <c r="D8" s="9"/>
      <c r="E8" s="9"/>
      <c r="F8" s="9"/>
      <c r="G8" s="23" t="str">
        <f aca="false">IF(OR(E8="",F8=""),"",(IF(E8="High",3,IF(E8="Medium",2,IF(E8="Low",1,0))))*(IF(F8="High",3,IF(F8="Medium",2,IF(F8="Low",1,0)))))</f>
        <v/>
      </c>
      <c r="H8" s="9"/>
      <c r="I8" s="9"/>
      <c r="J8" s="24"/>
      <c r="K8" s="24"/>
      <c r="L8" s="9"/>
    </row>
    <row r="9" customFormat="false" ht="27.75" hidden="false" customHeight="true" outlineLevel="0" collapsed="false">
      <c r="B9" s="13"/>
      <c r="C9" s="13"/>
      <c r="D9" s="13"/>
      <c r="E9" s="13"/>
      <c r="F9" s="13"/>
      <c r="G9" s="25" t="str">
        <f aca="false">IF(OR(E9="",F9=""),"",(IF(E9="High",3,IF(E9="Medium",2,IF(E9="Low",1,0))))*(IF(F9="High",3,IF(F9="Medium",2,IF(F9="Low",1,0)))))</f>
        <v/>
      </c>
      <c r="H9" s="13"/>
      <c r="I9" s="13"/>
      <c r="J9" s="26"/>
      <c r="K9" s="26"/>
      <c r="L9" s="13"/>
    </row>
    <row r="10" customFormat="false" ht="27.75" hidden="false" customHeight="true" outlineLevel="0" collapsed="false">
      <c r="B10" s="9"/>
      <c r="C10" s="9"/>
      <c r="D10" s="9"/>
      <c r="E10" s="9"/>
      <c r="F10" s="9"/>
      <c r="G10" s="23" t="str">
        <f aca="false">IF(OR(E10="",F10=""),"",(IF(E10="High",3,IF(E10="Medium",2,IF(E10="Low",1,0))))*(IF(F10="High",3,IF(F10="Medium",2,IF(F10="Low",1,0)))))</f>
        <v/>
      </c>
      <c r="H10" s="9"/>
      <c r="I10" s="9"/>
      <c r="J10" s="24"/>
      <c r="K10" s="24"/>
      <c r="L10" s="9"/>
    </row>
    <row r="11" customFormat="false" ht="27.75" hidden="false" customHeight="true" outlineLevel="0" collapsed="false">
      <c r="B11" s="13"/>
      <c r="C11" s="13"/>
      <c r="D11" s="13"/>
      <c r="E11" s="13"/>
      <c r="F11" s="13"/>
      <c r="G11" s="25" t="str">
        <f aca="false">IF(OR(E11="",F11=""),"",(IF(E11="High",3,IF(E11="Medium",2,IF(E11="Low",1,0))))*(IF(F11="High",3,IF(F11="Medium",2,IF(F11="Low",1,0)))))</f>
        <v/>
      </c>
      <c r="H11" s="13"/>
      <c r="I11" s="13"/>
      <c r="J11" s="26"/>
      <c r="K11" s="26"/>
      <c r="L11" s="13"/>
    </row>
    <row r="12" customFormat="false" ht="27.75" hidden="false" customHeight="true" outlineLevel="0" collapsed="false">
      <c r="B12" s="9"/>
      <c r="C12" s="9"/>
      <c r="D12" s="9"/>
      <c r="E12" s="9"/>
      <c r="F12" s="9"/>
      <c r="G12" s="23" t="str">
        <f aca="false">IF(OR(E12="",F12=""),"",(IF(E12="High",3,IF(E12="Medium",2,IF(E12="Low",1,0))))*(IF(F12="High",3,IF(F12="Medium",2,IF(F12="Low",1,0)))))</f>
        <v/>
      </c>
      <c r="H12" s="9"/>
      <c r="I12" s="9"/>
      <c r="J12" s="24"/>
      <c r="K12" s="24"/>
      <c r="L12" s="9"/>
    </row>
    <row r="13" customFormat="false" ht="27.75" hidden="false" customHeight="true" outlineLevel="0" collapsed="false">
      <c r="B13" s="13"/>
      <c r="C13" s="13"/>
      <c r="D13" s="13"/>
      <c r="E13" s="13"/>
      <c r="F13" s="13"/>
      <c r="G13" s="25" t="str">
        <f aca="false">IF(OR(E13="",F13=""),"",(IF(E13="High",3,IF(E13="Medium",2,IF(E13="Low",1,0))))*(IF(F13="High",3,IF(F13="Medium",2,IF(F13="Low",1,0)))))</f>
        <v/>
      </c>
      <c r="H13" s="13"/>
      <c r="I13" s="13"/>
      <c r="J13" s="26"/>
      <c r="K13" s="26"/>
      <c r="L13" s="13"/>
    </row>
    <row r="14" customFormat="false" ht="27.75" hidden="false" customHeight="true" outlineLevel="0" collapsed="false">
      <c r="B14" s="9"/>
      <c r="C14" s="9"/>
      <c r="D14" s="9"/>
      <c r="E14" s="9"/>
      <c r="F14" s="9"/>
      <c r="G14" s="23" t="str">
        <f aca="false">IF(OR(E14="",F14=""),"",(IF(E14="High",3,IF(E14="Medium",2,IF(E14="Low",1,0))))*(IF(F14="High",3,IF(F14="Medium",2,IF(F14="Low",1,0)))))</f>
        <v/>
      </c>
      <c r="H14" s="9"/>
      <c r="I14" s="9"/>
      <c r="J14" s="24"/>
      <c r="K14" s="24"/>
      <c r="L14" s="9"/>
    </row>
    <row r="15" customFormat="false" ht="27.75" hidden="false" customHeight="true" outlineLevel="0" collapsed="false">
      <c r="B15" s="13"/>
      <c r="C15" s="13"/>
      <c r="D15" s="13"/>
      <c r="E15" s="13"/>
      <c r="F15" s="13"/>
      <c r="G15" s="25" t="str">
        <f aca="false">IF(OR(E15="",F15=""),"",(IF(E15="High",3,IF(E15="Medium",2,IF(E15="Low",1,0))))*(IF(F15="High",3,IF(F15="Medium",2,IF(F15="Low",1,0)))))</f>
        <v/>
      </c>
      <c r="H15" s="13"/>
      <c r="I15" s="13"/>
      <c r="J15" s="26"/>
      <c r="K15" s="26"/>
      <c r="L15" s="13"/>
    </row>
    <row r="16" customFormat="false" ht="27.75" hidden="false" customHeight="true" outlineLevel="0" collapsed="false">
      <c r="B16" s="9"/>
      <c r="C16" s="9"/>
      <c r="D16" s="9"/>
      <c r="E16" s="9"/>
      <c r="F16" s="9"/>
      <c r="G16" s="23" t="str">
        <f aca="false">IF(OR(E16="",F16=""),"",(IF(E16="High",3,IF(E16="Medium",2,IF(E16="Low",1,0))))*(IF(F16="High",3,IF(F16="Medium",2,IF(F16="Low",1,0)))))</f>
        <v/>
      </c>
      <c r="H16" s="9"/>
      <c r="I16" s="9"/>
      <c r="J16" s="24"/>
      <c r="K16" s="24"/>
      <c r="L16" s="9"/>
    </row>
    <row r="17" customFormat="false" ht="27.75" hidden="false" customHeight="true" outlineLevel="0" collapsed="false">
      <c r="B17" s="13"/>
      <c r="C17" s="13"/>
      <c r="D17" s="13"/>
      <c r="E17" s="13"/>
      <c r="F17" s="13"/>
      <c r="G17" s="25" t="str">
        <f aca="false">IF(OR(E17="",F17=""),"",(IF(E17="High",3,IF(E17="Medium",2,IF(E17="Low",1,0))))*(IF(F17="High",3,IF(F17="Medium",2,IF(F17="Low",1,0)))))</f>
        <v/>
      </c>
      <c r="H17" s="13"/>
      <c r="I17" s="13"/>
      <c r="J17" s="26"/>
      <c r="K17" s="26"/>
      <c r="L17" s="13"/>
    </row>
    <row r="18" customFormat="false" ht="27.75" hidden="false" customHeight="true" outlineLevel="0" collapsed="false">
      <c r="B18" s="9"/>
      <c r="C18" s="9"/>
      <c r="D18" s="9"/>
      <c r="E18" s="9"/>
      <c r="F18" s="9"/>
      <c r="G18" s="23" t="str">
        <f aca="false">IF(OR(E18="",F18=""),"",(IF(E18="High",3,IF(E18="Medium",2,IF(E18="Low",1,0))))*(IF(F18="High",3,IF(F18="Medium",2,IF(F18="Low",1,0)))))</f>
        <v/>
      </c>
      <c r="H18" s="9"/>
      <c r="I18" s="9"/>
      <c r="J18" s="24"/>
      <c r="K18" s="24"/>
      <c r="L18" s="9"/>
    </row>
    <row r="19" customFormat="false" ht="27.75" hidden="false" customHeight="true" outlineLevel="0" collapsed="false">
      <c r="B19" s="13"/>
      <c r="C19" s="13"/>
      <c r="D19" s="13"/>
      <c r="E19" s="13"/>
      <c r="F19" s="13"/>
      <c r="G19" s="25" t="str">
        <f aca="false">IF(OR(E19="",F19=""),"",(IF(E19="High",3,IF(E19="Medium",2,IF(E19="Low",1,0))))*(IF(F19="High",3,IF(F19="Medium",2,IF(F19="Low",1,0)))))</f>
        <v/>
      </c>
      <c r="H19" s="13"/>
      <c r="I19" s="13"/>
      <c r="J19" s="26"/>
      <c r="K19" s="26"/>
      <c r="L19" s="13"/>
    </row>
    <row r="20" customFormat="false" ht="27.75" hidden="false" customHeight="true" outlineLevel="0" collapsed="false">
      <c r="B20" s="9"/>
      <c r="C20" s="9"/>
      <c r="D20" s="9"/>
      <c r="E20" s="9"/>
      <c r="F20" s="9"/>
      <c r="G20" s="23" t="str">
        <f aca="false">IF(OR(E20="",F20=""),"",(IF(E20="High",3,IF(E20="Medium",2,IF(E20="Low",1,0))))*(IF(F20="High",3,IF(F20="Medium",2,IF(F20="Low",1,0)))))</f>
        <v/>
      </c>
      <c r="H20" s="9"/>
      <c r="I20" s="9"/>
      <c r="J20" s="24"/>
      <c r="K20" s="24"/>
      <c r="L20" s="9"/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25" t="str">
        <f aca="false">IF(OR(E21="",F21=""),"",(IF(E21="High",3,IF(E21="Medium",2,IF(E21="Low",1,0))))*(IF(F21="High",3,IF(F21="Medium",2,IF(F21="Low",1,0)))))</f>
        <v/>
      </c>
      <c r="H21" s="13"/>
      <c r="I21" s="13"/>
      <c r="J21" s="26"/>
      <c r="K21" s="26"/>
      <c r="L21" s="13"/>
    </row>
    <row r="22" customFormat="false" ht="27.75" hidden="false" customHeight="true" outlineLevel="0" collapsed="false">
      <c r="B22" s="9"/>
      <c r="C22" s="9"/>
      <c r="D22" s="9"/>
      <c r="E22" s="9"/>
      <c r="F22" s="9"/>
      <c r="G22" s="23" t="str">
        <f aca="false">IF(OR(E22="",F22=""),"",(IF(E22="High",3,IF(E22="Medium",2,IF(E22="Low",1,0))))*(IF(F22="High",3,IF(F22="Medium",2,IF(F22="Low",1,0)))))</f>
        <v/>
      </c>
      <c r="H22" s="9"/>
      <c r="I22" s="9"/>
      <c r="J22" s="24"/>
      <c r="K22" s="24"/>
      <c r="L22" s="9"/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25" t="str">
        <f aca="false">IF(OR(E23="",F23=""),"",(IF(E23="High",3,IF(E23="Medium",2,IF(E23="Low",1,0))))*(IF(F23="High",3,IF(F23="Medium",2,IF(F23="Low",1,0)))))</f>
        <v/>
      </c>
      <c r="H23" s="13"/>
      <c r="I23" s="13"/>
      <c r="J23" s="26"/>
      <c r="K23" s="26"/>
      <c r="L23" s="13"/>
    </row>
    <row r="24" customFormat="false" ht="27.75" hidden="false" customHeight="true" outlineLevel="0" collapsed="false">
      <c r="B24" s="9"/>
      <c r="C24" s="9"/>
      <c r="D24" s="9"/>
      <c r="E24" s="9"/>
      <c r="F24" s="9"/>
      <c r="G24" s="23" t="str">
        <f aca="false">IF(OR(E24="",F24=""),"",(IF(E24="High",3,IF(E24="Medium",2,IF(E24="Low",1,0))))*(IF(F24="High",3,IF(F24="Medium",2,IF(F24="Low",1,0)))))</f>
        <v/>
      </c>
      <c r="H24" s="9"/>
      <c r="I24" s="9"/>
      <c r="J24" s="24"/>
      <c r="K24" s="24"/>
      <c r="L24" s="9"/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25" t="str">
        <f aca="false">IF(OR(E25="",F25=""),"",(IF(E25="High",3,IF(E25="Medium",2,IF(E25="Low",1,0))))*(IF(F25="High",3,IF(F25="Medium",2,IF(F25="Low",1,0)))))</f>
        <v/>
      </c>
      <c r="H25" s="13"/>
      <c r="I25" s="13"/>
      <c r="J25" s="26"/>
      <c r="K25" s="26"/>
      <c r="L25" s="13"/>
    </row>
    <row r="26" customFormat="false" ht="27.75" hidden="false" customHeight="true" outlineLevel="0" collapsed="false">
      <c r="B26" s="9"/>
      <c r="C26" s="9"/>
      <c r="D26" s="9"/>
      <c r="E26" s="9"/>
      <c r="F26" s="9"/>
      <c r="G26" s="23" t="str">
        <f aca="false">IF(OR(E26="",F26=""),"",(IF(E26="High",3,IF(E26="Medium",2,IF(E26="Low",1,0))))*(IF(F26="High",3,IF(F26="Medium",2,IF(F26="Low",1,0)))))</f>
        <v/>
      </c>
      <c r="H26" s="9"/>
      <c r="I26" s="9"/>
      <c r="J26" s="24"/>
      <c r="K26" s="24"/>
      <c r="L26" s="9"/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25" t="str">
        <f aca="false">IF(OR(E27="",F27=""),"",(IF(E27="High",3,IF(E27="Medium",2,IF(E27="Low",1,0))))*(IF(F27="High",3,IF(F27="Medium",2,IF(F27="Low",1,0)))))</f>
        <v/>
      </c>
      <c r="H27" s="13"/>
      <c r="I27" s="13"/>
      <c r="J27" s="26"/>
      <c r="K27" s="26"/>
      <c r="L27" s="13"/>
    </row>
    <row r="28" customFormat="false" ht="27.75" hidden="false" customHeight="true" outlineLevel="0" collapsed="false">
      <c r="B28" s="9"/>
      <c r="C28" s="9"/>
      <c r="D28" s="9"/>
      <c r="E28" s="9"/>
      <c r="F28" s="9"/>
      <c r="G28" s="23" t="str">
        <f aca="false">IF(OR(E28="",F28=""),"",(IF(E28="High",3,IF(E28="Medium",2,IF(E28="Low",1,0))))*(IF(F28="High",3,IF(F28="Medium",2,IF(F28="Low",1,0)))))</f>
        <v/>
      </c>
      <c r="H28" s="9"/>
      <c r="I28" s="9"/>
      <c r="J28" s="24"/>
      <c r="K28" s="24"/>
      <c r="L28" s="9"/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25" t="str">
        <f aca="false">IF(OR(E29="",F29=""),"",(IF(E29="High",3,IF(E29="Medium",2,IF(E29="Low",1,0))))*(IF(F29="High",3,IF(F29="Medium",2,IF(F29="Low",1,0)))))</f>
        <v/>
      </c>
      <c r="H29" s="13"/>
      <c r="I29" s="13"/>
      <c r="J29" s="26"/>
      <c r="K29" s="26"/>
      <c r="L29" s="13"/>
    </row>
    <row r="30" customFormat="false" ht="27.75" hidden="false" customHeight="true" outlineLevel="0" collapsed="false">
      <c r="B30" s="9"/>
      <c r="C30" s="9"/>
      <c r="D30" s="9"/>
      <c r="E30" s="9"/>
      <c r="F30" s="9"/>
      <c r="G30" s="23" t="str">
        <f aca="false">IF(OR(E30="",F30=""),"",(IF(E30="High",3,IF(E30="Medium",2,IF(E30="Low",1,0))))*(IF(F30="High",3,IF(F30="Medium",2,IF(F30="Low",1,0)))))</f>
        <v/>
      </c>
      <c r="H30" s="9"/>
      <c r="I30" s="9"/>
      <c r="J30" s="24"/>
      <c r="K30" s="24"/>
      <c r="L30" s="9"/>
    </row>
    <row r="31" customFormat="false" ht="27.75" hidden="false" customHeight="true" outlineLevel="0" collapsed="false">
      <c r="B31" s="13"/>
      <c r="C31" s="13"/>
      <c r="D31" s="13"/>
      <c r="E31" s="13"/>
      <c r="F31" s="13"/>
      <c r="G31" s="25" t="str">
        <f aca="false">IF(OR(E31="",F31=""),"",(IF(E31="High",3,IF(E31="Medium",2,IF(E31="Low",1,0))))*(IF(F31="High",3,IF(F31="Medium",2,IF(F31="Low",1,0)))))</f>
        <v/>
      </c>
      <c r="H31" s="13"/>
      <c r="I31" s="13"/>
      <c r="J31" s="26"/>
      <c r="K31" s="26"/>
      <c r="L31" s="13"/>
    </row>
    <row r="32" customFormat="false" ht="27.75" hidden="false" customHeight="true" outlineLevel="0" collapsed="false">
      <c r="B32" s="9"/>
      <c r="C32" s="9"/>
      <c r="D32" s="9"/>
      <c r="E32" s="9"/>
      <c r="F32" s="9"/>
      <c r="G32" s="23" t="str">
        <f aca="false">IF(OR(E32="",F32=""),"",(IF(E32="High",3,IF(E32="Medium",2,IF(E32="Low",1,0))))*(IF(F32="High",3,IF(F32="Medium",2,IF(F32="Low",1,0)))))</f>
        <v/>
      </c>
      <c r="H32" s="9"/>
      <c r="I32" s="9"/>
      <c r="J32" s="24"/>
      <c r="K32" s="24"/>
      <c r="L32" s="9"/>
    </row>
    <row r="33" customFormat="false" ht="27.75" hidden="false" customHeight="true" outlineLevel="0" collapsed="false">
      <c r="B33" s="13"/>
      <c r="C33" s="13"/>
      <c r="D33" s="13"/>
      <c r="E33" s="13"/>
      <c r="F33" s="13"/>
      <c r="G33" s="25" t="str">
        <f aca="false">IF(OR(E33="",F33=""),"",(IF(E33="High",3,IF(E33="Medium",2,IF(E33="Low",1,0))))*(IF(F33="High",3,IF(F33="Medium",2,IF(F33="Low",1,0)))))</f>
        <v/>
      </c>
      <c r="H33" s="13"/>
      <c r="I33" s="13"/>
      <c r="J33" s="26"/>
      <c r="K33" s="26"/>
      <c r="L33" s="13"/>
    </row>
    <row r="34" customFormat="false" ht="27.75" hidden="false" customHeight="true" outlineLevel="0" collapsed="false">
      <c r="B34" s="9"/>
      <c r="C34" s="9"/>
      <c r="D34" s="9"/>
      <c r="E34" s="9"/>
      <c r="F34" s="9"/>
      <c r="G34" s="23" t="str">
        <f aca="false">IF(OR(E34="",F34=""),"",(IF(E34="High",3,IF(E34="Medium",2,IF(E34="Low",1,0))))*(IF(F34="High",3,IF(F34="Medium",2,IF(F34="Low",1,0)))))</f>
        <v/>
      </c>
      <c r="H34" s="9"/>
      <c r="I34" s="9"/>
      <c r="J34" s="24"/>
      <c r="K34" s="24"/>
      <c r="L34" s="9"/>
    </row>
    <row r="35" customFormat="false" ht="27.75" hidden="false" customHeight="true" outlineLevel="0" collapsed="false">
      <c r="B35" s="13"/>
      <c r="C35" s="13"/>
      <c r="D35" s="13"/>
      <c r="E35" s="13"/>
      <c r="F35" s="13"/>
      <c r="G35" s="25" t="str">
        <f aca="false">IF(OR(E35="",F35=""),"",(IF(E35="High",3,IF(E35="Medium",2,IF(E35="Low",1,0))))*(IF(F35="High",3,IF(F35="Medium",2,IF(F35="Low",1,0)))))</f>
        <v/>
      </c>
      <c r="H35" s="13"/>
      <c r="I35" s="13"/>
      <c r="J35" s="26"/>
      <c r="K35" s="26"/>
      <c r="L35" s="13"/>
    </row>
    <row r="36" customFormat="false" ht="27.75" hidden="false" customHeight="true" outlineLevel="0" collapsed="false">
      <c r="B36" s="9"/>
      <c r="C36" s="9"/>
      <c r="D36" s="9"/>
      <c r="E36" s="9"/>
      <c r="F36" s="9"/>
      <c r="G36" s="23" t="str">
        <f aca="false">IF(OR(E36="",F36=""),"",(IF(E36="High",3,IF(E36="Medium",2,IF(E36="Low",1,0))))*(IF(F36="High",3,IF(F36="Medium",2,IF(F36="Low",1,0)))))</f>
        <v/>
      </c>
      <c r="H36" s="9"/>
      <c r="I36" s="9"/>
      <c r="J36" s="24"/>
      <c r="K36" s="24"/>
      <c r="L36" s="9"/>
    </row>
    <row r="37" customFormat="false" ht="27.75" hidden="false" customHeight="true" outlineLevel="0" collapsed="false">
      <c r="B37" s="13"/>
      <c r="C37" s="13"/>
      <c r="D37" s="13"/>
      <c r="E37" s="13"/>
      <c r="F37" s="13"/>
      <c r="G37" s="25" t="str">
        <f aca="false">IF(OR(E37="",F37=""),"",(IF(E37="High",3,IF(E37="Medium",2,IF(E37="Low",1,0))))*(IF(F37="High",3,IF(F37="Medium",2,IF(F37="Low",1,0)))))</f>
        <v/>
      </c>
      <c r="H37" s="13"/>
      <c r="I37" s="13"/>
      <c r="J37" s="26"/>
      <c r="K37" s="26"/>
      <c r="L37" s="13"/>
    </row>
    <row r="38" customFormat="false" ht="27.75" hidden="false" customHeight="true" outlineLevel="0" collapsed="false">
      <c r="B38" s="9"/>
      <c r="C38" s="9"/>
      <c r="D38" s="9"/>
      <c r="E38" s="9"/>
      <c r="F38" s="9"/>
      <c r="G38" s="23" t="str">
        <f aca="false">IF(OR(E38="",F38=""),"",(IF(E38="High",3,IF(E38="Medium",2,IF(E38="Low",1,0))))*(IF(F38="High",3,IF(F38="Medium",2,IF(F38="Low",1,0)))))</f>
        <v/>
      </c>
      <c r="H38" s="9"/>
      <c r="I38" s="9"/>
      <c r="J38" s="24"/>
      <c r="K38" s="24"/>
      <c r="L38" s="9"/>
    </row>
    <row r="39" customFormat="false" ht="27.75" hidden="false" customHeight="true" outlineLevel="0" collapsed="false">
      <c r="B39" s="13"/>
      <c r="C39" s="13"/>
      <c r="D39" s="13"/>
      <c r="E39" s="13"/>
      <c r="F39" s="13"/>
      <c r="G39" s="25" t="str">
        <f aca="false">IF(OR(E39="",F39=""),"",(IF(E39="High",3,IF(E39="Medium",2,IF(E39="Low",1,0))))*(IF(F39="High",3,IF(F39="Medium",2,IF(F39="Low",1,0)))))</f>
        <v/>
      </c>
      <c r="H39" s="13"/>
      <c r="I39" s="13"/>
      <c r="J39" s="26"/>
      <c r="K39" s="26"/>
      <c r="L39" s="13"/>
    </row>
    <row r="40" customFormat="false" ht="27.75" hidden="false" customHeight="true" outlineLevel="0" collapsed="false">
      <c r="B40" s="9"/>
      <c r="C40" s="9"/>
      <c r="D40" s="9"/>
      <c r="E40" s="9"/>
      <c r="F40" s="9"/>
      <c r="G40" s="23" t="str">
        <f aca="false">IF(OR(E40="",F40=""),"",(IF(E40="High",3,IF(E40="Medium",2,IF(E40="Low",1,0))))*(IF(F40="High",3,IF(F40="Medium",2,IF(F40="Low",1,0)))))</f>
        <v/>
      </c>
      <c r="H40" s="9"/>
      <c r="I40" s="9"/>
      <c r="J40" s="24"/>
      <c r="K40" s="24"/>
      <c r="L40" s="9"/>
    </row>
    <row r="41" customFormat="false" ht="27.75" hidden="false" customHeight="true" outlineLevel="0" collapsed="false">
      <c r="B41" s="13"/>
      <c r="C41" s="13"/>
      <c r="D41" s="13"/>
      <c r="E41" s="13"/>
      <c r="F41" s="13"/>
      <c r="G41" s="25" t="str">
        <f aca="false">IF(OR(E41="",F41=""),"",(IF(E41="High",3,IF(E41="Medium",2,IF(E41="Low",1,0))))*(IF(F41="High",3,IF(F41="Medium",2,IF(F41="Low",1,0)))))</f>
        <v/>
      </c>
      <c r="H41" s="13"/>
      <c r="I41" s="13"/>
      <c r="J41" s="26"/>
      <c r="K41" s="26"/>
      <c r="L41" s="13"/>
    </row>
    <row r="42" customFormat="false" ht="27.75" hidden="false" customHeight="true" outlineLevel="0" collapsed="false">
      <c r="B42" s="9"/>
      <c r="C42" s="9"/>
      <c r="D42" s="9"/>
      <c r="E42" s="9"/>
      <c r="F42" s="9"/>
      <c r="G42" s="23" t="str">
        <f aca="false">IF(OR(E42="",F42=""),"",(IF(E42="High",3,IF(E42="Medium",2,IF(E42="Low",1,0))))*(IF(F42="High",3,IF(F42="Medium",2,IF(F42="Low",1,0)))))</f>
        <v/>
      </c>
      <c r="H42" s="9"/>
      <c r="I42" s="9"/>
      <c r="J42" s="24"/>
      <c r="K42" s="24"/>
      <c r="L42" s="9"/>
    </row>
    <row r="43" customFormat="false" ht="27.75" hidden="false" customHeight="true" outlineLevel="0" collapsed="false">
      <c r="B43" s="13"/>
      <c r="C43" s="13"/>
      <c r="D43" s="13"/>
      <c r="E43" s="13"/>
      <c r="F43" s="13"/>
      <c r="G43" s="25" t="str">
        <f aca="false">IF(OR(E43="",F43=""),"",(IF(E43="High",3,IF(E43="Medium",2,IF(E43="Low",1,0))))*(IF(F43="High",3,IF(F43="Medium",2,IF(F43="Low",1,0)))))</f>
        <v/>
      </c>
      <c r="H43" s="13"/>
      <c r="I43" s="13"/>
      <c r="J43" s="26"/>
      <c r="K43" s="26"/>
      <c r="L43" s="13"/>
    </row>
    <row r="44" customFormat="false" ht="27.75" hidden="false" customHeight="true" outlineLevel="0" collapsed="false">
      <c r="B44" s="9"/>
      <c r="C44" s="9"/>
      <c r="D44" s="9"/>
      <c r="E44" s="9"/>
      <c r="F44" s="9"/>
      <c r="G44" s="23" t="str">
        <f aca="false">IF(OR(E44="",F44=""),"",(IF(E44="High",3,IF(E44="Medium",2,IF(E44="Low",1,0))))*(IF(F44="High",3,IF(F44="Medium",2,IF(F44="Low",1,0)))))</f>
        <v/>
      </c>
      <c r="H44" s="9"/>
      <c r="I44" s="9"/>
      <c r="J44" s="24"/>
      <c r="K44" s="24"/>
      <c r="L44" s="9"/>
    </row>
    <row r="45" customFormat="false" ht="27.75" hidden="false" customHeight="true" outlineLevel="0" collapsed="false">
      <c r="B45" s="13"/>
      <c r="C45" s="13"/>
      <c r="D45" s="13"/>
      <c r="E45" s="13"/>
      <c r="F45" s="13"/>
      <c r="G45" s="25" t="str">
        <f aca="false">IF(OR(E45="",F45=""),"",(IF(E45="High",3,IF(E45="Medium",2,IF(E45="Low",1,0))))*(IF(F45="High",3,IF(F45="Medium",2,IF(F45="Low",1,0)))))</f>
        <v/>
      </c>
      <c r="H45" s="13"/>
      <c r="I45" s="13"/>
      <c r="J45" s="26"/>
      <c r="K45" s="26"/>
      <c r="L45" s="13"/>
    </row>
  </sheetData>
  <conditionalFormatting sqref="G6:G45">
    <cfRule type="cellIs" priority="2" operator="greaterThanOrEqual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3</formula>
      <formula>5</formula>
    </cfRule>
    <cfRule type="cellIs" priority="4" operator="between" aboveAverage="0" equalAverage="0" bottom="0" percent="0" rank="0" text="" dxfId="2">
      <formula>1</formula>
      <formula>2</formula>
    </cfRule>
  </conditionalFormatting>
  <dataValidations count="3">
    <dataValidation allowBlank="true" errorStyle="stop" operator="between" showDropDown="false" showErrorMessage="false" showInputMessage="false" sqref="C6:C45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E6:F45" type="list">
      <formula1>"High,Medium,Low"</formula1>
      <formula2>0</formula2>
    </dataValidation>
    <dataValidation allowBlank="true" errorStyle="stop" operator="between" showDropDown="false" showErrorMessage="false" showInputMessage="false" sqref="H6:H45" type="list">
      <formula1>"Open,Mitigating,Monitoring,Closed,Realized"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0" min="10" style="0" width="22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257</v>
      </c>
    </row>
    <row r="3" customFormat="false" ht="16.5" hidden="false" customHeight="true" outlineLevel="0" collapsed="false">
      <c r="B3" s="2" t="s">
        <v>258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233</v>
      </c>
      <c r="C5" s="7" t="s">
        <v>259</v>
      </c>
      <c r="D5" s="7" t="s">
        <v>238</v>
      </c>
      <c r="E5" s="7" t="s">
        <v>13</v>
      </c>
      <c r="F5" s="7" t="s">
        <v>260</v>
      </c>
      <c r="G5" s="7" t="s">
        <v>261</v>
      </c>
      <c r="H5" s="7" t="s">
        <v>262</v>
      </c>
      <c r="I5" s="7" t="s">
        <v>18</v>
      </c>
      <c r="J5" s="7" t="s">
        <v>263</v>
      </c>
    </row>
    <row r="6" customFormat="false" ht="27.75" hidden="false" customHeight="true" outlineLevel="0" collapsed="false">
      <c r="B6" s="9"/>
      <c r="C6" s="9"/>
      <c r="D6" s="9"/>
      <c r="E6" s="9"/>
      <c r="F6" s="24"/>
      <c r="G6" s="24"/>
      <c r="H6" s="24"/>
      <c r="I6" s="9"/>
      <c r="J6" s="9"/>
    </row>
    <row r="7" customFormat="false" ht="27.75" hidden="false" customHeight="true" outlineLevel="0" collapsed="false">
      <c r="B7" s="13"/>
      <c r="C7" s="13"/>
      <c r="D7" s="13"/>
      <c r="E7" s="13"/>
      <c r="F7" s="26"/>
      <c r="G7" s="26"/>
      <c r="H7" s="26"/>
      <c r="I7" s="13"/>
      <c r="J7" s="13"/>
    </row>
    <row r="8" customFormat="false" ht="27.75" hidden="false" customHeight="true" outlineLevel="0" collapsed="false">
      <c r="B8" s="9"/>
      <c r="C8" s="9"/>
      <c r="D8" s="9"/>
      <c r="E8" s="9"/>
      <c r="F8" s="24"/>
      <c r="G8" s="24"/>
      <c r="H8" s="24"/>
      <c r="I8" s="9"/>
      <c r="J8" s="9"/>
    </row>
    <row r="9" customFormat="false" ht="27.75" hidden="false" customHeight="true" outlineLevel="0" collapsed="false">
      <c r="B9" s="13"/>
      <c r="C9" s="13"/>
      <c r="D9" s="13"/>
      <c r="E9" s="13"/>
      <c r="F9" s="26"/>
      <c r="G9" s="26"/>
      <c r="H9" s="26"/>
      <c r="I9" s="13"/>
      <c r="J9" s="13"/>
    </row>
    <row r="10" customFormat="false" ht="27.75" hidden="false" customHeight="true" outlineLevel="0" collapsed="false">
      <c r="B10" s="9"/>
      <c r="C10" s="9"/>
      <c r="D10" s="9"/>
      <c r="E10" s="9"/>
      <c r="F10" s="24"/>
      <c r="G10" s="24"/>
      <c r="H10" s="24"/>
      <c r="I10" s="9"/>
      <c r="J10" s="9"/>
    </row>
    <row r="11" customFormat="false" ht="27.75" hidden="false" customHeight="true" outlineLevel="0" collapsed="false">
      <c r="B11" s="13"/>
      <c r="C11" s="13"/>
      <c r="D11" s="13"/>
      <c r="E11" s="13"/>
      <c r="F11" s="26"/>
      <c r="G11" s="26"/>
      <c r="H11" s="26"/>
      <c r="I11" s="13"/>
      <c r="J11" s="13"/>
    </row>
    <row r="12" customFormat="false" ht="27.75" hidden="false" customHeight="true" outlineLevel="0" collapsed="false">
      <c r="B12" s="9"/>
      <c r="C12" s="9"/>
      <c r="D12" s="9"/>
      <c r="E12" s="9"/>
      <c r="F12" s="24"/>
      <c r="G12" s="24"/>
      <c r="H12" s="24"/>
      <c r="I12" s="9"/>
      <c r="J12" s="9"/>
    </row>
    <row r="13" customFormat="false" ht="27.75" hidden="false" customHeight="true" outlineLevel="0" collapsed="false">
      <c r="B13" s="13"/>
      <c r="C13" s="13"/>
      <c r="D13" s="13"/>
      <c r="E13" s="13"/>
      <c r="F13" s="26"/>
      <c r="G13" s="26"/>
      <c r="H13" s="26"/>
      <c r="I13" s="13"/>
      <c r="J13" s="13"/>
    </row>
    <row r="14" customFormat="false" ht="27.75" hidden="false" customHeight="true" outlineLevel="0" collapsed="false">
      <c r="B14" s="9"/>
      <c r="C14" s="9"/>
      <c r="D14" s="9"/>
      <c r="E14" s="9"/>
      <c r="F14" s="24"/>
      <c r="G14" s="24"/>
      <c r="H14" s="24"/>
      <c r="I14" s="9"/>
      <c r="J14" s="9"/>
    </row>
    <row r="15" customFormat="false" ht="27.75" hidden="false" customHeight="true" outlineLevel="0" collapsed="false">
      <c r="B15" s="13"/>
      <c r="C15" s="13"/>
      <c r="D15" s="13"/>
      <c r="E15" s="13"/>
      <c r="F15" s="26"/>
      <c r="G15" s="26"/>
      <c r="H15" s="26"/>
      <c r="I15" s="13"/>
      <c r="J15" s="13"/>
    </row>
    <row r="16" customFormat="false" ht="27.75" hidden="false" customHeight="true" outlineLevel="0" collapsed="false">
      <c r="B16" s="9"/>
      <c r="C16" s="9"/>
      <c r="D16" s="9"/>
      <c r="E16" s="9"/>
      <c r="F16" s="24"/>
      <c r="G16" s="24"/>
      <c r="H16" s="24"/>
      <c r="I16" s="9"/>
      <c r="J16" s="9"/>
    </row>
    <row r="17" customFormat="false" ht="27.75" hidden="false" customHeight="true" outlineLevel="0" collapsed="false">
      <c r="B17" s="13"/>
      <c r="C17" s="13"/>
      <c r="D17" s="13"/>
      <c r="E17" s="13"/>
      <c r="F17" s="26"/>
      <c r="G17" s="26"/>
      <c r="H17" s="26"/>
      <c r="I17" s="13"/>
      <c r="J17" s="13"/>
    </row>
    <row r="18" customFormat="false" ht="27.75" hidden="false" customHeight="true" outlineLevel="0" collapsed="false">
      <c r="B18" s="9"/>
      <c r="C18" s="9"/>
      <c r="D18" s="9"/>
      <c r="E18" s="9"/>
      <c r="F18" s="24"/>
      <c r="G18" s="24"/>
      <c r="H18" s="24"/>
      <c r="I18" s="9"/>
      <c r="J18" s="9"/>
    </row>
    <row r="19" customFormat="false" ht="27.75" hidden="false" customHeight="true" outlineLevel="0" collapsed="false">
      <c r="B19" s="13"/>
      <c r="C19" s="13"/>
      <c r="D19" s="13"/>
      <c r="E19" s="13"/>
      <c r="F19" s="26"/>
      <c r="G19" s="26"/>
      <c r="H19" s="26"/>
      <c r="I19" s="13"/>
      <c r="J19" s="13"/>
    </row>
    <row r="20" customFormat="false" ht="27.75" hidden="false" customHeight="true" outlineLevel="0" collapsed="false">
      <c r="B20" s="9"/>
      <c r="C20" s="9"/>
      <c r="D20" s="9"/>
      <c r="E20" s="9"/>
      <c r="F20" s="24"/>
      <c r="G20" s="24"/>
      <c r="H20" s="24"/>
      <c r="I20" s="9"/>
      <c r="J20" s="9"/>
    </row>
    <row r="21" customFormat="false" ht="27.75" hidden="false" customHeight="true" outlineLevel="0" collapsed="false">
      <c r="B21" s="13"/>
      <c r="C21" s="13"/>
      <c r="D21" s="13"/>
      <c r="E21" s="13"/>
      <c r="F21" s="26"/>
      <c r="G21" s="26"/>
      <c r="H21" s="26"/>
      <c r="I21" s="13"/>
      <c r="J21" s="13"/>
    </row>
    <row r="22" customFormat="false" ht="27.75" hidden="false" customHeight="true" outlineLevel="0" collapsed="false">
      <c r="B22" s="9"/>
      <c r="C22" s="9"/>
      <c r="D22" s="9"/>
      <c r="E22" s="9"/>
      <c r="F22" s="24"/>
      <c r="G22" s="24"/>
      <c r="H22" s="24"/>
      <c r="I22" s="9"/>
      <c r="J22" s="9"/>
    </row>
    <row r="23" customFormat="false" ht="27.75" hidden="false" customHeight="true" outlineLevel="0" collapsed="false">
      <c r="B23" s="13"/>
      <c r="C23" s="13"/>
      <c r="D23" s="13"/>
      <c r="E23" s="13"/>
      <c r="F23" s="26"/>
      <c r="G23" s="26"/>
      <c r="H23" s="26"/>
      <c r="I23" s="13"/>
      <c r="J23" s="13"/>
    </row>
    <row r="24" customFormat="false" ht="27.75" hidden="false" customHeight="true" outlineLevel="0" collapsed="false">
      <c r="B24" s="9"/>
      <c r="C24" s="9"/>
      <c r="D24" s="9"/>
      <c r="E24" s="9"/>
      <c r="F24" s="24"/>
      <c r="G24" s="24"/>
      <c r="H24" s="24"/>
      <c r="I24" s="9"/>
      <c r="J24" s="9"/>
    </row>
    <row r="25" customFormat="false" ht="27.75" hidden="false" customHeight="true" outlineLevel="0" collapsed="false">
      <c r="B25" s="13"/>
      <c r="C25" s="13"/>
      <c r="D25" s="13"/>
      <c r="E25" s="13"/>
      <c r="F25" s="26"/>
      <c r="G25" s="26"/>
      <c r="H25" s="26"/>
      <c r="I25" s="13"/>
      <c r="J25" s="13"/>
    </row>
    <row r="26" customFormat="false" ht="27.75" hidden="false" customHeight="true" outlineLevel="0" collapsed="false">
      <c r="B26" s="9"/>
      <c r="C26" s="9"/>
      <c r="D26" s="9"/>
      <c r="E26" s="9"/>
      <c r="F26" s="24"/>
      <c r="G26" s="24"/>
      <c r="H26" s="24"/>
      <c r="I26" s="9"/>
      <c r="J26" s="9"/>
    </row>
    <row r="27" customFormat="false" ht="27.75" hidden="false" customHeight="true" outlineLevel="0" collapsed="false">
      <c r="B27" s="13"/>
      <c r="C27" s="13"/>
      <c r="D27" s="13"/>
      <c r="E27" s="13"/>
      <c r="F27" s="26"/>
      <c r="G27" s="26"/>
      <c r="H27" s="26"/>
      <c r="I27" s="13"/>
      <c r="J27" s="13"/>
    </row>
    <row r="28" customFormat="false" ht="27.75" hidden="false" customHeight="true" outlineLevel="0" collapsed="false">
      <c r="B28" s="9"/>
      <c r="C28" s="9"/>
      <c r="D28" s="9"/>
      <c r="E28" s="9"/>
      <c r="F28" s="24"/>
      <c r="G28" s="24"/>
      <c r="H28" s="24"/>
      <c r="I28" s="9"/>
      <c r="J28" s="9"/>
    </row>
    <row r="29" customFormat="false" ht="27.75" hidden="false" customHeight="true" outlineLevel="0" collapsed="false">
      <c r="B29" s="13"/>
      <c r="C29" s="13"/>
      <c r="D29" s="13"/>
      <c r="E29" s="13"/>
      <c r="F29" s="26"/>
      <c r="G29" s="26"/>
      <c r="H29" s="26"/>
      <c r="I29" s="13"/>
      <c r="J29" s="13"/>
    </row>
    <row r="30" customFormat="false" ht="27.75" hidden="false" customHeight="true" outlineLevel="0" collapsed="false">
      <c r="B30" s="9"/>
      <c r="C30" s="9"/>
      <c r="D30" s="9"/>
      <c r="E30" s="9"/>
      <c r="F30" s="24"/>
      <c r="G30" s="24"/>
      <c r="H30" s="24"/>
      <c r="I30" s="9"/>
      <c r="J30" s="9"/>
    </row>
    <row r="31" customFormat="false" ht="27.75" hidden="false" customHeight="true" outlineLevel="0" collapsed="false">
      <c r="B31" s="13"/>
      <c r="C31" s="13"/>
      <c r="D31" s="13"/>
      <c r="E31" s="13"/>
      <c r="F31" s="26"/>
      <c r="G31" s="26"/>
      <c r="H31" s="26"/>
      <c r="I31" s="13"/>
      <c r="J31" s="13"/>
    </row>
    <row r="32" customFormat="false" ht="27.75" hidden="false" customHeight="true" outlineLevel="0" collapsed="false">
      <c r="B32" s="9"/>
      <c r="C32" s="9"/>
      <c r="D32" s="9"/>
      <c r="E32" s="9"/>
      <c r="F32" s="24"/>
      <c r="G32" s="24"/>
      <c r="H32" s="24"/>
      <c r="I32" s="9"/>
      <c r="J32" s="9"/>
    </row>
    <row r="33" customFormat="false" ht="27.75" hidden="false" customHeight="true" outlineLevel="0" collapsed="false">
      <c r="B33" s="13"/>
      <c r="C33" s="13"/>
      <c r="D33" s="13"/>
      <c r="E33" s="13"/>
      <c r="F33" s="26"/>
      <c r="G33" s="26"/>
      <c r="H33" s="26"/>
      <c r="I33" s="13"/>
      <c r="J33" s="13"/>
    </row>
    <row r="34" customFormat="false" ht="27.75" hidden="false" customHeight="true" outlineLevel="0" collapsed="false">
      <c r="B34" s="9"/>
      <c r="C34" s="9"/>
      <c r="D34" s="9"/>
      <c r="E34" s="9"/>
      <c r="F34" s="24"/>
      <c r="G34" s="24"/>
      <c r="H34" s="24"/>
      <c r="I34" s="9"/>
      <c r="J34" s="9"/>
    </row>
    <row r="35" customFormat="false" ht="27.75" hidden="false" customHeight="true" outlineLevel="0" collapsed="false">
      <c r="B35" s="13"/>
      <c r="C35" s="13"/>
      <c r="D35" s="13"/>
      <c r="E35" s="13"/>
      <c r="F35" s="26"/>
      <c r="G35" s="26"/>
      <c r="H35" s="26"/>
      <c r="I35" s="13"/>
      <c r="J35" s="13"/>
    </row>
  </sheetData>
  <conditionalFormatting sqref="I6:I35">
    <cfRule type="expression" priority="2" aboveAverage="0" equalAverage="0" bottom="0" percent="0" rank="0" text="" dxfId="2">
      <formula>EXACT(I6,"Complete")</formula>
    </cfRule>
    <cfRule type="expression" priority="3" aboveAverage="0" equalAverage="0" bottom="0" percent="0" rank="0" text="" dxfId="0">
      <formula>OR(EXACT(I6,"Delayed"),EXACT(I6,"At-Risk"),EXACT(I6,"Blocked"))</formula>
    </cfRule>
    <cfRule type="expression" priority="4" aboveAverage="0" equalAverage="0" bottom="0" percent="0" rank="0" text="" dxfId="1">
      <formula>EXACT(I6,"In Progress")</formula>
    </cfRule>
  </conditionalFormatting>
  <dataValidations count="2">
    <dataValidation allowBlank="true" errorStyle="stop" operator="between" showDropDown="false" showErrorMessage="false" showInputMessage="false" sqref="E6:E35" type="list">
      <formula1>"Initiate,Plan,Execute,Monitor,Close"</formula1>
      <formula2>0</formula2>
    </dataValidation>
    <dataValidation allowBlank="true" errorStyle="stop" operator="between" showDropDown="false" showErrorMessage="false" showInputMessage="false" sqref="I6:I35" type="list">
      <formula1>"Not Started,In Progress,Complete,Delayed,At-Risk,Blocked"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0" min="10" style="0" width="22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264</v>
      </c>
    </row>
    <row r="3" customFormat="false" ht="16.5" hidden="false" customHeight="true" outlineLevel="0" collapsed="false">
      <c r="B3" s="2" t="s">
        <v>265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186</v>
      </c>
      <c r="C5" s="7" t="s">
        <v>266</v>
      </c>
      <c r="D5" s="7" t="s">
        <v>267</v>
      </c>
      <c r="E5" s="7" t="s">
        <v>234</v>
      </c>
      <c r="F5" s="7" t="s">
        <v>268</v>
      </c>
      <c r="G5" s="7" t="s">
        <v>10</v>
      </c>
      <c r="H5" s="7" t="s">
        <v>269</v>
      </c>
      <c r="I5" s="7" t="s">
        <v>270</v>
      </c>
      <c r="J5" s="7" t="s">
        <v>271</v>
      </c>
    </row>
    <row r="6" customFormat="false" ht="27.75" hidden="false" customHeight="true" outlineLevel="0" collapsed="false">
      <c r="B6" s="9"/>
      <c r="C6" s="9"/>
      <c r="D6" s="9"/>
      <c r="E6" s="9"/>
      <c r="F6" s="27"/>
      <c r="G6" s="24"/>
      <c r="H6" s="24"/>
      <c r="I6" s="28"/>
      <c r="J6" s="9"/>
    </row>
    <row r="7" customFormat="false" ht="27.75" hidden="false" customHeight="true" outlineLevel="0" collapsed="false">
      <c r="B7" s="13"/>
      <c r="C7" s="13"/>
      <c r="D7" s="13"/>
      <c r="E7" s="13"/>
      <c r="F7" s="29"/>
      <c r="G7" s="26"/>
      <c r="H7" s="26"/>
      <c r="I7" s="30"/>
      <c r="J7" s="13"/>
    </row>
    <row r="8" customFormat="false" ht="27.75" hidden="false" customHeight="true" outlineLevel="0" collapsed="false">
      <c r="B8" s="9"/>
      <c r="C8" s="9"/>
      <c r="D8" s="9"/>
      <c r="E8" s="9"/>
      <c r="F8" s="27"/>
      <c r="G8" s="24"/>
      <c r="H8" s="24"/>
      <c r="I8" s="28"/>
      <c r="J8" s="9"/>
    </row>
    <row r="9" customFormat="false" ht="27.75" hidden="false" customHeight="true" outlineLevel="0" collapsed="false">
      <c r="B9" s="13"/>
      <c r="C9" s="13"/>
      <c r="D9" s="13"/>
      <c r="E9" s="13"/>
      <c r="F9" s="29"/>
      <c r="G9" s="26"/>
      <c r="H9" s="26"/>
      <c r="I9" s="30"/>
      <c r="J9" s="13"/>
    </row>
    <row r="10" customFormat="false" ht="27.75" hidden="false" customHeight="true" outlineLevel="0" collapsed="false">
      <c r="B10" s="9"/>
      <c r="C10" s="9"/>
      <c r="D10" s="9"/>
      <c r="E10" s="9"/>
      <c r="F10" s="27"/>
      <c r="G10" s="24"/>
      <c r="H10" s="24"/>
      <c r="I10" s="28"/>
      <c r="J10" s="9"/>
    </row>
    <row r="11" customFormat="false" ht="27.75" hidden="false" customHeight="true" outlineLevel="0" collapsed="false">
      <c r="B11" s="13"/>
      <c r="C11" s="13"/>
      <c r="D11" s="13"/>
      <c r="E11" s="13"/>
      <c r="F11" s="29"/>
      <c r="G11" s="26"/>
      <c r="H11" s="26"/>
      <c r="I11" s="30"/>
      <c r="J11" s="13"/>
    </row>
    <row r="12" customFormat="false" ht="27.75" hidden="false" customHeight="true" outlineLevel="0" collapsed="false">
      <c r="B12" s="9"/>
      <c r="C12" s="9"/>
      <c r="D12" s="9"/>
      <c r="E12" s="9"/>
      <c r="F12" s="27"/>
      <c r="G12" s="24"/>
      <c r="H12" s="24"/>
      <c r="I12" s="28"/>
      <c r="J12" s="9"/>
    </row>
    <row r="13" customFormat="false" ht="27.75" hidden="false" customHeight="true" outlineLevel="0" collapsed="false">
      <c r="B13" s="13"/>
      <c r="C13" s="13"/>
      <c r="D13" s="13"/>
      <c r="E13" s="13"/>
      <c r="F13" s="29"/>
      <c r="G13" s="26"/>
      <c r="H13" s="26"/>
      <c r="I13" s="30"/>
      <c r="J13" s="13"/>
    </row>
    <row r="14" customFormat="false" ht="27.75" hidden="false" customHeight="true" outlineLevel="0" collapsed="false">
      <c r="B14" s="9"/>
      <c r="C14" s="9"/>
      <c r="D14" s="9"/>
      <c r="E14" s="9"/>
      <c r="F14" s="27"/>
      <c r="G14" s="24"/>
      <c r="H14" s="24"/>
      <c r="I14" s="28"/>
      <c r="J14" s="9"/>
    </row>
    <row r="15" customFormat="false" ht="27.75" hidden="false" customHeight="true" outlineLevel="0" collapsed="false">
      <c r="B15" s="13"/>
      <c r="C15" s="13"/>
      <c r="D15" s="13"/>
      <c r="E15" s="13"/>
      <c r="F15" s="29"/>
      <c r="G15" s="26"/>
      <c r="H15" s="26"/>
      <c r="I15" s="30"/>
      <c r="J15" s="13"/>
    </row>
    <row r="16" customFormat="false" ht="27.75" hidden="false" customHeight="true" outlineLevel="0" collapsed="false">
      <c r="B16" s="9"/>
      <c r="C16" s="9"/>
      <c r="D16" s="9"/>
      <c r="E16" s="9"/>
      <c r="F16" s="27"/>
      <c r="G16" s="24"/>
      <c r="H16" s="24"/>
      <c r="I16" s="28"/>
      <c r="J16" s="9"/>
    </row>
    <row r="17" customFormat="false" ht="27.75" hidden="false" customHeight="true" outlineLevel="0" collapsed="false">
      <c r="B17" s="13"/>
      <c r="C17" s="13"/>
      <c r="D17" s="13"/>
      <c r="E17" s="13"/>
      <c r="F17" s="29"/>
      <c r="G17" s="26"/>
      <c r="H17" s="26"/>
      <c r="I17" s="30"/>
      <c r="J17" s="13"/>
    </row>
    <row r="18" customFormat="false" ht="27.75" hidden="false" customHeight="true" outlineLevel="0" collapsed="false">
      <c r="B18" s="9"/>
      <c r="C18" s="9"/>
      <c r="D18" s="9"/>
      <c r="E18" s="9"/>
      <c r="F18" s="27"/>
      <c r="G18" s="24"/>
      <c r="H18" s="24"/>
      <c r="I18" s="28"/>
      <c r="J18" s="9"/>
    </row>
    <row r="19" customFormat="false" ht="27.75" hidden="false" customHeight="true" outlineLevel="0" collapsed="false">
      <c r="B19" s="13"/>
      <c r="C19" s="13"/>
      <c r="D19" s="13"/>
      <c r="E19" s="13"/>
      <c r="F19" s="29"/>
      <c r="G19" s="26"/>
      <c r="H19" s="26"/>
      <c r="I19" s="30"/>
      <c r="J19" s="13"/>
    </row>
    <row r="20" customFormat="false" ht="27.75" hidden="false" customHeight="true" outlineLevel="0" collapsed="false">
      <c r="B20" s="9"/>
      <c r="C20" s="9"/>
      <c r="D20" s="9"/>
      <c r="E20" s="9"/>
      <c r="F20" s="27"/>
      <c r="G20" s="24"/>
      <c r="H20" s="24"/>
      <c r="I20" s="28"/>
      <c r="J20" s="9"/>
    </row>
    <row r="21" customFormat="false" ht="27.75" hidden="false" customHeight="true" outlineLevel="0" collapsed="false">
      <c r="B21" s="13"/>
      <c r="C21" s="13"/>
      <c r="D21" s="13"/>
      <c r="E21" s="13"/>
      <c r="F21" s="29"/>
      <c r="G21" s="26"/>
      <c r="H21" s="26"/>
      <c r="I21" s="30"/>
      <c r="J21" s="13"/>
    </row>
    <row r="22" customFormat="false" ht="27.75" hidden="false" customHeight="true" outlineLevel="0" collapsed="false">
      <c r="B22" s="9"/>
      <c r="C22" s="9"/>
      <c r="D22" s="9"/>
      <c r="E22" s="9"/>
      <c r="F22" s="27"/>
      <c r="G22" s="24"/>
      <c r="H22" s="24"/>
      <c r="I22" s="28"/>
      <c r="J22" s="9"/>
    </row>
    <row r="23" customFormat="false" ht="27.75" hidden="false" customHeight="true" outlineLevel="0" collapsed="false">
      <c r="B23" s="13"/>
      <c r="C23" s="13"/>
      <c r="D23" s="13"/>
      <c r="E23" s="13"/>
      <c r="F23" s="29"/>
      <c r="G23" s="26"/>
      <c r="H23" s="26"/>
      <c r="I23" s="30"/>
      <c r="J23" s="13"/>
    </row>
    <row r="24" customFormat="false" ht="27.75" hidden="false" customHeight="true" outlineLevel="0" collapsed="false">
      <c r="B24" s="9"/>
      <c r="C24" s="9"/>
      <c r="D24" s="9"/>
      <c r="E24" s="9"/>
      <c r="F24" s="27"/>
      <c r="G24" s="24"/>
      <c r="H24" s="24"/>
      <c r="I24" s="28"/>
      <c r="J24" s="9"/>
    </row>
    <row r="25" customFormat="false" ht="27.75" hidden="false" customHeight="true" outlineLevel="0" collapsed="false">
      <c r="B25" s="13"/>
      <c r="C25" s="13"/>
      <c r="D25" s="13"/>
      <c r="E25" s="13"/>
      <c r="F25" s="29"/>
      <c r="G25" s="26"/>
      <c r="H25" s="26"/>
      <c r="I25" s="30"/>
      <c r="J25" s="13"/>
    </row>
    <row r="26" customFormat="false" ht="27.75" hidden="false" customHeight="true" outlineLevel="0" collapsed="false">
      <c r="B26" s="9"/>
      <c r="C26" s="9"/>
      <c r="D26" s="9"/>
      <c r="E26" s="9"/>
      <c r="F26" s="27"/>
      <c r="G26" s="24"/>
      <c r="H26" s="24"/>
      <c r="I26" s="28"/>
      <c r="J26" s="9"/>
    </row>
    <row r="27" customFormat="false" ht="27.75" hidden="false" customHeight="true" outlineLevel="0" collapsed="false">
      <c r="B27" s="13"/>
      <c r="C27" s="13"/>
      <c r="D27" s="13"/>
      <c r="E27" s="13"/>
      <c r="F27" s="29"/>
      <c r="G27" s="26"/>
      <c r="H27" s="26"/>
      <c r="I27" s="30"/>
      <c r="J27" s="13"/>
    </row>
    <row r="28" customFormat="false" ht="27.75" hidden="false" customHeight="true" outlineLevel="0" collapsed="false">
      <c r="B28" s="9"/>
      <c r="C28" s="9"/>
      <c r="D28" s="9"/>
      <c r="E28" s="9"/>
      <c r="F28" s="27"/>
      <c r="G28" s="24"/>
      <c r="H28" s="24"/>
      <c r="I28" s="28"/>
      <c r="J28" s="9"/>
    </row>
    <row r="29" customFormat="false" ht="27.75" hidden="false" customHeight="true" outlineLevel="0" collapsed="false">
      <c r="B29" s="13"/>
      <c r="C29" s="13"/>
      <c r="D29" s="13"/>
      <c r="E29" s="13"/>
      <c r="F29" s="29"/>
      <c r="G29" s="26"/>
      <c r="H29" s="26"/>
      <c r="I29" s="30"/>
      <c r="J29" s="13"/>
    </row>
    <row r="30" customFormat="false" ht="27.75" hidden="false" customHeight="true" outlineLevel="0" collapsed="false">
      <c r="B30" s="9"/>
      <c r="C30" s="9"/>
      <c r="D30" s="9"/>
      <c r="E30" s="9"/>
      <c r="F30" s="27"/>
      <c r="G30" s="24"/>
      <c r="H30" s="24"/>
      <c r="I30" s="28"/>
      <c r="J30" s="9"/>
    </row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>
      <c r="B33" s="20" t="s">
        <v>272</v>
      </c>
    </row>
    <row r="34" customFormat="false" ht="16.5" hidden="false" customHeight="true" outlineLevel="0" collapsed="false"/>
    <row r="35" customFormat="false" ht="16.5" hidden="false" customHeight="true" outlineLevel="0" collapsed="false">
      <c r="B35" s="5" t="s">
        <v>273</v>
      </c>
      <c r="C35" s="31" t="n">
        <f aca="false">SUMIF(E6:E30,"FTE",F6:F30)</f>
        <v>0</v>
      </c>
    </row>
    <row r="36" customFormat="false" ht="31.5" hidden="false" customHeight="true" outlineLevel="0" collapsed="false">
      <c r="B36" s="5" t="s">
        <v>274</v>
      </c>
      <c r="C36" s="31" t="n">
        <f aca="false">SUMIF(E6:E30,"Contractor",F6:F30)</f>
        <v>0</v>
      </c>
    </row>
    <row r="37" customFormat="false" ht="16.5" hidden="false" customHeight="true" outlineLevel="0" collapsed="false">
      <c r="B37" s="5" t="s">
        <v>275</v>
      </c>
      <c r="C37" s="21" t="n">
        <f aca="false">COUNTA(B6:B30)</f>
        <v>0</v>
      </c>
    </row>
  </sheetData>
  <dataValidations count="1">
    <dataValidation allowBlank="true" errorStyle="stop" operator="between" showDropDown="false" showErrorMessage="false" showInputMessage="false" sqref="E6:E30" type="list">
      <formula1>"FTE,Contractor,Vendor,Part-time,Advisor"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276</v>
      </c>
    </row>
    <row r="3" customFormat="false" ht="16.5" hidden="false" customHeight="true" outlineLevel="0" collapsed="false">
      <c r="B3" s="2" t="s">
        <v>277</v>
      </c>
    </row>
    <row r="4" customFormat="false" ht="16.5" hidden="false" customHeight="true" outlineLevel="0" collapsed="false"/>
    <row r="5" customFormat="false" ht="16.5" hidden="false" customHeight="true" outlineLevel="0" collapsed="false">
      <c r="B5" s="5" t="s">
        <v>278</v>
      </c>
      <c r="C5" s="32"/>
      <c r="D5" s="5" t="s">
        <v>279</v>
      </c>
      <c r="E5" s="16" t="s">
        <v>280</v>
      </c>
      <c r="F5" s="5" t="s">
        <v>281</v>
      </c>
      <c r="G5" s="33"/>
    </row>
    <row r="6" customFormat="false" ht="16.5" hidden="false" customHeight="true" outlineLevel="0" collapsed="false"/>
    <row r="7" customFormat="false" ht="16.5" hidden="false" customHeight="true" outlineLevel="0" collapsed="false"/>
    <row r="8" customFormat="false" ht="31.5" hidden="false" customHeight="true" outlineLevel="0" collapsed="false">
      <c r="B8" s="7" t="s">
        <v>282</v>
      </c>
      <c r="C8" s="7" t="s">
        <v>283</v>
      </c>
      <c r="D8" s="7" t="s">
        <v>284</v>
      </c>
      <c r="E8" s="7" t="s">
        <v>285</v>
      </c>
      <c r="F8" s="7" t="s">
        <v>286</v>
      </c>
      <c r="G8" s="7" t="s">
        <v>287</v>
      </c>
      <c r="H8" s="7" t="s">
        <v>271</v>
      </c>
    </row>
    <row r="9" customFormat="false" ht="31.5" hidden="false" customHeight="true" outlineLevel="0" collapsed="false">
      <c r="B9" s="9" t="s">
        <v>288</v>
      </c>
      <c r="C9" s="34"/>
      <c r="D9" s="34"/>
      <c r="E9" s="34"/>
      <c r="F9" s="35" t="str">
        <f aca="false">IF(C9="","",C9-E9)</f>
        <v/>
      </c>
      <c r="G9" s="36" t="n">
        <f aca="false">IFERROR(IF(C9=0,0,E9/C9),0)</f>
        <v>0</v>
      </c>
      <c r="H9" s="9"/>
    </row>
    <row r="10" customFormat="false" ht="48" hidden="false" customHeight="true" outlineLevel="0" collapsed="false">
      <c r="B10" s="13" t="s">
        <v>289</v>
      </c>
      <c r="C10" s="37"/>
      <c r="D10" s="37"/>
      <c r="E10" s="37"/>
      <c r="F10" s="38" t="str">
        <f aca="false">IF(C10="","",C10-E10)</f>
        <v/>
      </c>
      <c r="G10" s="39" t="n">
        <f aca="false">IFERROR(IF(C10=0,0,E10/C10),0)</f>
        <v>0</v>
      </c>
      <c r="H10" s="13"/>
    </row>
    <row r="11" customFormat="false" ht="48" hidden="false" customHeight="true" outlineLevel="0" collapsed="false">
      <c r="B11" s="9" t="s">
        <v>290</v>
      </c>
      <c r="C11" s="34"/>
      <c r="D11" s="34"/>
      <c r="E11" s="34"/>
      <c r="F11" s="35" t="str">
        <f aca="false">IF(C11="","",C11-E11)</f>
        <v/>
      </c>
      <c r="G11" s="36" t="n">
        <f aca="false">IFERROR(IF(C11=0,0,E11/C11),0)</f>
        <v>0</v>
      </c>
      <c r="H11" s="9"/>
    </row>
    <row r="12" customFormat="false" ht="48" hidden="false" customHeight="true" outlineLevel="0" collapsed="false">
      <c r="B12" s="13" t="s">
        <v>291</v>
      </c>
      <c r="C12" s="37"/>
      <c r="D12" s="37"/>
      <c r="E12" s="37"/>
      <c r="F12" s="38" t="str">
        <f aca="false">IF(C12="","",C12-E12)</f>
        <v/>
      </c>
      <c r="G12" s="39" t="n">
        <f aca="false">IFERROR(IF(C12=0,0,E12/C12),0)</f>
        <v>0</v>
      </c>
      <c r="H12" s="13"/>
    </row>
    <row r="13" customFormat="false" ht="48" hidden="false" customHeight="true" outlineLevel="0" collapsed="false">
      <c r="B13" s="9" t="s">
        <v>292</v>
      </c>
      <c r="C13" s="34"/>
      <c r="D13" s="34"/>
      <c r="E13" s="34"/>
      <c r="F13" s="35" t="str">
        <f aca="false">IF(C13="","",C13-E13)</f>
        <v/>
      </c>
      <c r="G13" s="36" t="n">
        <f aca="false">IFERROR(IF(C13=0,0,E13/C13),0)</f>
        <v>0</v>
      </c>
      <c r="H13" s="9"/>
    </row>
    <row r="14" customFormat="false" ht="48" hidden="false" customHeight="true" outlineLevel="0" collapsed="false">
      <c r="B14" s="13" t="s">
        <v>293</v>
      </c>
      <c r="C14" s="37"/>
      <c r="D14" s="37"/>
      <c r="E14" s="37"/>
      <c r="F14" s="38" t="str">
        <f aca="false">IF(C14="","",C14-E14)</f>
        <v/>
      </c>
      <c r="G14" s="39" t="n">
        <f aca="false">IFERROR(IF(C14=0,0,E14/C14),0)</f>
        <v>0</v>
      </c>
      <c r="H14" s="13"/>
    </row>
    <row r="15" customFormat="false" ht="48" hidden="false" customHeight="true" outlineLevel="0" collapsed="false">
      <c r="B15" s="9" t="s">
        <v>294</v>
      </c>
      <c r="C15" s="34"/>
      <c r="D15" s="34"/>
      <c r="E15" s="34"/>
      <c r="F15" s="35" t="str">
        <f aca="false">IF(C15="","",C15-E15)</f>
        <v/>
      </c>
      <c r="G15" s="36" t="n">
        <f aca="false">IFERROR(IF(C15=0,0,E15/C15),0)</f>
        <v>0</v>
      </c>
      <c r="H15" s="9"/>
    </row>
    <row r="16" customFormat="false" ht="48" hidden="false" customHeight="true" outlineLevel="0" collapsed="false">
      <c r="B16" s="13" t="s">
        <v>295</v>
      </c>
      <c r="C16" s="37"/>
      <c r="D16" s="37"/>
      <c r="E16" s="37"/>
      <c r="F16" s="38" t="str">
        <f aca="false">IF(C16="","",C16-E16)</f>
        <v/>
      </c>
      <c r="G16" s="39" t="n">
        <f aca="false">IFERROR(IF(C16=0,0,E16/C16),0)</f>
        <v>0</v>
      </c>
      <c r="H16" s="13"/>
    </row>
    <row r="17" customFormat="false" ht="48" hidden="false" customHeight="true" outlineLevel="0" collapsed="false">
      <c r="B17" s="9" t="s">
        <v>296</v>
      </c>
      <c r="C17" s="34"/>
      <c r="D17" s="34"/>
      <c r="E17" s="34"/>
      <c r="F17" s="35" t="str">
        <f aca="false">IF(C17="","",C17-E17)</f>
        <v/>
      </c>
      <c r="G17" s="36" t="n">
        <f aca="false">IFERROR(IF(C17=0,0,E17/C17),0)</f>
        <v>0</v>
      </c>
      <c r="H17" s="9"/>
    </row>
    <row r="18" customFormat="false" ht="48" hidden="false" customHeight="true" outlineLevel="0" collapsed="false">
      <c r="B18" s="13" t="s">
        <v>297</v>
      </c>
      <c r="C18" s="37"/>
      <c r="D18" s="37"/>
      <c r="E18" s="37"/>
      <c r="F18" s="38" t="str">
        <f aca="false">IF(C18="","",C18-E18)</f>
        <v/>
      </c>
      <c r="G18" s="39" t="n">
        <f aca="false">IFERROR(IF(C18=0,0,E18/C18),0)</f>
        <v>0</v>
      </c>
      <c r="H18" s="13"/>
    </row>
    <row r="19" customFormat="false" ht="48" hidden="false" customHeight="true" outlineLevel="0" collapsed="false">
      <c r="B19" s="9"/>
      <c r="C19" s="34"/>
      <c r="D19" s="34"/>
      <c r="E19" s="34"/>
      <c r="F19" s="35" t="str">
        <f aca="false">IF(C19="","",C19-E19)</f>
        <v/>
      </c>
      <c r="G19" s="36" t="n">
        <f aca="false">IFERROR(IF(C19=0,0,E19/C19),0)</f>
        <v>0</v>
      </c>
      <c r="H19" s="9"/>
    </row>
    <row r="20" customFormat="false" ht="48" hidden="false" customHeight="true" outlineLevel="0" collapsed="false">
      <c r="B20" s="13"/>
      <c r="C20" s="37"/>
      <c r="D20" s="37"/>
      <c r="E20" s="37"/>
      <c r="F20" s="38" t="str">
        <f aca="false">IF(C20="","",C20-E20)</f>
        <v/>
      </c>
      <c r="G20" s="39" t="n">
        <f aca="false">IFERROR(IF(C20=0,0,E20/C20),0)</f>
        <v>0</v>
      </c>
      <c r="H20" s="13"/>
    </row>
    <row r="21" customFormat="false" ht="16.5" hidden="false" customHeight="true" outlineLevel="0" collapsed="false"/>
    <row r="22" customFormat="false" ht="16.5" hidden="false" customHeight="true" outlineLevel="0" collapsed="false">
      <c r="B22" s="40" t="s">
        <v>298</v>
      </c>
      <c r="C22" s="41" t="n">
        <f aca="false">SUM(C9:C20)</f>
        <v>0</v>
      </c>
      <c r="D22" s="41" t="n">
        <f aca="false">SUM(D9:D20)</f>
        <v>0</v>
      </c>
      <c r="E22" s="41" t="n">
        <f aca="false">SUM(E9:E20)</f>
        <v>0</v>
      </c>
      <c r="F22" s="41" t="n">
        <f aca="false">SUM(F9:F20)</f>
        <v>0</v>
      </c>
      <c r="G22" s="42" t="n">
        <f aca="false">IFERROR(E22/C22,0)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299</v>
      </c>
    </row>
    <row r="3" customFormat="false" ht="16.5" hidden="false" customHeight="true" outlineLevel="0" collapsed="false">
      <c r="B3" s="2" t="s">
        <v>300</v>
      </c>
    </row>
    <row r="4" customFormat="false" ht="16.5" hidden="false" customHeight="true" outlineLevel="0" collapsed="false"/>
    <row r="5" customFormat="false" ht="36" hidden="false" customHeight="true" outlineLevel="0" collapsed="false">
      <c r="B5" s="7" t="s">
        <v>233</v>
      </c>
      <c r="C5" s="7" t="s">
        <v>124</v>
      </c>
      <c r="D5" s="7" t="s">
        <v>234</v>
      </c>
      <c r="E5" s="7" t="s">
        <v>301</v>
      </c>
      <c r="F5" s="7" t="s">
        <v>302</v>
      </c>
      <c r="G5" s="7" t="s">
        <v>303</v>
      </c>
      <c r="H5" s="7" t="s">
        <v>304</v>
      </c>
      <c r="I5" s="7" t="s">
        <v>305</v>
      </c>
      <c r="J5" s="7" t="s">
        <v>306</v>
      </c>
      <c r="K5" s="7" t="s">
        <v>307</v>
      </c>
      <c r="L5" s="7" t="s">
        <v>18</v>
      </c>
    </row>
    <row r="6" customFormat="false" ht="27.75" hidden="false" customHeight="true" outlineLevel="0" collapsed="false">
      <c r="B6" s="9"/>
      <c r="C6" s="24"/>
      <c r="D6" s="9"/>
      <c r="E6" s="9"/>
      <c r="F6" s="9"/>
      <c r="G6" s="9"/>
      <c r="H6" s="43"/>
      <c r="I6" s="35"/>
      <c r="J6" s="9"/>
      <c r="K6" s="9"/>
      <c r="L6" s="9"/>
    </row>
    <row r="7" customFormat="false" ht="27.75" hidden="false" customHeight="true" outlineLevel="0" collapsed="false">
      <c r="B7" s="13"/>
      <c r="C7" s="26"/>
      <c r="D7" s="13"/>
      <c r="E7" s="13"/>
      <c r="F7" s="13"/>
      <c r="G7" s="13"/>
      <c r="H7" s="44"/>
      <c r="I7" s="38"/>
      <c r="J7" s="13"/>
      <c r="K7" s="13"/>
      <c r="L7" s="13"/>
    </row>
    <row r="8" customFormat="false" ht="27.75" hidden="false" customHeight="true" outlineLevel="0" collapsed="false">
      <c r="B8" s="9"/>
      <c r="C8" s="24"/>
      <c r="D8" s="9"/>
      <c r="E8" s="9"/>
      <c r="F8" s="9"/>
      <c r="G8" s="9"/>
      <c r="H8" s="43"/>
      <c r="I8" s="35"/>
      <c r="J8" s="9"/>
      <c r="K8" s="9"/>
      <c r="L8" s="9"/>
    </row>
    <row r="9" customFormat="false" ht="27.75" hidden="false" customHeight="true" outlineLevel="0" collapsed="false">
      <c r="B9" s="13"/>
      <c r="C9" s="26"/>
      <c r="D9" s="13"/>
      <c r="E9" s="13"/>
      <c r="F9" s="13"/>
      <c r="G9" s="13"/>
      <c r="H9" s="44"/>
      <c r="I9" s="38"/>
      <c r="J9" s="13"/>
      <c r="K9" s="13"/>
      <c r="L9" s="13"/>
    </row>
    <row r="10" customFormat="false" ht="27.75" hidden="false" customHeight="true" outlineLevel="0" collapsed="false">
      <c r="B10" s="9"/>
      <c r="C10" s="24"/>
      <c r="D10" s="9"/>
      <c r="E10" s="9"/>
      <c r="F10" s="9"/>
      <c r="G10" s="9"/>
      <c r="H10" s="43"/>
      <c r="I10" s="35"/>
      <c r="J10" s="9"/>
      <c r="K10" s="9"/>
      <c r="L10" s="9"/>
    </row>
    <row r="11" customFormat="false" ht="27.75" hidden="false" customHeight="true" outlineLevel="0" collapsed="false">
      <c r="B11" s="13"/>
      <c r="C11" s="26"/>
      <c r="D11" s="13"/>
      <c r="E11" s="13"/>
      <c r="F11" s="13"/>
      <c r="G11" s="13"/>
      <c r="H11" s="44"/>
      <c r="I11" s="38"/>
      <c r="J11" s="13"/>
      <c r="K11" s="13"/>
      <c r="L11" s="13"/>
    </row>
    <row r="12" customFormat="false" ht="27.75" hidden="false" customHeight="true" outlineLevel="0" collapsed="false">
      <c r="B12" s="9"/>
      <c r="C12" s="24"/>
      <c r="D12" s="9"/>
      <c r="E12" s="9"/>
      <c r="F12" s="9"/>
      <c r="G12" s="9"/>
      <c r="H12" s="43"/>
      <c r="I12" s="35"/>
      <c r="J12" s="9"/>
      <c r="K12" s="9"/>
      <c r="L12" s="9"/>
    </row>
    <row r="13" customFormat="false" ht="27.75" hidden="false" customHeight="true" outlineLevel="0" collapsed="false">
      <c r="B13" s="13"/>
      <c r="C13" s="26"/>
      <c r="D13" s="13"/>
      <c r="E13" s="13"/>
      <c r="F13" s="13"/>
      <c r="G13" s="13"/>
      <c r="H13" s="44"/>
      <c r="I13" s="38"/>
      <c r="J13" s="13"/>
      <c r="K13" s="13"/>
      <c r="L13" s="13"/>
    </row>
    <row r="14" customFormat="false" ht="27.75" hidden="false" customHeight="true" outlineLevel="0" collapsed="false">
      <c r="B14" s="9"/>
      <c r="C14" s="24"/>
      <c r="D14" s="9"/>
      <c r="E14" s="9"/>
      <c r="F14" s="9"/>
      <c r="G14" s="9"/>
      <c r="H14" s="43"/>
      <c r="I14" s="35"/>
      <c r="J14" s="9"/>
      <c r="K14" s="9"/>
      <c r="L14" s="9"/>
    </row>
    <row r="15" customFormat="false" ht="27.75" hidden="false" customHeight="true" outlineLevel="0" collapsed="false">
      <c r="B15" s="13"/>
      <c r="C15" s="26"/>
      <c r="D15" s="13"/>
      <c r="E15" s="13"/>
      <c r="F15" s="13"/>
      <c r="G15" s="13"/>
      <c r="H15" s="44"/>
      <c r="I15" s="38"/>
      <c r="J15" s="13"/>
      <c r="K15" s="13"/>
      <c r="L15" s="13"/>
    </row>
    <row r="16" customFormat="false" ht="27.75" hidden="false" customHeight="true" outlineLevel="0" collapsed="false">
      <c r="B16" s="9"/>
      <c r="C16" s="24"/>
      <c r="D16" s="9"/>
      <c r="E16" s="9"/>
      <c r="F16" s="9"/>
      <c r="G16" s="9"/>
      <c r="H16" s="43"/>
      <c r="I16" s="35"/>
      <c r="J16" s="9"/>
      <c r="K16" s="9"/>
      <c r="L16" s="9"/>
    </row>
    <row r="17" customFormat="false" ht="27.75" hidden="false" customHeight="true" outlineLevel="0" collapsed="false">
      <c r="B17" s="13"/>
      <c r="C17" s="26"/>
      <c r="D17" s="13"/>
      <c r="E17" s="13"/>
      <c r="F17" s="13"/>
      <c r="G17" s="13"/>
      <c r="H17" s="44"/>
      <c r="I17" s="38"/>
      <c r="J17" s="13"/>
      <c r="K17" s="13"/>
      <c r="L17" s="13"/>
    </row>
    <row r="18" customFormat="false" ht="27.75" hidden="false" customHeight="true" outlineLevel="0" collapsed="false">
      <c r="B18" s="9"/>
      <c r="C18" s="24"/>
      <c r="D18" s="9"/>
      <c r="E18" s="9"/>
      <c r="F18" s="9"/>
      <c r="G18" s="9"/>
      <c r="H18" s="43"/>
      <c r="I18" s="35"/>
      <c r="J18" s="9"/>
      <c r="K18" s="9"/>
      <c r="L18" s="9"/>
    </row>
    <row r="19" customFormat="false" ht="27.75" hidden="false" customHeight="true" outlineLevel="0" collapsed="false">
      <c r="B19" s="13"/>
      <c r="C19" s="26"/>
      <c r="D19" s="13"/>
      <c r="E19" s="13"/>
      <c r="F19" s="13"/>
      <c r="G19" s="13"/>
      <c r="H19" s="44"/>
      <c r="I19" s="38"/>
      <c r="J19" s="13"/>
      <c r="K19" s="13"/>
      <c r="L19" s="13"/>
    </row>
    <row r="20" customFormat="false" ht="27.75" hidden="false" customHeight="true" outlineLevel="0" collapsed="false">
      <c r="B20" s="9"/>
      <c r="C20" s="24"/>
      <c r="D20" s="9"/>
      <c r="E20" s="9"/>
      <c r="F20" s="9"/>
      <c r="G20" s="9"/>
      <c r="H20" s="43"/>
      <c r="I20" s="35"/>
      <c r="J20" s="9"/>
      <c r="K20" s="9"/>
      <c r="L20" s="9"/>
    </row>
    <row r="21" customFormat="false" ht="27.75" hidden="false" customHeight="true" outlineLevel="0" collapsed="false">
      <c r="B21" s="13"/>
      <c r="C21" s="26"/>
      <c r="D21" s="13"/>
      <c r="E21" s="13"/>
      <c r="F21" s="13"/>
      <c r="G21" s="13"/>
      <c r="H21" s="44"/>
      <c r="I21" s="38"/>
      <c r="J21" s="13"/>
      <c r="K21" s="13"/>
      <c r="L21" s="13"/>
    </row>
    <row r="22" customFormat="false" ht="27.75" hidden="false" customHeight="true" outlineLevel="0" collapsed="false">
      <c r="B22" s="9"/>
      <c r="C22" s="24"/>
      <c r="D22" s="9"/>
      <c r="E22" s="9"/>
      <c r="F22" s="9"/>
      <c r="G22" s="9"/>
      <c r="H22" s="43"/>
      <c r="I22" s="35"/>
      <c r="J22" s="9"/>
      <c r="K22" s="9"/>
      <c r="L22" s="9"/>
    </row>
    <row r="23" customFormat="false" ht="27.75" hidden="false" customHeight="true" outlineLevel="0" collapsed="false">
      <c r="B23" s="13"/>
      <c r="C23" s="26"/>
      <c r="D23" s="13"/>
      <c r="E23" s="13"/>
      <c r="F23" s="13"/>
      <c r="G23" s="13"/>
      <c r="H23" s="44"/>
      <c r="I23" s="38"/>
      <c r="J23" s="13"/>
      <c r="K23" s="13"/>
      <c r="L23" s="13"/>
    </row>
    <row r="24" customFormat="false" ht="27.75" hidden="false" customHeight="true" outlineLevel="0" collapsed="false">
      <c r="B24" s="9"/>
      <c r="C24" s="24"/>
      <c r="D24" s="9"/>
      <c r="E24" s="9"/>
      <c r="F24" s="9"/>
      <c r="G24" s="9"/>
      <c r="H24" s="43"/>
      <c r="I24" s="35"/>
      <c r="J24" s="9"/>
      <c r="K24" s="9"/>
      <c r="L24" s="9"/>
    </row>
    <row r="25" customFormat="false" ht="27.75" hidden="false" customHeight="true" outlineLevel="0" collapsed="false">
      <c r="B25" s="13"/>
      <c r="C25" s="26"/>
      <c r="D25" s="13"/>
      <c r="E25" s="13"/>
      <c r="F25" s="13"/>
      <c r="G25" s="13"/>
      <c r="H25" s="44"/>
      <c r="I25" s="38"/>
      <c r="J25" s="13"/>
      <c r="K25" s="13"/>
      <c r="L25" s="13"/>
    </row>
    <row r="26" customFormat="false" ht="27.75" hidden="false" customHeight="true" outlineLevel="0" collapsed="false">
      <c r="B26" s="9"/>
      <c r="C26" s="24"/>
      <c r="D26" s="9"/>
      <c r="E26" s="9"/>
      <c r="F26" s="9"/>
      <c r="G26" s="9"/>
      <c r="H26" s="43"/>
      <c r="I26" s="35"/>
      <c r="J26" s="9"/>
      <c r="K26" s="9"/>
      <c r="L26" s="9"/>
    </row>
    <row r="27" customFormat="false" ht="27.75" hidden="false" customHeight="true" outlineLevel="0" collapsed="false">
      <c r="B27" s="13"/>
      <c r="C27" s="26"/>
      <c r="D27" s="13"/>
      <c r="E27" s="13"/>
      <c r="F27" s="13"/>
      <c r="G27" s="13"/>
      <c r="H27" s="44"/>
      <c r="I27" s="38"/>
      <c r="J27" s="13"/>
      <c r="K27" s="13"/>
      <c r="L27" s="13"/>
    </row>
    <row r="28" customFormat="false" ht="27.75" hidden="false" customHeight="true" outlineLevel="0" collapsed="false">
      <c r="B28" s="9"/>
      <c r="C28" s="24"/>
      <c r="D28" s="9"/>
      <c r="E28" s="9"/>
      <c r="F28" s="9"/>
      <c r="G28" s="9"/>
      <c r="H28" s="43"/>
      <c r="I28" s="35"/>
      <c r="J28" s="9"/>
      <c r="K28" s="9"/>
      <c r="L28" s="9"/>
    </row>
    <row r="29" customFormat="false" ht="27.75" hidden="false" customHeight="true" outlineLevel="0" collapsed="false">
      <c r="B29" s="13"/>
      <c r="C29" s="26"/>
      <c r="D29" s="13"/>
      <c r="E29" s="13"/>
      <c r="F29" s="13"/>
      <c r="G29" s="13"/>
      <c r="H29" s="44"/>
      <c r="I29" s="38"/>
      <c r="J29" s="13"/>
      <c r="K29" s="13"/>
      <c r="L29" s="13"/>
    </row>
    <row r="30" customFormat="false" ht="27.75" hidden="false" customHeight="true" outlineLevel="0" collapsed="false">
      <c r="B30" s="9"/>
      <c r="C30" s="24"/>
      <c r="D30" s="9"/>
      <c r="E30" s="9"/>
      <c r="F30" s="9"/>
      <c r="G30" s="9"/>
      <c r="H30" s="43"/>
      <c r="I30" s="35"/>
      <c r="J30" s="9"/>
      <c r="K30" s="9"/>
      <c r="L30" s="9"/>
    </row>
    <row r="31" customFormat="false" ht="27.75" hidden="false" customHeight="true" outlineLevel="0" collapsed="false">
      <c r="B31" s="13"/>
      <c r="C31" s="26"/>
      <c r="D31" s="13"/>
      <c r="E31" s="13"/>
      <c r="F31" s="13"/>
      <c r="G31" s="13"/>
      <c r="H31" s="44"/>
      <c r="I31" s="38"/>
      <c r="J31" s="13"/>
      <c r="K31" s="13"/>
      <c r="L31" s="13"/>
    </row>
    <row r="32" customFormat="false" ht="27.75" hidden="false" customHeight="true" outlineLevel="0" collapsed="false">
      <c r="B32" s="9"/>
      <c r="C32" s="24"/>
      <c r="D32" s="9"/>
      <c r="E32" s="9"/>
      <c r="F32" s="9"/>
      <c r="G32" s="9"/>
      <c r="H32" s="43"/>
      <c r="I32" s="35"/>
      <c r="J32" s="9"/>
      <c r="K32" s="9"/>
      <c r="L32" s="9"/>
    </row>
    <row r="33" customFormat="false" ht="27.75" hidden="false" customHeight="true" outlineLevel="0" collapsed="false">
      <c r="B33" s="13"/>
      <c r="C33" s="26"/>
      <c r="D33" s="13"/>
      <c r="E33" s="13"/>
      <c r="F33" s="13"/>
      <c r="G33" s="13"/>
      <c r="H33" s="44"/>
      <c r="I33" s="38"/>
      <c r="J33" s="13"/>
      <c r="K33" s="13"/>
      <c r="L33" s="13"/>
    </row>
    <row r="34" customFormat="false" ht="27.75" hidden="false" customHeight="true" outlineLevel="0" collapsed="false">
      <c r="B34" s="9"/>
      <c r="C34" s="24"/>
      <c r="D34" s="9"/>
      <c r="E34" s="9"/>
      <c r="F34" s="9"/>
      <c r="G34" s="9"/>
      <c r="H34" s="43"/>
      <c r="I34" s="35"/>
      <c r="J34" s="9"/>
      <c r="K34" s="9"/>
      <c r="L34" s="9"/>
    </row>
    <row r="35" customFormat="false" ht="27.75" hidden="false" customHeight="true" outlineLevel="0" collapsed="false">
      <c r="B35" s="13"/>
      <c r="C35" s="26"/>
      <c r="D35" s="13"/>
      <c r="E35" s="13"/>
      <c r="F35" s="13"/>
      <c r="G35" s="13"/>
      <c r="H35" s="44"/>
      <c r="I35" s="38"/>
      <c r="J35" s="13"/>
      <c r="K35" s="13"/>
      <c r="L35" s="13"/>
    </row>
    <row r="36" customFormat="false" ht="27.75" hidden="false" customHeight="true" outlineLevel="0" collapsed="false">
      <c r="B36" s="9"/>
      <c r="C36" s="24"/>
      <c r="D36" s="9"/>
      <c r="E36" s="9"/>
      <c r="F36" s="9"/>
      <c r="G36" s="9"/>
      <c r="H36" s="43"/>
      <c r="I36" s="35"/>
      <c r="J36" s="9"/>
      <c r="K36" s="9"/>
      <c r="L36" s="9"/>
    </row>
    <row r="37" customFormat="false" ht="27.75" hidden="false" customHeight="true" outlineLevel="0" collapsed="false">
      <c r="B37" s="13"/>
      <c r="C37" s="26"/>
      <c r="D37" s="13"/>
      <c r="E37" s="13"/>
      <c r="F37" s="13"/>
      <c r="G37" s="13"/>
      <c r="H37" s="44"/>
      <c r="I37" s="38"/>
      <c r="J37" s="13"/>
      <c r="K37" s="13"/>
      <c r="L37" s="13"/>
    </row>
    <row r="38" customFormat="false" ht="27.75" hidden="false" customHeight="true" outlineLevel="0" collapsed="false">
      <c r="B38" s="9"/>
      <c r="C38" s="24"/>
      <c r="D38" s="9"/>
      <c r="E38" s="9"/>
      <c r="F38" s="9"/>
      <c r="G38" s="9"/>
      <c r="H38" s="43"/>
      <c r="I38" s="35"/>
      <c r="J38" s="9"/>
      <c r="K38" s="9"/>
      <c r="L38" s="9"/>
    </row>
    <row r="39" customFormat="false" ht="27.75" hidden="false" customHeight="true" outlineLevel="0" collapsed="false">
      <c r="B39" s="13"/>
      <c r="C39" s="26"/>
      <c r="D39" s="13"/>
      <c r="E39" s="13"/>
      <c r="F39" s="13"/>
      <c r="G39" s="13"/>
      <c r="H39" s="44"/>
      <c r="I39" s="38"/>
      <c r="J39" s="13"/>
      <c r="K39" s="13"/>
      <c r="L39" s="13"/>
    </row>
    <row r="40" customFormat="false" ht="27.75" hidden="false" customHeight="true" outlineLevel="0" collapsed="false">
      <c r="B40" s="9"/>
      <c r="C40" s="24"/>
      <c r="D40" s="9"/>
      <c r="E40" s="9"/>
      <c r="F40" s="9"/>
      <c r="G40" s="9"/>
      <c r="H40" s="43"/>
      <c r="I40" s="35"/>
      <c r="J40" s="9"/>
      <c r="K40" s="9"/>
      <c r="L40" s="9"/>
    </row>
    <row r="41" customFormat="false" ht="27.75" hidden="false" customHeight="true" outlineLevel="0" collapsed="false">
      <c r="B41" s="13"/>
      <c r="C41" s="26"/>
      <c r="D41" s="13"/>
      <c r="E41" s="13"/>
      <c r="F41" s="13"/>
      <c r="G41" s="13"/>
      <c r="H41" s="44"/>
      <c r="I41" s="38"/>
      <c r="J41" s="13"/>
      <c r="K41" s="13"/>
      <c r="L41" s="13"/>
    </row>
    <row r="42" customFormat="false" ht="27.75" hidden="false" customHeight="true" outlineLevel="0" collapsed="false">
      <c r="B42" s="9"/>
      <c r="C42" s="24"/>
      <c r="D42" s="9"/>
      <c r="E42" s="9"/>
      <c r="F42" s="9"/>
      <c r="G42" s="9"/>
      <c r="H42" s="43"/>
      <c r="I42" s="35"/>
      <c r="J42" s="9"/>
      <c r="K42" s="9"/>
      <c r="L42" s="9"/>
    </row>
    <row r="43" customFormat="false" ht="27.75" hidden="false" customHeight="true" outlineLevel="0" collapsed="false">
      <c r="B43" s="13"/>
      <c r="C43" s="26"/>
      <c r="D43" s="13"/>
      <c r="E43" s="13"/>
      <c r="F43" s="13"/>
      <c r="G43" s="13"/>
      <c r="H43" s="44"/>
      <c r="I43" s="38"/>
      <c r="J43" s="13"/>
      <c r="K43" s="13"/>
      <c r="L43" s="13"/>
    </row>
    <row r="44" customFormat="false" ht="27.75" hidden="false" customHeight="true" outlineLevel="0" collapsed="false">
      <c r="B44" s="9"/>
      <c r="C44" s="24"/>
      <c r="D44" s="9"/>
      <c r="E44" s="9"/>
      <c r="F44" s="9"/>
      <c r="G44" s="9"/>
      <c r="H44" s="43"/>
      <c r="I44" s="35"/>
      <c r="J44" s="9"/>
      <c r="K44" s="9"/>
      <c r="L44" s="9"/>
    </row>
    <row r="45" customFormat="false" ht="27.75" hidden="false" customHeight="true" outlineLevel="0" collapsed="false">
      <c r="B45" s="13"/>
      <c r="C45" s="26"/>
      <c r="D45" s="13"/>
      <c r="E45" s="13"/>
      <c r="F45" s="13"/>
      <c r="G45" s="13"/>
      <c r="H45" s="44"/>
      <c r="I45" s="38"/>
      <c r="J45" s="13"/>
      <c r="K45" s="13"/>
      <c r="L45" s="13"/>
    </row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>
      <c r="B49" s="20" t="s">
        <v>220</v>
      </c>
    </row>
    <row r="50" customFormat="false" ht="16.5" hidden="false" customHeight="true" outlineLevel="0" collapsed="false"/>
    <row r="51" customFormat="false" ht="36" hidden="false" customHeight="true" outlineLevel="0" collapsed="false">
      <c r="B51" s="5" t="s">
        <v>234</v>
      </c>
      <c r="C51" s="16" t="s">
        <v>308</v>
      </c>
      <c r="D51" s="16"/>
      <c r="E51" s="16"/>
      <c r="F51" s="16"/>
      <c r="G51" s="16"/>
      <c r="H51" s="16"/>
      <c r="I51" s="16"/>
      <c r="J51" s="16"/>
      <c r="K51" s="16"/>
      <c r="L51" s="16"/>
    </row>
    <row r="52" customFormat="false" ht="36" hidden="false" customHeight="true" outlineLevel="0" collapsed="false">
      <c r="B52" s="5" t="s">
        <v>309</v>
      </c>
      <c r="C52" s="16" t="s">
        <v>310</v>
      </c>
      <c r="D52" s="16"/>
      <c r="E52" s="16"/>
      <c r="F52" s="16"/>
      <c r="G52" s="16"/>
      <c r="H52" s="16"/>
      <c r="I52" s="16"/>
      <c r="J52" s="16"/>
      <c r="K52" s="16"/>
      <c r="L52" s="16"/>
    </row>
    <row r="53" customFormat="false" ht="36" hidden="false" customHeight="true" outlineLevel="0" collapsed="false">
      <c r="B53" s="5" t="s">
        <v>311</v>
      </c>
      <c r="C53" s="16" t="s">
        <v>312</v>
      </c>
      <c r="D53" s="16"/>
      <c r="E53" s="16"/>
      <c r="F53" s="16"/>
      <c r="G53" s="16"/>
      <c r="H53" s="16"/>
      <c r="I53" s="16"/>
      <c r="J53" s="16"/>
      <c r="K53" s="16"/>
      <c r="L53" s="16"/>
    </row>
    <row r="54" customFormat="false" ht="36" hidden="false" customHeight="true" outlineLevel="0" collapsed="false">
      <c r="B54" s="5" t="s">
        <v>313</v>
      </c>
      <c r="C54" s="16" t="s">
        <v>314</v>
      </c>
      <c r="D54" s="16"/>
      <c r="E54" s="16"/>
      <c r="F54" s="16"/>
      <c r="G54" s="16"/>
      <c r="H54" s="16"/>
      <c r="I54" s="16"/>
      <c r="J54" s="16"/>
      <c r="K54" s="16"/>
      <c r="L54" s="16"/>
    </row>
  </sheetData>
  <mergeCells count="4">
    <mergeCell ref="C51:L51"/>
    <mergeCell ref="C52:L52"/>
    <mergeCell ref="C53:L53"/>
    <mergeCell ref="C54:L54"/>
  </mergeCells>
  <conditionalFormatting sqref="L6:L45">
    <cfRule type="expression" priority="2" aboveAverage="0" equalAverage="0" bottom="0" percent="0" rank="0" text="" dxfId="2">
      <formula>OR(EXACT(L6,"Approved"),EXACT(L6,"Implemented"),EXACT(L6,"Active"))</formula>
    </cfRule>
    <cfRule type="expression" priority="3" aboveAverage="0" equalAverage="0" bottom="0" percent="0" rank="0" text="" dxfId="0">
      <formula>OR(EXACT(L6,"Rejected"),EXACT(L6,"Reversed"))</formula>
    </cfRule>
    <cfRule type="expression" priority="4" aboveAverage="0" equalAverage="0" bottom="0" percent="0" rank="0" text="" dxfId="1">
      <formula>OR(EXACT(L6,"Under Review"),EXACT(L6,"Submitted"),EXACT(L6,"Superseded"))</formula>
    </cfRule>
  </conditionalFormatting>
  <dataValidations count="3">
    <dataValidation allowBlank="true" errorStyle="stop" operator="between" showDropDown="false" showErrorMessage="false" showInputMessage="false" sqref="D6:D45" type="list">
      <formula1>"Decision,Change Request — Scope,Change Request — Schedule,Change Request — Budget,Change Request — Resources,Change Request — Multiple"</formula1>
      <formula2>0</formula2>
    </dataValidation>
    <dataValidation allowBlank="true" errorStyle="stop" operator="between" showDropDown="false" showErrorMessage="false" showInputMessage="false" sqref="J6:J45" type="list">
      <formula1>"None,Minor,Moderate,Significant"</formula1>
      <formula2>0</formula2>
    </dataValidation>
    <dataValidation allowBlank="true" errorStyle="stop" operator="between" showDropDown="false" showErrorMessage="false" showInputMessage="false" sqref="L6:L45" type="list">
      <formula1>"Active,Superseded,Reversed,Submitted,Under Review,Approved,Rejected,Implemented"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315</v>
      </c>
    </row>
    <row r="3" customFormat="false" ht="16.5" hidden="false" customHeight="true" outlineLevel="0" collapsed="false">
      <c r="B3" s="2" t="s">
        <v>316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233</v>
      </c>
      <c r="C5" s="7" t="s">
        <v>254</v>
      </c>
      <c r="D5" s="7" t="s">
        <v>317</v>
      </c>
      <c r="E5" s="7" t="s">
        <v>250</v>
      </c>
      <c r="F5" s="7" t="s">
        <v>238</v>
      </c>
      <c r="G5" s="7" t="s">
        <v>318</v>
      </c>
      <c r="H5" s="7" t="s">
        <v>237</v>
      </c>
      <c r="I5" s="7" t="s">
        <v>18</v>
      </c>
      <c r="J5" s="7" t="s">
        <v>271</v>
      </c>
    </row>
    <row r="6" customFormat="false" ht="27.75" hidden="false" customHeight="true" outlineLevel="0" collapsed="false">
      <c r="B6" s="9"/>
      <c r="C6" s="24"/>
      <c r="D6" s="9"/>
      <c r="E6" s="9"/>
      <c r="F6" s="9"/>
      <c r="G6" s="24"/>
      <c r="H6" s="9"/>
      <c r="I6" s="9"/>
      <c r="J6" s="9"/>
    </row>
    <row r="7" customFormat="false" ht="27.75" hidden="false" customHeight="true" outlineLevel="0" collapsed="false">
      <c r="B7" s="9"/>
      <c r="C7" s="24"/>
      <c r="D7" s="9"/>
      <c r="E7" s="9"/>
      <c r="F7" s="9"/>
      <c r="G7" s="24"/>
      <c r="H7" s="9"/>
      <c r="I7" s="9"/>
      <c r="J7" s="9"/>
    </row>
    <row r="8" customFormat="false" ht="27.75" hidden="false" customHeight="true" outlineLevel="0" collapsed="false">
      <c r="B8" s="9"/>
      <c r="C8" s="24"/>
      <c r="D8" s="9"/>
      <c r="E8" s="9"/>
      <c r="F8" s="9"/>
      <c r="G8" s="24"/>
      <c r="H8" s="9"/>
      <c r="I8" s="9"/>
      <c r="J8" s="9"/>
    </row>
    <row r="9" customFormat="false" ht="27.75" hidden="false" customHeight="true" outlineLevel="0" collapsed="false">
      <c r="B9" s="9"/>
      <c r="C9" s="24"/>
      <c r="D9" s="9"/>
      <c r="E9" s="9"/>
      <c r="F9" s="9"/>
      <c r="G9" s="24"/>
      <c r="H9" s="9"/>
      <c r="I9" s="9"/>
      <c r="J9" s="9"/>
    </row>
    <row r="10" customFormat="false" ht="27.75" hidden="false" customHeight="true" outlineLevel="0" collapsed="false">
      <c r="B10" s="9"/>
      <c r="C10" s="24"/>
      <c r="D10" s="9"/>
      <c r="E10" s="9"/>
      <c r="F10" s="9"/>
      <c r="G10" s="24"/>
      <c r="H10" s="9"/>
      <c r="I10" s="9"/>
      <c r="J10" s="9"/>
    </row>
    <row r="11" customFormat="false" ht="27.75" hidden="false" customHeight="true" outlineLevel="0" collapsed="false">
      <c r="B11" s="9"/>
      <c r="C11" s="24"/>
      <c r="D11" s="9"/>
      <c r="E11" s="9"/>
      <c r="F11" s="9"/>
      <c r="G11" s="24"/>
      <c r="H11" s="9"/>
      <c r="I11" s="9"/>
      <c r="J11" s="9"/>
    </row>
    <row r="12" customFormat="false" ht="27.75" hidden="false" customHeight="true" outlineLevel="0" collapsed="false">
      <c r="B12" s="9"/>
      <c r="C12" s="24"/>
      <c r="D12" s="9"/>
      <c r="E12" s="9"/>
      <c r="F12" s="9"/>
      <c r="G12" s="24"/>
      <c r="H12" s="9"/>
      <c r="I12" s="9"/>
      <c r="J12" s="9"/>
    </row>
    <row r="13" customFormat="false" ht="27.75" hidden="false" customHeight="true" outlineLevel="0" collapsed="false">
      <c r="B13" s="9"/>
      <c r="C13" s="24"/>
      <c r="D13" s="9"/>
      <c r="E13" s="9"/>
      <c r="F13" s="9"/>
      <c r="G13" s="24"/>
      <c r="H13" s="9"/>
      <c r="I13" s="9"/>
      <c r="J13" s="9"/>
    </row>
    <row r="14" customFormat="false" ht="27.75" hidden="false" customHeight="true" outlineLevel="0" collapsed="false">
      <c r="B14" s="9"/>
      <c r="C14" s="24"/>
      <c r="D14" s="9"/>
      <c r="E14" s="9"/>
      <c r="F14" s="9"/>
      <c r="G14" s="24"/>
      <c r="H14" s="9"/>
      <c r="I14" s="9"/>
      <c r="J14" s="9"/>
    </row>
    <row r="15" customFormat="false" ht="27.75" hidden="false" customHeight="true" outlineLevel="0" collapsed="false">
      <c r="B15" s="9"/>
      <c r="C15" s="24"/>
      <c r="D15" s="9"/>
      <c r="E15" s="9"/>
      <c r="F15" s="9"/>
      <c r="G15" s="24"/>
      <c r="H15" s="9"/>
      <c r="I15" s="9"/>
      <c r="J15" s="9"/>
    </row>
    <row r="16" customFormat="false" ht="27.75" hidden="false" customHeight="true" outlineLevel="0" collapsed="false">
      <c r="B16" s="9"/>
      <c r="C16" s="24"/>
      <c r="D16" s="9"/>
      <c r="E16" s="9"/>
      <c r="F16" s="9"/>
      <c r="G16" s="24"/>
      <c r="H16" s="9"/>
      <c r="I16" s="9"/>
      <c r="J16" s="9"/>
    </row>
    <row r="17" customFormat="false" ht="27.75" hidden="false" customHeight="true" outlineLevel="0" collapsed="false">
      <c r="B17" s="9"/>
      <c r="C17" s="24"/>
      <c r="D17" s="9"/>
      <c r="E17" s="9"/>
      <c r="F17" s="9"/>
      <c r="G17" s="24"/>
      <c r="H17" s="9"/>
      <c r="I17" s="9"/>
      <c r="J17" s="9"/>
    </row>
    <row r="18" customFormat="false" ht="27.75" hidden="false" customHeight="true" outlineLevel="0" collapsed="false">
      <c r="B18" s="9"/>
      <c r="C18" s="24"/>
      <c r="D18" s="9"/>
      <c r="E18" s="9"/>
      <c r="F18" s="9"/>
      <c r="G18" s="24"/>
      <c r="H18" s="9"/>
      <c r="I18" s="9"/>
      <c r="J18" s="9"/>
    </row>
    <row r="19" customFormat="false" ht="27.75" hidden="false" customHeight="true" outlineLevel="0" collapsed="false">
      <c r="B19" s="9"/>
      <c r="C19" s="24"/>
      <c r="D19" s="9"/>
      <c r="E19" s="9"/>
      <c r="F19" s="9"/>
      <c r="G19" s="24"/>
      <c r="H19" s="9"/>
      <c r="I19" s="9"/>
      <c r="J19" s="9"/>
    </row>
    <row r="20" customFormat="false" ht="27.75" hidden="false" customHeight="true" outlineLevel="0" collapsed="false">
      <c r="B20" s="9"/>
      <c r="C20" s="24"/>
      <c r="D20" s="9"/>
      <c r="E20" s="9"/>
      <c r="F20" s="9"/>
      <c r="G20" s="24"/>
      <c r="H20" s="9"/>
      <c r="I20" s="9"/>
      <c r="J20" s="9"/>
    </row>
    <row r="21" customFormat="false" ht="27.75" hidden="false" customHeight="true" outlineLevel="0" collapsed="false">
      <c r="B21" s="9"/>
      <c r="C21" s="24"/>
      <c r="D21" s="9"/>
      <c r="E21" s="9"/>
      <c r="F21" s="9"/>
      <c r="G21" s="24"/>
      <c r="H21" s="9"/>
      <c r="I21" s="9"/>
      <c r="J21" s="9"/>
    </row>
    <row r="22" customFormat="false" ht="27.75" hidden="false" customHeight="true" outlineLevel="0" collapsed="false">
      <c r="B22" s="9"/>
      <c r="C22" s="24"/>
      <c r="D22" s="9"/>
      <c r="E22" s="9"/>
      <c r="F22" s="9"/>
      <c r="G22" s="24"/>
      <c r="H22" s="9"/>
      <c r="I22" s="9"/>
      <c r="J22" s="9"/>
    </row>
    <row r="23" customFormat="false" ht="27.75" hidden="false" customHeight="true" outlineLevel="0" collapsed="false">
      <c r="B23" s="9"/>
      <c r="C23" s="24"/>
      <c r="D23" s="9"/>
      <c r="E23" s="9"/>
      <c r="F23" s="9"/>
      <c r="G23" s="24"/>
      <c r="H23" s="9"/>
      <c r="I23" s="9"/>
      <c r="J23" s="9"/>
    </row>
    <row r="24" customFormat="false" ht="27.75" hidden="false" customHeight="true" outlineLevel="0" collapsed="false">
      <c r="B24" s="9"/>
      <c r="C24" s="24"/>
      <c r="D24" s="9"/>
      <c r="E24" s="9"/>
      <c r="F24" s="9"/>
      <c r="G24" s="24"/>
      <c r="H24" s="9"/>
      <c r="I24" s="9"/>
      <c r="J24" s="9"/>
    </row>
    <row r="25" customFormat="false" ht="27.75" hidden="false" customHeight="true" outlineLevel="0" collapsed="false">
      <c r="B25" s="9"/>
      <c r="C25" s="24"/>
      <c r="D25" s="9"/>
      <c r="E25" s="9"/>
      <c r="F25" s="9"/>
      <c r="G25" s="24"/>
      <c r="H25" s="9"/>
      <c r="I25" s="9"/>
      <c r="J25" s="9"/>
    </row>
    <row r="26" customFormat="false" ht="27.75" hidden="false" customHeight="true" outlineLevel="0" collapsed="false">
      <c r="B26" s="9"/>
      <c r="C26" s="24"/>
      <c r="D26" s="9"/>
      <c r="E26" s="9"/>
      <c r="F26" s="9"/>
      <c r="G26" s="24"/>
      <c r="H26" s="9"/>
      <c r="I26" s="9"/>
      <c r="J26" s="9"/>
    </row>
    <row r="27" customFormat="false" ht="27.75" hidden="false" customHeight="true" outlineLevel="0" collapsed="false">
      <c r="B27" s="9"/>
      <c r="C27" s="24"/>
      <c r="D27" s="9"/>
      <c r="E27" s="9"/>
      <c r="F27" s="9"/>
      <c r="G27" s="24"/>
      <c r="H27" s="9"/>
      <c r="I27" s="9"/>
      <c r="J27" s="9"/>
    </row>
    <row r="28" customFormat="false" ht="27.75" hidden="false" customHeight="true" outlineLevel="0" collapsed="false">
      <c r="B28" s="9"/>
      <c r="C28" s="24"/>
      <c r="D28" s="9"/>
      <c r="E28" s="9"/>
      <c r="F28" s="9"/>
      <c r="G28" s="24"/>
      <c r="H28" s="9"/>
      <c r="I28" s="9"/>
      <c r="J28" s="9"/>
    </row>
    <row r="29" customFormat="false" ht="27.75" hidden="false" customHeight="true" outlineLevel="0" collapsed="false">
      <c r="B29" s="9"/>
      <c r="C29" s="24"/>
      <c r="D29" s="9"/>
      <c r="E29" s="9"/>
      <c r="F29" s="9"/>
      <c r="G29" s="24"/>
      <c r="H29" s="9"/>
      <c r="I29" s="9"/>
      <c r="J29" s="9"/>
    </row>
    <row r="30" customFormat="false" ht="27.75" hidden="false" customHeight="true" outlineLevel="0" collapsed="false">
      <c r="B30" s="9"/>
      <c r="C30" s="24"/>
      <c r="D30" s="9"/>
      <c r="E30" s="9"/>
      <c r="F30" s="9"/>
      <c r="G30" s="24"/>
      <c r="H30" s="9"/>
      <c r="I30" s="9"/>
      <c r="J30" s="9"/>
    </row>
    <row r="31" customFormat="false" ht="27.75" hidden="false" customHeight="true" outlineLevel="0" collapsed="false">
      <c r="B31" s="9"/>
      <c r="C31" s="24"/>
      <c r="D31" s="9"/>
      <c r="E31" s="9"/>
      <c r="F31" s="9"/>
      <c r="G31" s="24"/>
      <c r="H31" s="9"/>
      <c r="I31" s="9"/>
      <c r="J31" s="9"/>
    </row>
    <row r="32" customFormat="false" ht="27.75" hidden="false" customHeight="true" outlineLevel="0" collapsed="false">
      <c r="B32" s="9"/>
      <c r="C32" s="24"/>
      <c r="D32" s="9"/>
      <c r="E32" s="9"/>
      <c r="F32" s="9"/>
      <c r="G32" s="24"/>
      <c r="H32" s="9"/>
      <c r="I32" s="9"/>
      <c r="J32" s="9"/>
    </row>
    <row r="33" customFormat="false" ht="27.75" hidden="false" customHeight="true" outlineLevel="0" collapsed="false">
      <c r="B33" s="9"/>
      <c r="C33" s="24"/>
      <c r="D33" s="9"/>
      <c r="E33" s="9"/>
      <c r="F33" s="9"/>
      <c r="G33" s="24"/>
      <c r="H33" s="9"/>
      <c r="I33" s="9"/>
      <c r="J33" s="9"/>
    </row>
    <row r="34" customFormat="false" ht="27.75" hidden="false" customHeight="true" outlineLevel="0" collapsed="false">
      <c r="B34" s="9"/>
      <c r="C34" s="24"/>
      <c r="D34" s="9"/>
      <c r="E34" s="9"/>
      <c r="F34" s="9"/>
      <c r="G34" s="24"/>
      <c r="H34" s="9"/>
      <c r="I34" s="9"/>
      <c r="J34" s="9"/>
    </row>
    <row r="35" customFormat="false" ht="27.75" hidden="false" customHeight="true" outlineLevel="0" collapsed="false">
      <c r="B35" s="9"/>
      <c r="C35" s="24"/>
      <c r="D35" s="9"/>
      <c r="E35" s="9"/>
      <c r="F35" s="9"/>
      <c r="G35" s="24"/>
      <c r="H35" s="9"/>
      <c r="I35" s="9"/>
      <c r="J35" s="9"/>
    </row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>
      <c r="B38" s="20" t="s">
        <v>319</v>
      </c>
    </row>
    <row r="39" customFormat="false" ht="16.5" hidden="false" customHeight="true" outlineLevel="0" collapsed="false"/>
    <row r="40" customFormat="false" ht="48" hidden="false" customHeight="true" outlineLevel="0" collapsed="false">
      <c r="B40" s="5" t="s">
        <v>320</v>
      </c>
      <c r="D40" s="45" t="n">
        <f aca="false">COUNTIF(I6:I35,"Open")+COUNTIF(I6:I35,"In Progress")</f>
        <v>0</v>
      </c>
    </row>
    <row r="41" customFormat="false" ht="16.5" hidden="false" customHeight="true" outlineLevel="0" collapsed="false">
      <c r="B41" s="5" t="s">
        <v>321</v>
      </c>
      <c r="D41" s="45" t="n">
        <f aca="false">COUNTIF(I6:I35,"Done")</f>
        <v>0</v>
      </c>
    </row>
    <row r="42" customFormat="false" ht="16.5" hidden="false" customHeight="true" outlineLevel="0" collapsed="false">
      <c r="B42" s="5" t="s">
        <v>322</v>
      </c>
      <c r="D42" s="45" t="n">
        <f aca="false">COUNTIF(I6:I35,"Blocked")</f>
        <v>0</v>
      </c>
    </row>
    <row r="43" customFormat="false" ht="31.5" hidden="false" customHeight="true" outlineLevel="0" collapsed="false">
      <c r="B43" s="5" t="s">
        <v>323</v>
      </c>
      <c r="D43" s="45" t="n">
        <f aca="false">COUNTIF(I6:I35,"Carried Over")</f>
        <v>0</v>
      </c>
    </row>
  </sheetData>
  <conditionalFormatting sqref="I6:I35">
    <cfRule type="expression" priority="2" aboveAverage="0" equalAverage="0" bottom="0" percent="0" rank="0" text="" dxfId="2">
      <formula>EXACT(I6,"Done")</formula>
    </cfRule>
    <cfRule type="expression" priority="3" aboveAverage="0" equalAverage="0" bottom="0" percent="0" rank="0" text="" dxfId="0">
      <formula>EXACT(I6,"Blocked")</formula>
    </cfRule>
    <cfRule type="expression" priority="4" aboveAverage="0" equalAverage="0" bottom="0" percent="0" rank="0" text="" dxfId="1">
      <formula>OR(EXACT(I6,"In Progress"),EXACT(I6,"Carried Over"))</formula>
    </cfRule>
  </conditionalFormatting>
  <dataValidations count="2">
    <dataValidation allowBlank="true" errorStyle="stop" operator="between" showDropDown="false" showErrorMessage="false" showInputMessage="false" sqref="H6:H35" type="list">
      <formula1>"High,Medium,Low"</formula1>
      <formula2>0</formula2>
    </dataValidation>
    <dataValidation allowBlank="true" errorStyle="stop" operator="between" showDropDown="false" showErrorMessage="false" showInputMessage="false" sqref="I6:I35" type="list">
      <formula1>"Open,In Progress,Done,Blocked,Cancelled,Carried Over"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22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324</v>
      </c>
    </row>
    <row r="3" customFormat="false" ht="16.5" hidden="false" customHeight="true" outlineLevel="0" collapsed="false">
      <c r="B3" s="2" t="s">
        <v>325</v>
      </c>
    </row>
    <row r="4" customFormat="false" ht="16.5" hidden="false" customHeight="true" outlineLevel="0" collapsed="false"/>
    <row r="5" customFormat="false" ht="36" hidden="false" customHeight="true" outlineLevel="0" collapsed="false">
      <c r="B5" s="7" t="s">
        <v>203</v>
      </c>
      <c r="C5" s="7" t="s">
        <v>326</v>
      </c>
      <c r="D5" s="7" t="s">
        <v>327</v>
      </c>
      <c r="E5" s="7" t="s">
        <v>328</v>
      </c>
      <c r="F5" s="7" t="s">
        <v>329</v>
      </c>
      <c r="G5" s="7" t="s">
        <v>330</v>
      </c>
      <c r="H5" s="7" t="s">
        <v>331</v>
      </c>
      <c r="I5" s="7" t="s">
        <v>332</v>
      </c>
      <c r="J5" s="7" t="s">
        <v>333</v>
      </c>
    </row>
    <row r="6" customFormat="false" ht="27.75" hidden="false" customHeight="true" outlineLevel="0" collapsed="false">
      <c r="B6" s="9"/>
      <c r="C6" s="9"/>
      <c r="D6" s="24"/>
      <c r="E6" s="34"/>
      <c r="F6" s="9"/>
      <c r="G6" s="9"/>
      <c r="H6" s="24"/>
      <c r="I6" s="9"/>
      <c r="J6" s="9"/>
    </row>
    <row r="7" customFormat="false" ht="27.75" hidden="false" customHeight="true" outlineLevel="0" collapsed="false">
      <c r="B7" s="9"/>
      <c r="C7" s="9"/>
      <c r="D7" s="24"/>
      <c r="E7" s="34"/>
      <c r="F7" s="9"/>
      <c r="G7" s="9"/>
      <c r="H7" s="24"/>
      <c r="I7" s="9"/>
      <c r="J7" s="9"/>
    </row>
    <row r="8" customFormat="false" ht="27.75" hidden="false" customHeight="true" outlineLevel="0" collapsed="false">
      <c r="B8" s="9"/>
      <c r="C8" s="9"/>
      <c r="D8" s="24"/>
      <c r="E8" s="34"/>
      <c r="F8" s="9"/>
      <c r="G8" s="9"/>
      <c r="H8" s="24"/>
      <c r="I8" s="9"/>
      <c r="J8" s="9"/>
    </row>
    <row r="9" customFormat="false" ht="27.75" hidden="false" customHeight="true" outlineLevel="0" collapsed="false">
      <c r="B9" s="9"/>
      <c r="C9" s="9"/>
      <c r="D9" s="24"/>
      <c r="E9" s="34"/>
      <c r="F9" s="9"/>
      <c r="G9" s="9"/>
      <c r="H9" s="24"/>
      <c r="I9" s="9"/>
      <c r="J9" s="9"/>
    </row>
    <row r="10" customFormat="false" ht="27.75" hidden="false" customHeight="true" outlineLevel="0" collapsed="false">
      <c r="B10" s="9"/>
      <c r="C10" s="9"/>
      <c r="D10" s="24"/>
      <c r="E10" s="34"/>
      <c r="F10" s="9"/>
      <c r="G10" s="9"/>
      <c r="H10" s="24"/>
      <c r="I10" s="9"/>
      <c r="J10" s="9"/>
    </row>
    <row r="11" customFormat="false" ht="27.75" hidden="false" customHeight="true" outlineLevel="0" collapsed="false">
      <c r="B11" s="9"/>
      <c r="C11" s="9"/>
      <c r="D11" s="24"/>
      <c r="E11" s="34"/>
      <c r="F11" s="9"/>
      <c r="G11" s="9"/>
      <c r="H11" s="24"/>
      <c r="I11" s="9"/>
      <c r="J11" s="9"/>
    </row>
    <row r="12" customFormat="false" ht="27.75" hidden="false" customHeight="true" outlineLevel="0" collapsed="false">
      <c r="B12" s="9"/>
      <c r="C12" s="9"/>
      <c r="D12" s="24"/>
      <c r="E12" s="34"/>
      <c r="F12" s="9"/>
      <c r="G12" s="9"/>
      <c r="H12" s="24"/>
      <c r="I12" s="9"/>
      <c r="J12" s="9"/>
    </row>
    <row r="13" customFormat="false" ht="27.75" hidden="false" customHeight="true" outlineLevel="0" collapsed="false">
      <c r="B13" s="9"/>
      <c r="C13" s="9"/>
      <c r="D13" s="24"/>
      <c r="E13" s="34"/>
      <c r="F13" s="9"/>
      <c r="G13" s="9"/>
      <c r="H13" s="24"/>
      <c r="I13" s="9"/>
      <c r="J13" s="9"/>
    </row>
    <row r="14" customFormat="false" ht="27.75" hidden="false" customHeight="true" outlineLevel="0" collapsed="false">
      <c r="B14" s="9"/>
      <c r="C14" s="9"/>
      <c r="D14" s="24"/>
      <c r="E14" s="34"/>
      <c r="F14" s="9"/>
      <c r="G14" s="9"/>
      <c r="H14" s="24"/>
      <c r="I14" s="9"/>
      <c r="J14" s="9"/>
    </row>
    <row r="15" customFormat="false" ht="27.75" hidden="false" customHeight="true" outlineLevel="0" collapsed="false">
      <c r="B15" s="9"/>
      <c r="C15" s="9"/>
      <c r="D15" s="24"/>
      <c r="E15" s="34"/>
      <c r="F15" s="9"/>
      <c r="G15" s="9"/>
      <c r="H15" s="24"/>
      <c r="I15" s="9"/>
      <c r="J15" s="9"/>
    </row>
    <row r="16" customFormat="false" ht="27.75" hidden="false" customHeight="true" outlineLevel="0" collapsed="false">
      <c r="B16" s="9"/>
      <c r="C16" s="9"/>
      <c r="D16" s="24"/>
      <c r="E16" s="34"/>
      <c r="F16" s="9"/>
      <c r="G16" s="9"/>
      <c r="H16" s="24"/>
      <c r="I16" s="9"/>
      <c r="J16" s="9"/>
    </row>
    <row r="17" customFormat="false" ht="27.75" hidden="false" customHeight="true" outlineLevel="0" collapsed="false">
      <c r="B17" s="9"/>
      <c r="C17" s="9"/>
      <c r="D17" s="24"/>
      <c r="E17" s="34"/>
      <c r="F17" s="9"/>
      <c r="G17" s="9"/>
      <c r="H17" s="24"/>
      <c r="I17" s="9"/>
      <c r="J17" s="9"/>
    </row>
    <row r="18" customFormat="false" ht="27.75" hidden="false" customHeight="true" outlineLevel="0" collapsed="false">
      <c r="B18" s="9"/>
      <c r="C18" s="9"/>
      <c r="D18" s="24"/>
      <c r="E18" s="34"/>
      <c r="F18" s="9"/>
      <c r="G18" s="9"/>
      <c r="H18" s="24"/>
      <c r="I18" s="9"/>
      <c r="J18" s="9"/>
    </row>
    <row r="19" customFormat="false" ht="27.75" hidden="false" customHeight="true" outlineLevel="0" collapsed="false">
      <c r="B19" s="9"/>
      <c r="C19" s="9"/>
      <c r="D19" s="24"/>
      <c r="E19" s="34"/>
      <c r="F19" s="9"/>
      <c r="G19" s="9"/>
      <c r="H19" s="24"/>
      <c r="I19" s="9"/>
      <c r="J19" s="9"/>
    </row>
    <row r="20" customFormat="false" ht="27.75" hidden="false" customHeight="true" outlineLevel="0" collapsed="false">
      <c r="B20" s="9"/>
      <c r="C20" s="9"/>
      <c r="D20" s="24"/>
      <c r="E20" s="34"/>
      <c r="F20" s="9"/>
      <c r="G20" s="9"/>
      <c r="H20" s="24"/>
      <c r="I20" s="9"/>
      <c r="J20" s="9"/>
    </row>
    <row r="21" customFormat="false" ht="27.75" hidden="false" customHeight="true" outlineLevel="0" collapsed="false">
      <c r="B21" s="9"/>
      <c r="C21" s="9"/>
      <c r="D21" s="24"/>
      <c r="E21" s="34"/>
      <c r="F21" s="9"/>
      <c r="G21" s="9"/>
      <c r="H21" s="24"/>
      <c r="I21" s="9"/>
      <c r="J21" s="9"/>
    </row>
    <row r="22" customFormat="false" ht="27.75" hidden="false" customHeight="true" outlineLevel="0" collapsed="false">
      <c r="B22" s="9"/>
      <c r="C22" s="9"/>
      <c r="D22" s="24"/>
      <c r="E22" s="34"/>
      <c r="F22" s="9"/>
      <c r="G22" s="9"/>
      <c r="H22" s="24"/>
      <c r="I22" s="9"/>
      <c r="J22" s="9"/>
    </row>
    <row r="23" customFormat="false" ht="27.75" hidden="false" customHeight="true" outlineLevel="0" collapsed="false">
      <c r="B23" s="9"/>
      <c r="C23" s="9"/>
      <c r="D23" s="24"/>
      <c r="E23" s="34"/>
      <c r="F23" s="9"/>
      <c r="G23" s="9"/>
      <c r="H23" s="24"/>
      <c r="I23" s="9"/>
      <c r="J23" s="9"/>
    </row>
    <row r="24" customFormat="false" ht="27.75" hidden="false" customHeight="true" outlineLevel="0" collapsed="false">
      <c r="B24" s="9"/>
      <c r="C24" s="9"/>
      <c r="D24" s="24"/>
      <c r="E24" s="34"/>
      <c r="F24" s="9"/>
      <c r="G24" s="9"/>
      <c r="H24" s="24"/>
      <c r="I24" s="9"/>
      <c r="J24" s="9"/>
    </row>
    <row r="25" customFormat="false" ht="27.75" hidden="false" customHeight="true" outlineLevel="0" collapsed="false">
      <c r="B25" s="9"/>
      <c r="C25" s="9"/>
      <c r="D25" s="24"/>
      <c r="E25" s="34"/>
      <c r="F25" s="9"/>
      <c r="G25" s="9"/>
      <c r="H25" s="24"/>
      <c r="I25" s="9"/>
      <c r="J25" s="9"/>
    </row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>
      <c r="B28" s="20" t="s">
        <v>319</v>
      </c>
    </row>
    <row r="29" customFormat="false" ht="16.5" hidden="false" customHeight="true" outlineLevel="0" collapsed="false"/>
    <row r="30" customFormat="false" ht="31.5" hidden="false" customHeight="true" outlineLevel="0" collapsed="false">
      <c r="B30" s="5" t="s">
        <v>334</v>
      </c>
      <c r="D30" s="46" t="n">
        <f aca="false">SUM(E6:E25)</f>
        <v>0</v>
      </c>
    </row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>
      <c r="B33" s="20" t="s">
        <v>335</v>
      </c>
    </row>
    <row r="34" customFormat="false" ht="39.75" hidden="false" customHeight="true" outlineLevel="0" collapsed="false">
      <c r="B34" s="12" t="s">
        <v>336</v>
      </c>
      <c r="C34" s="12"/>
      <c r="D34" s="12"/>
      <c r="E34" s="12"/>
      <c r="F34" s="12"/>
      <c r="G34" s="12"/>
      <c r="H34" s="12"/>
      <c r="I34" s="12"/>
      <c r="J34" s="12"/>
    </row>
  </sheetData>
  <mergeCells count="1">
    <mergeCell ref="B34:J34"/>
  </mergeCells>
  <conditionalFormatting sqref="F6:F25">
    <cfRule type="expression" priority="2" aboveAverage="0" equalAverage="0" bottom="0" percent="0" rank="0" text="" dxfId="2">
      <formula>EXACT(F6,"On-Track")</formula>
    </cfRule>
    <cfRule type="expression" priority="3" aboveAverage="0" equalAverage="0" bottom="0" percent="0" rank="0" text="" dxfId="1">
      <formula>EXACT(F6,"At-Risk")</formula>
    </cfRule>
    <cfRule type="expression" priority="4" aboveAverage="0" equalAverage="0" bottom="0" percent="0" rank="0" text="" dxfId="0">
      <formula>EXACT(F6,"Off-Track")</formula>
    </cfRule>
  </conditionalFormatting>
  <dataValidations count="1">
    <dataValidation allowBlank="true" errorStyle="stop" operator="between" showDropDown="false" showErrorMessage="false" showInputMessage="false" sqref="F6:F25" type="list">
      <formula1>"On-Track,At-Risk,Off-Track,—"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9" min="6" style="0" width="30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337</v>
      </c>
    </row>
    <row r="3" customFormat="false" ht="16.5" hidden="false" customHeight="true" outlineLevel="0" collapsed="false">
      <c r="B3" s="2" t="s">
        <v>338</v>
      </c>
    </row>
    <row r="4" customFormat="false" ht="16.5" hidden="false" customHeight="true" outlineLevel="0" collapsed="false"/>
    <row r="5" customFormat="false" ht="36" hidden="false" customHeight="true" outlineLevel="0" collapsed="false">
      <c r="B5" s="7" t="s">
        <v>339</v>
      </c>
      <c r="C5" s="7" t="s">
        <v>340</v>
      </c>
      <c r="D5" s="7" t="s">
        <v>341</v>
      </c>
      <c r="E5" s="7" t="s">
        <v>342</v>
      </c>
      <c r="F5" s="7" t="s">
        <v>343</v>
      </c>
      <c r="G5" s="7" t="s">
        <v>344</v>
      </c>
      <c r="H5" s="7" t="s">
        <v>345</v>
      </c>
      <c r="I5" s="7" t="s">
        <v>346</v>
      </c>
    </row>
    <row r="6" customFormat="false" ht="60" hidden="false" customHeight="true" outlineLevel="0" collapsed="false">
      <c r="B6" s="24"/>
      <c r="C6" s="9"/>
      <c r="D6" s="9"/>
      <c r="E6" s="9"/>
      <c r="F6" s="9"/>
      <c r="G6" s="9"/>
      <c r="H6" s="9"/>
      <c r="I6" s="9"/>
    </row>
    <row r="7" customFormat="false" ht="60" hidden="false" customHeight="true" outlineLevel="0" collapsed="false">
      <c r="B7" s="26"/>
      <c r="C7" s="13"/>
      <c r="D7" s="13"/>
      <c r="E7" s="13"/>
      <c r="F7" s="13"/>
      <c r="G7" s="13"/>
      <c r="H7" s="13"/>
      <c r="I7" s="13"/>
    </row>
    <row r="8" customFormat="false" ht="60" hidden="false" customHeight="true" outlineLevel="0" collapsed="false">
      <c r="B8" s="24"/>
      <c r="C8" s="9"/>
      <c r="D8" s="9"/>
      <c r="E8" s="9"/>
      <c r="F8" s="9"/>
      <c r="G8" s="9"/>
      <c r="H8" s="9"/>
      <c r="I8" s="9"/>
    </row>
    <row r="9" customFormat="false" ht="60" hidden="false" customHeight="true" outlineLevel="0" collapsed="false">
      <c r="B9" s="26"/>
      <c r="C9" s="13"/>
      <c r="D9" s="13"/>
      <c r="E9" s="13"/>
      <c r="F9" s="13"/>
      <c r="G9" s="13"/>
      <c r="H9" s="13"/>
      <c r="I9" s="13"/>
    </row>
    <row r="10" customFormat="false" ht="60" hidden="false" customHeight="true" outlineLevel="0" collapsed="false">
      <c r="B10" s="24"/>
      <c r="C10" s="9"/>
      <c r="D10" s="9"/>
      <c r="E10" s="9"/>
      <c r="F10" s="9"/>
      <c r="G10" s="9"/>
      <c r="H10" s="9"/>
      <c r="I10" s="9"/>
    </row>
    <row r="11" customFormat="false" ht="60" hidden="false" customHeight="true" outlineLevel="0" collapsed="false">
      <c r="B11" s="26"/>
      <c r="C11" s="13"/>
      <c r="D11" s="13"/>
      <c r="E11" s="13"/>
      <c r="F11" s="13"/>
      <c r="G11" s="13"/>
      <c r="H11" s="13"/>
      <c r="I11" s="13"/>
    </row>
    <row r="12" customFormat="false" ht="60" hidden="false" customHeight="true" outlineLevel="0" collapsed="false">
      <c r="B12" s="24"/>
      <c r="C12" s="9"/>
      <c r="D12" s="9"/>
      <c r="E12" s="9"/>
      <c r="F12" s="9"/>
      <c r="G12" s="9"/>
      <c r="H12" s="9"/>
      <c r="I12" s="9"/>
    </row>
    <row r="13" customFormat="false" ht="60" hidden="false" customHeight="true" outlineLevel="0" collapsed="false">
      <c r="B13" s="26"/>
      <c r="C13" s="13"/>
      <c r="D13" s="13"/>
      <c r="E13" s="13"/>
      <c r="F13" s="13"/>
      <c r="G13" s="13"/>
      <c r="H13" s="13"/>
      <c r="I13" s="13"/>
    </row>
    <row r="14" customFormat="false" ht="60" hidden="false" customHeight="true" outlineLevel="0" collapsed="false">
      <c r="B14" s="24"/>
      <c r="C14" s="9"/>
      <c r="D14" s="9"/>
      <c r="E14" s="9"/>
      <c r="F14" s="9"/>
      <c r="G14" s="9"/>
      <c r="H14" s="9"/>
      <c r="I14" s="9"/>
    </row>
    <row r="15" customFormat="false" ht="60" hidden="false" customHeight="true" outlineLevel="0" collapsed="false">
      <c r="B15" s="26"/>
      <c r="C15" s="13"/>
      <c r="D15" s="13"/>
      <c r="E15" s="13"/>
      <c r="F15" s="13"/>
      <c r="G15" s="13"/>
      <c r="H15" s="13"/>
      <c r="I15" s="13"/>
    </row>
    <row r="16" customFormat="false" ht="60" hidden="false" customHeight="true" outlineLevel="0" collapsed="false">
      <c r="B16" s="24"/>
      <c r="C16" s="9"/>
      <c r="D16" s="9"/>
      <c r="E16" s="9"/>
      <c r="F16" s="9"/>
      <c r="G16" s="9"/>
      <c r="H16" s="9"/>
      <c r="I16" s="9"/>
    </row>
    <row r="17" customFormat="false" ht="60" hidden="false" customHeight="true" outlineLevel="0" collapsed="false">
      <c r="B17" s="26"/>
      <c r="C17" s="13"/>
      <c r="D17" s="13"/>
      <c r="E17" s="13"/>
      <c r="F17" s="13"/>
      <c r="G17" s="13"/>
      <c r="H17" s="13"/>
      <c r="I17" s="13"/>
    </row>
    <row r="18" customFormat="false" ht="60" hidden="false" customHeight="true" outlineLevel="0" collapsed="false">
      <c r="B18" s="24"/>
      <c r="C18" s="9"/>
      <c r="D18" s="9"/>
      <c r="E18" s="9"/>
      <c r="F18" s="9"/>
      <c r="G18" s="9"/>
      <c r="H18" s="9"/>
      <c r="I18" s="9"/>
    </row>
    <row r="19" customFormat="false" ht="60" hidden="false" customHeight="true" outlineLevel="0" collapsed="false">
      <c r="B19" s="26"/>
      <c r="C19" s="13"/>
      <c r="D19" s="13"/>
      <c r="E19" s="13"/>
      <c r="F19" s="13"/>
      <c r="G19" s="13"/>
      <c r="H19" s="13"/>
      <c r="I19" s="13"/>
    </row>
    <row r="20" customFormat="false" ht="60" hidden="false" customHeight="true" outlineLevel="0" collapsed="false">
      <c r="B20" s="24"/>
      <c r="C20" s="9"/>
      <c r="D20" s="9"/>
      <c r="E20" s="9"/>
      <c r="F20" s="9"/>
      <c r="G20" s="9"/>
      <c r="H20" s="9"/>
      <c r="I20" s="9"/>
    </row>
    <row r="21" customFormat="false" ht="60" hidden="false" customHeight="true" outlineLevel="0" collapsed="false">
      <c r="B21" s="26"/>
      <c r="C21" s="13"/>
      <c r="D21" s="13"/>
      <c r="E21" s="13"/>
      <c r="F21" s="13"/>
      <c r="G21" s="13"/>
      <c r="H21" s="13"/>
      <c r="I21" s="13"/>
    </row>
    <row r="22" customFormat="false" ht="60" hidden="false" customHeight="true" outlineLevel="0" collapsed="false">
      <c r="B22" s="24"/>
      <c r="C22" s="9"/>
      <c r="D22" s="9"/>
      <c r="E22" s="9"/>
      <c r="F22" s="9"/>
      <c r="G22" s="9"/>
      <c r="H22" s="9"/>
      <c r="I22" s="9"/>
    </row>
    <row r="23" customFormat="false" ht="60" hidden="false" customHeight="true" outlineLevel="0" collapsed="false">
      <c r="B23" s="26"/>
      <c r="C23" s="13"/>
      <c r="D23" s="13"/>
      <c r="E23" s="13"/>
      <c r="F23" s="13"/>
      <c r="G23" s="13"/>
      <c r="H23" s="13"/>
      <c r="I23" s="13"/>
    </row>
    <row r="24" customFormat="false" ht="60" hidden="false" customHeight="true" outlineLevel="0" collapsed="false">
      <c r="B24" s="24"/>
      <c r="C24" s="9"/>
      <c r="D24" s="9"/>
      <c r="E24" s="9"/>
      <c r="F24" s="9"/>
      <c r="G24" s="9"/>
      <c r="H24" s="9"/>
      <c r="I24" s="9"/>
    </row>
    <row r="25" customFormat="false" ht="60" hidden="false" customHeight="true" outlineLevel="0" collapsed="false">
      <c r="B25" s="26"/>
      <c r="C25" s="13"/>
      <c r="D25" s="13"/>
      <c r="E25" s="13"/>
      <c r="F25" s="13"/>
      <c r="G25" s="13"/>
      <c r="H25" s="13"/>
      <c r="I25" s="13"/>
    </row>
    <row r="26" customFormat="false" ht="60" hidden="false" customHeight="true" outlineLevel="0" collapsed="false">
      <c r="B26" s="24"/>
      <c r="C26" s="9"/>
      <c r="D26" s="9"/>
      <c r="E26" s="9"/>
      <c r="F26" s="9"/>
      <c r="G26" s="9"/>
      <c r="H26" s="9"/>
      <c r="I26" s="9"/>
    </row>
    <row r="27" customFormat="false" ht="60" hidden="false" customHeight="true" outlineLevel="0" collapsed="false">
      <c r="B27" s="26"/>
      <c r="C27" s="13"/>
      <c r="D27" s="13"/>
      <c r="E27" s="13"/>
      <c r="F27" s="13"/>
      <c r="G27" s="13"/>
      <c r="H27" s="13"/>
      <c r="I27" s="13"/>
    </row>
    <row r="28" customFormat="false" ht="60" hidden="false" customHeight="true" outlineLevel="0" collapsed="false">
      <c r="B28" s="24"/>
      <c r="C28" s="9"/>
      <c r="D28" s="9"/>
      <c r="E28" s="9"/>
      <c r="F28" s="9"/>
      <c r="G28" s="9"/>
      <c r="H28" s="9"/>
      <c r="I28" s="9"/>
    </row>
    <row r="29" customFormat="false" ht="60" hidden="false" customHeight="true" outlineLevel="0" collapsed="false">
      <c r="B29" s="26"/>
      <c r="C29" s="13"/>
      <c r="D29" s="13"/>
      <c r="E29" s="13"/>
      <c r="F29" s="13"/>
      <c r="G29" s="13"/>
      <c r="H29" s="13"/>
      <c r="I29" s="13"/>
    </row>
    <row r="30" customFormat="false" ht="60" hidden="false" customHeight="true" outlineLevel="0" collapsed="false">
      <c r="B30" s="24"/>
      <c r="C30" s="9"/>
      <c r="D30" s="9"/>
      <c r="E30" s="9"/>
      <c r="F30" s="9"/>
      <c r="G30" s="9"/>
      <c r="H30" s="9"/>
      <c r="I30" s="9"/>
    </row>
    <row r="31" customFormat="false" ht="60" hidden="false" customHeight="true" outlineLevel="0" collapsed="false">
      <c r="B31" s="26"/>
      <c r="C31" s="13"/>
      <c r="D31" s="13"/>
      <c r="E31" s="13"/>
      <c r="F31" s="13"/>
      <c r="G31" s="13"/>
      <c r="H31" s="13"/>
      <c r="I31" s="13"/>
    </row>
    <row r="32" customFormat="false" ht="60" hidden="false" customHeight="true" outlineLevel="0" collapsed="false">
      <c r="B32" s="24"/>
      <c r="C32" s="9"/>
      <c r="D32" s="9"/>
      <c r="E32" s="9"/>
      <c r="F32" s="9"/>
      <c r="G32" s="9"/>
      <c r="H32" s="9"/>
      <c r="I32" s="9"/>
    </row>
    <row r="33" customFormat="false" ht="60" hidden="false" customHeight="true" outlineLevel="0" collapsed="false">
      <c r="B33" s="26"/>
      <c r="C33" s="13"/>
      <c r="D33" s="13"/>
      <c r="E33" s="13"/>
      <c r="F33" s="13"/>
      <c r="G33" s="13"/>
      <c r="H33" s="13"/>
      <c r="I33" s="13"/>
    </row>
    <row r="34" customFormat="false" ht="60" hidden="false" customHeight="true" outlineLevel="0" collapsed="false">
      <c r="B34" s="24"/>
      <c r="C34" s="9"/>
      <c r="D34" s="9"/>
      <c r="E34" s="9"/>
      <c r="F34" s="9"/>
      <c r="G34" s="9"/>
      <c r="H34" s="9"/>
      <c r="I34" s="9"/>
    </row>
    <row r="35" customFormat="false" ht="60" hidden="false" customHeight="true" outlineLevel="0" collapsed="false">
      <c r="B35" s="26"/>
      <c r="C35" s="13"/>
      <c r="D35" s="13"/>
      <c r="E35" s="13"/>
      <c r="F35" s="13"/>
      <c r="G35" s="13"/>
      <c r="H35" s="13"/>
      <c r="I35" s="13"/>
    </row>
  </sheetData>
  <conditionalFormatting sqref="E6:E35">
    <cfRule type="expression" priority="2" aboveAverage="0" equalAverage="0" bottom="0" percent="0" rank="0" text="" dxfId="0">
      <formula>EXACT(E6,"Off-Track")</formula>
    </cfRule>
    <cfRule type="expression" priority="3" aboveAverage="0" equalAverage="0" bottom="0" percent="0" rank="0" text="" dxfId="1">
      <formula>EXACT(E6,"At-Risk")</formula>
    </cfRule>
    <cfRule type="expression" priority="4" aboveAverage="0" equalAverage="0" bottom="0" percent="0" rank="0" text="" dxfId="2">
      <formula>EXACT(E6,"On-Track")</formula>
    </cfRule>
  </conditionalFormatting>
  <dataValidations count="1">
    <dataValidation allowBlank="true" errorStyle="stop" operator="between" showDropDown="false" showErrorMessage="false" showInputMessage="false" sqref="E6:E35" type="list">
      <formula1>"On-Track,At-Risk,Off-Track"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24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347</v>
      </c>
    </row>
    <row r="3" customFormat="false" ht="16.5" hidden="false" customHeight="true" outlineLevel="0" collapsed="false">
      <c r="B3" s="2" t="s">
        <v>348</v>
      </c>
    </row>
    <row r="4" customFormat="false" ht="16.5" hidden="false" customHeight="true" outlineLevel="0" collapsed="false"/>
    <row r="5" customFormat="false" ht="16.5" hidden="false" customHeight="true" outlineLevel="0" collapsed="false">
      <c r="B5" s="20" t="s">
        <v>349</v>
      </c>
    </row>
    <row r="6" customFormat="false" ht="16.5" hidden="false" customHeight="true" outlineLevel="0" collapsed="false"/>
    <row r="7" customFormat="false" ht="63" hidden="false" customHeight="true" outlineLevel="0" collapsed="false">
      <c r="B7" s="5" t="s">
        <v>350</v>
      </c>
      <c r="C7" s="6"/>
      <c r="D7" s="6"/>
      <c r="E7" s="6"/>
      <c r="F7" s="6"/>
    </row>
    <row r="8" customFormat="false" ht="48" hidden="false" customHeight="true" outlineLevel="0" collapsed="false">
      <c r="B8" s="5" t="s">
        <v>351</v>
      </c>
      <c r="C8" s="6"/>
      <c r="D8" s="6"/>
      <c r="E8" s="6"/>
      <c r="F8" s="6"/>
    </row>
    <row r="9" customFormat="false" ht="31.5" hidden="false" customHeight="true" outlineLevel="0" collapsed="false">
      <c r="B9" s="5" t="s">
        <v>352</v>
      </c>
      <c r="C9" s="47" t="n">
        <f aca="false">IFERROR(COUNTIF(I16:I65,"Pass")/(COUNTIF(I16:I65,"Pass")+COUNTIF(I16:I65,"Fail")),0)</f>
        <v>0</v>
      </c>
      <c r="D9" s="47"/>
      <c r="E9" s="47"/>
      <c r="F9" s="47"/>
    </row>
    <row r="10" customFormat="false" ht="16.5" hidden="false" customHeight="true" outlineLevel="0" collapsed="false">
      <c r="B10" s="5" t="s">
        <v>353</v>
      </c>
      <c r="C10" s="6"/>
      <c r="D10" s="6"/>
      <c r="E10" s="6"/>
      <c r="F10" s="6"/>
    </row>
    <row r="11" customFormat="false" ht="16.5" hidden="false" customHeight="true" outlineLevel="0" collapsed="false">
      <c r="B11" s="5" t="s">
        <v>354</v>
      </c>
      <c r="C11" s="6"/>
      <c r="D11" s="6"/>
      <c r="E11" s="6"/>
      <c r="F11" s="6"/>
    </row>
    <row r="12" customFormat="false" ht="48" hidden="false" customHeight="true" outlineLevel="0" collapsed="false">
      <c r="B12" s="5" t="s">
        <v>355</v>
      </c>
      <c r="C12" s="6"/>
      <c r="D12" s="6"/>
      <c r="E12" s="6"/>
      <c r="F12" s="6"/>
    </row>
    <row r="13" customFormat="false" ht="16.5" hidden="false" customHeight="true" outlineLevel="0" collapsed="false"/>
    <row r="14" customFormat="false" ht="16.5" hidden="false" customHeight="true" outlineLevel="0" collapsed="false">
      <c r="B14" s="20" t="s">
        <v>356</v>
      </c>
    </row>
    <row r="15" customFormat="false" ht="48" hidden="false" customHeight="true" outlineLevel="0" collapsed="false">
      <c r="B15" s="7" t="s">
        <v>357</v>
      </c>
      <c r="C15" s="7" t="s">
        <v>358</v>
      </c>
      <c r="D15" s="7" t="s">
        <v>359</v>
      </c>
      <c r="E15" s="7" t="s">
        <v>360</v>
      </c>
      <c r="F15" s="7" t="s">
        <v>361</v>
      </c>
      <c r="G15" s="7" t="s">
        <v>362</v>
      </c>
      <c r="H15" s="7" t="s">
        <v>363</v>
      </c>
      <c r="I15" s="7" t="s">
        <v>364</v>
      </c>
      <c r="J15" s="7" t="s">
        <v>365</v>
      </c>
      <c r="K15" s="7" t="s">
        <v>271</v>
      </c>
    </row>
    <row r="16" customFormat="false" ht="27.75" hidden="false" customHeight="true" outlineLevel="0" collapsed="false">
      <c r="B16" s="9"/>
      <c r="C16" s="9"/>
      <c r="D16" s="9"/>
      <c r="E16" s="9"/>
      <c r="F16" s="9"/>
      <c r="G16" s="9"/>
      <c r="H16" s="24"/>
      <c r="I16" s="9"/>
      <c r="J16" s="9"/>
      <c r="K16" s="9"/>
    </row>
    <row r="17" customFormat="false" ht="27.75" hidden="false" customHeight="true" outlineLevel="0" collapsed="false">
      <c r="B17" s="13"/>
      <c r="C17" s="13"/>
      <c r="D17" s="13"/>
      <c r="E17" s="13"/>
      <c r="F17" s="13"/>
      <c r="G17" s="13"/>
      <c r="H17" s="26"/>
      <c r="I17" s="13"/>
      <c r="J17" s="13"/>
      <c r="K17" s="13"/>
    </row>
    <row r="18" customFormat="false" ht="27.75" hidden="false" customHeight="true" outlineLevel="0" collapsed="false">
      <c r="B18" s="9"/>
      <c r="C18" s="9"/>
      <c r="D18" s="9"/>
      <c r="E18" s="9"/>
      <c r="F18" s="9"/>
      <c r="G18" s="9"/>
      <c r="H18" s="24"/>
      <c r="I18" s="9"/>
      <c r="J18" s="9"/>
      <c r="K18" s="9"/>
    </row>
    <row r="19" customFormat="false" ht="27.75" hidden="false" customHeight="true" outlineLevel="0" collapsed="false">
      <c r="B19" s="13"/>
      <c r="C19" s="13"/>
      <c r="D19" s="13"/>
      <c r="E19" s="13"/>
      <c r="F19" s="13"/>
      <c r="G19" s="13"/>
      <c r="H19" s="26"/>
      <c r="I19" s="13"/>
      <c r="J19" s="13"/>
      <c r="K19" s="13"/>
    </row>
    <row r="20" customFormat="false" ht="27.75" hidden="false" customHeight="true" outlineLevel="0" collapsed="false">
      <c r="B20" s="9"/>
      <c r="C20" s="9"/>
      <c r="D20" s="9"/>
      <c r="E20" s="9"/>
      <c r="F20" s="9"/>
      <c r="G20" s="9"/>
      <c r="H20" s="24"/>
      <c r="I20" s="9"/>
      <c r="J20" s="9"/>
      <c r="K20" s="9"/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13"/>
      <c r="H21" s="26"/>
      <c r="I21" s="13"/>
      <c r="J21" s="13"/>
      <c r="K21" s="13"/>
    </row>
    <row r="22" customFormat="false" ht="27.75" hidden="false" customHeight="true" outlineLevel="0" collapsed="false">
      <c r="B22" s="9"/>
      <c r="C22" s="9"/>
      <c r="D22" s="9"/>
      <c r="E22" s="9"/>
      <c r="F22" s="9"/>
      <c r="G22" s="9"/>
      <c r="H22" s="24"/>
      <c r="I22" s="9"/>
      <c r="J22" s="9"/>
      <c r="K22" s="9"/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13"/>
      <c r="H23" s="26"/>
      <c r="I23" s="13"/>
      <c r="J23" s="13"/>
      <c r="K23" s="13"/>
    </row>
    <row r="24" customFormat="false" ht="27.75" hidden="false" customHeight="true" outlineLevel="0" collapsed="false">
      <c r="B24" s="9"/>
      <c r="C24" s="9"/>
      <c r="D24" s="9"/>
      <c r="E24" s="9"/>
      <c r="F24" s="9"/>
      <c r="G24" s="9"/>
      <c r="H24" s="24"/>
      <c r="I24" s="9"/>
      <c r="J24" s="9"/>
      <c r="K24" s="9"/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13"/>
      <c r="H25" s="26"/>
      <c r="I25" s="13"/>
      <c r="J25" s="13"/>
      <c r="K25" s="13"/>
    </row>
    <row r="26" customFormat="false" ht="27.75" hidden="false" customHeight="true" outlineLevel="0" collapsed="false">
      <c r="B26" s="9"/>
      <c r="C26" s="9"/>
      <c r="D26" s="9"/>
      <c r="E26" s="9"/>
      <c r="F26" s="9"/>
      <c r="G26" s="9"/>
      <c r="H26" s="24"/>
      <c r="I26" s="9"/>
      <c r="J26" s="9"/>
      <c r="K26" s="9"/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13"/>
      <c r="H27" s="26"/>
      <c r="I27" s="13"/>
      <c r="J27" s="13"/>
      <c r="K27" s="13"/>
    </row>
    <row r="28" customFormat="false" ht="27.75" hidden="false" customHeight="true" outlineLevel="0" collapsed="false">
      <c r="B28" s="9"/>
      <c r="C28" s="9"/>
      <c r="D28" s="9"/>
      <c r="E28" s="9"/>
      <c r="F28" s="9"/>
      <c r="G28" s="9"/>
      <c r="H28" s="24"/>
      <c r="I28" s="9"/>
      <c r="J28" s="9"/>
      <c r="K28" s="9"/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13"/>
      <c r="H29" s="26"/>
      <c r="I29" s="13"/>
      <c r="J29" s="13"/>
      <c r="K29" s="13"/>
    </row>
    <row r="30" customFormat="false" ht="27.75" hidden="false" customHeight="true" outlineLevel="0" collapsed="false">
      <c r="B30" s="9"/>
      <c r="C30" s="9"/>
      <c r="D30" s="9"/>
      <c r="E30" s="9"/>
      <c r="F30" s="9"/>
      <c r="G30" s="9"/>
      <c r="H30" s="24"/>
      <c r="I30" s="9"/>
      <c r="J30" s="9"/>
      <c r="K30" s="9"/>
    </row>
    <row r="31" customFormat="false" ht="27.75" hidden="false" customHeight="true" outlineLevel="0" collapsed="false">
      <c r="B31" s="13"/>
      <c r="C31" s="13"/>
      <c r="D31" s="13"/>
      <c r="E31" s="13"/>
      <c r="F31" s="13"/>
      <c r="G31" s="13"/>
      <c r="H31" s="26"/>
      <c r="I31" s="13"/>
      <c r="J31" s="13"/>
      <c r="K31" s="13"/>
    </row>
    <row r="32" customFormat="false" ht="27.75" hidden="false" customHeight="true" outlineLevel="0" collapsed="false">
      <c r="B32" s="9"/>
      <c r="C32" s="9"/>
      <c r="D32" s="9"/>
      <c r="E32" s="9"/>
      <c r="F32" s="9"/>
      <c r="G32" s="9"/>
      <c r="H32" s="24"/>
      <c r="I32" s="9"/>
      <c r="J32" s="9"/>
      <c r="K32" s="9"/>
    </row>
    <row r="33" customFormat="false" ht="27.75" hidden="false" customHeight="true" outlineLevel="0" collapsed="false">
      <c r="B33" s="13"/>
      <c r="C33" s="13"/>
      <c r="D33" s="13"/>
      <c r="E33" s="13"/>
      <c r="F33" s="13"/>
      <c r="G33" s="13"/>
      <c r="H33" s="26"/>
      <c r="I33" s="13"/>
      <c r="J33" s="13"/>
      <c r="K33" s="13"/>
    </row>
    <row r="34" customFormat="false" ht="27.75" hidden="false" customHeight="true" outlineLevel="0" collapsed="false">
      <c r="B34" s="9"/>
      <c r="C34" s="9"/>
      <c r="D34" s="9"/>
      <c r="E34" s="9"/>
      <c r="F34" s="9"/>
      <c r="G34" s="9"/>
      <c r="H34" s="24"/>
      <c r="I34" s="9"/>
      <c r="J34" s="9"/>
      <c r="K34" s="9"/>
    </row>
    <row r="35" customFormat="false" ht="27.75" hidden="false" customHeight="true" outlineLevel="0" collapsed="false">
      <c r="B35" s="13"/>
      <c r="C35" s="13"/>
      <c r="D35" s="13"/>
      <c r="E35" s="13"/>
      <c r="F35" s="13"/>
      <c r="G35" s="13"/>
      <c r="H35" s="26"/>
      <c r="I35" s="13"/>
      <c r="J35" s="13"/>
      <c r="K35" s="13"/>
    </row>
    <row r="36" customFormat="false" ht="27.75" hidden="false" customHeight="true" outlineLevel="0" collapsed="false">
      <c r="B36" s="9"/>
      <c r="C36" s="9"/>
      <c r="D36" s="9"/>
      <c r="E36" s="9"/>
      <c r="F36" s="9"/>
      <c r="G36" s="9"/>
      <c r="H36" s="24"/>
      <c r="I36" s="9"/>
      <c r="J36" s="9"/>
      <c r="K36" s="9"/>
    </row>
    <row r="37" customFormat="false" ht="27.75" hidden="false" customHeight="true" outlineLevel="0" collapsed="false">
      <c r="B37" s="13"/>
      <c r="C37" s="13"/>
      <c r="D37" s="13"/>
      <c r="E37" s="13"/>
      <c r="F37" s="13"/>
      <c r="G37" s="13"/>
      <c r="H37" s="26"/>
      <c r="I37" s="13"/>
      <c r="J37" s="13"/>
      <c r="K37" s="13"/>
    </row>
    <row r="38" customFormat="false" ht="27.75" hidden="false" customHeight="true" outlineLevel="0" collapsed="false">
      <c r="B38" s="9"/>
      <c r="C38" s="9"/>
      <c r="D38" s="9"/>
      <c r="E38" s="9"/>
      <c r="F38" s="9"/>
      <c r="G38" s="9"/>
      <c r="H38" s="24"/>
      <c r="I38" s="9"/>
      <c r="J38" s="9"/>
      <c r="K38" s="9"/>
    </row>
    <row r="39" customFormat="false" ht="27.75" hidden="false" customHeight="true" outlineLevel="0" collapsed="false">
      <c r="B39" s="13"/>
      <c r="C39" s="13"/>
      <c r="D39" s="13"/>
      <c r="E39" s="13"/>
      <c r="F39" s="13"/>
      <c r="G39" s="13"/>
      <c r="H39" s="26"/>
      <c r="I39" s="13"/>
      <c r="J39" s="13"/>
      <c r="K39" s="13"/>
    </row>
    <row r="40" customFormat="false" ht="27.75" hidden="false" customHeight="true" outlineLevel="0" collapsed="false">
      <c r="B40" s="9"/>
      <c r="C40" s="9"/>
      <c r="D40" s="9"/>
      <c r="E40" s="9"/>
      <c r="F40" s="9"/>
      <c r="G40" s="9"/>
      <c r="H40" s="24"/>
      <c r="I40" s="9"/>
      <c r="J40" s="9"/>
      <c r="K40" s="9"/>
    </row>
    <row r="41" customFormat="false" ht="27.75" hidden="false" customHeight="true" outlineLevel="0" collapsed="false">
      <c r="B41" s="13"/>
      <c r="C41" s="13"/>
      <c r="D41" s="13"/>
      <c r="E41" s="13"/>
      <c r="F41" s="13"/>
      <c r="G41" s="13"/>
      <c r="H41" s="26"/>
      <c r="I41" s="13"/>
      <c r="J41" s="13"/>
      <c r="K41" s="13"/>
    </row>
    <row r="42" customFormat="false" ht="27.75" hidden="false" customHeight="true" outlineLevel="0" collapsed="false">
      <c r="B42" s="9"/>
      <c r="C42" s="9"/>
      <c r="D42" s="9"/>
      <c r="E42" s="9"/>
      <c r="F42" s="9"/>
      <c r="G42" s="9"/>
      <c r="H42" s="24"/>
      <c r="I42" s="9"/>
      <c r="J42" s="9"/>
      <c r="K42" s="9"/>
    </row>
    <row r="43" customFormat="false" ht="27.75" hidden="false" customHeight="true" outlineLevel="0" collapsed="false">
      <c r="B43" s="13"/>
      <c r="C43" s="13"/>
      <c r="D43" s="13"/>
      <c r="E43" s="13"/>
      <c r="F43" s="13"/>
      <c r="G43" s="13"/>
      <c r="H43" s="26"/>
      <c r="I43" s="13"/>
      <c r="J43" s="13"/>
      <c r="K43" s="13"/>
    </row>
    <row r="44" customFormat="false" ht="27.75" hidden="false" customHeight="true" outlineLevel="0" collapsed="false">
      <c r="B44" s="9"/>
      <c r="C44" s="9"/>
      <c r="D44" s="9"/>
      <c r="E44" s="9"/>
      <c r="F44" s="9"/>
      <c r="G44" s="9"/>
      <c r="H44" s="24"/>
      <c r="I44" s="9"/>
      <c r="J44" s="9"/>
      <c r="K44" s="9"/>
    </row>
    <row r="45" customFormat="false" ht="27.75" hidden="false" customHeight="true" outlineLevel="0" collapsed="false">
      <c r="B45" s="13"/>
      <c r="C45" s="13"/>
      <c r="D45" s="13"/>
      <c r="E45" s="13"/>
      <c r="F45" s="13"/>
      <c r="G45" s="13"/>
      <c r="H45" s="26"/>
      <c r="I45" s="13"/>
      <c r="J45" s="13"/>
      <c r="K45" s="13"/>
    </row>
    <row r="46" customFormat="false" ht="27.75" hidden="false" customHeight="true" outlineLevel="0" collapsed="false">
      <c r="B46" s="9"/>
      <c r="C46" s="9"/>
      <c r="D46" s="9"/>
      <c r="E46" s="9"/>
      <c r="F46" s="9"/>
      <c r="G46" s="9"/>
      <c r="H46" s="24"/>
      <c r="I46" s="9"/>
      <c r="J46" s="9"/>
      <c r="K46" s="9"/>
    </row>
    <row r="47" customFormat="false" ht="27.75" hidden="false" customHeight="true" outlineLevel="0" collapsed="false">
      <c r="B47" s="13"/>
      <c r="C47" s="13"/>
      <c r="D47" s="13"/>
      <c r="E47" s="13"/>
      <c r="F47" s="13"/>
      <c r="G47" s="13"/>
      <c r="H47" s="26"/>
      <c r="I47" s="13"/>
      <c r="J47" s="13"/>
      <c r="K47" s="13"/>
    </row>
    <row r="48" customFormat="false" ht="27.75" hidden="false" customHeight="true" outlineLevel="0" collapsed="false">
      <c r="B48" s="9"/>
      <c r="C48" s="9"/>
      <c r="D48" s="9"/>
      <c r="E48" s="9"/>
      <c r="F48" s="9"/>
      <c r="G48" s="9"/>
      <c r="H48" s="24"/>
      <c r="I48" s="9"/>
      <c r="J48" s="9"/>
      <c r="K48" s="9"/>
    </row>
    <row r="49" customFormat="false" ht="27.75" hidden="false" customHeight="true" outlineLevel="0" collapsed="false">
      <c r="B49" s="13"/>
      <c r="C49" s="13"/>
      <c r="D49" s="13"/>
      <c r="E49" s="13"/>
      <c r="F49" s="13"/>
      <c r="G49" s="13"/>
      <c r="H49" s="26"/>
      <c r="I49" s="13"/>
      <c r="J49" s="13"/>
      <c r="K49" s="13"/>
    </row>
    <row r="50" customFormat="false" ht="27.75" hidden="false" customHeight="true" outlineLevel="0" collapsed="false">
      <c r="B50" s="9"/>
      <c r="C50" s="9"/>
      <c r="D50" s="9"/>
      <c r="E50" s="9"/>
      <c r="F50" s="9"/>
      <c r="G50" s="9"/>
      <c r="H50" s="24"/>
      <c r="I50" s="9"/>
      <c r="J50" s="9"/>
      <c r="K50" s="9"/>
    </row>
    <row r="51" customFormat="false" ht="27.75" hidden="false" customHeight="true" outlineLevel="0" collapsed="false">
      <c r="B51" s="13"/>
      <c r="C51" s="13"/>
      <c r="D51" s="13"/>
      <c r="E51" s="13"/>
      <c r="F51" s="13"/>
      <c r="G51" s="13"/>
      <c r="H51" s="26"/>
      <c r="I51" s="13"/>
      <c r="J51" s="13"/>
      <c r="K51" s="13"/>
    </row>
    <row r="52" customFormat="false" ht="27.75" hidden="false" customHeight="true" outlineLevel="0" collapsed="false">
      <c r="B52" s="9"/>
      <c r="C52" s="9"/>
      <c r="D52" s="9"/>
      <c r="E52" s="9"/>
      <c r="F52" s="9"/>
      <c r="G52" s="9"/>
      <c r="H52" s="24"/>
      <c r="I52" s="9"/>
      <c r="J52" s="9"/>
      <c r="K52" s="9"/>
    </row>
    <row r="53" customFormat="false" ht="27.75" hidden="false" customHeight="true" outlineLevel="0" collapsed="false">
      <c r="B53" s="13"/>
      <c r="C53" s="13"/>
      <c r="D53" s="13"/>
      <c r="E53" s="13"/>
      <c r="F53" s="13"/>
      <c r="G53" s="13"/>
      <c r="H53" s="26"/>
      <c r="I53" s="13"/>
      <c r="J53" s="13"/>
      <c r="K53" s="13"/>
    </row>
    <row r="54" customFormat="false" ht="27.75" hidden="false" customHeight="true" outlineLevel="0" collapsed="false">
      <c r="B54" s="9"/>
      <c r="C54" s="9"/>
      <c r="D54" s="9"/>
      <c r="E54" s="9"/>
      <c r="F54" s="9"/>
      <c r="G54" s="9"/>
      <c r="H54" s="24"/>
      <c r="I54" s="9"/>
      <c r="J54" s="9"/>
      <c r="K54" s="9"/>
    </row>
    <row r="55" customFormat="false" ht="27.75" hidden="false" customHeight="true" outlineLevel="0" collapsed="false">
      <c r="B55" s="13"/>
      <c r="C55" s="13"/>
      <c r="D55" s="13"/>
      <c r="E55" s="13"/>
      <c r="F55" s="13"/>
      <c r="G55" s="13"/>
      <c r="H55" s="26"/>
      <c r="I55" s="13"/>
      <c r="J55" s="13"/>
      <c r="K55" s="13"/>
    </row>
    <row r="56" customFormat="false" ht="27.75" hidden="false" customHeight="true" outlineLevel="0" collapsed="false">
      <c r="B56" s="9"/>
      <c r="C56" s="9"/>
      <c r="D56" s="9"/>
      <c r="E56" s="9"/>
      <c r="F56" s="9"/>
      <c r="G56" s="9"/>
      <c r="H56" s="24"/>
      <c r="I56" s="9"/>
      <c r="J56" s="9"/>
      <c r="K56" s="9"/>
    </row>
    <row r="57" customFormat="false" ht="27.75" hidden="false" customHeight="true" outlineLevel="0" collapsed="false">
      <c r="B57" s="13"/>
      <c r="C57" s="13"/>
      <c r="D57" s="13"/>
      <c r="E57" s="13"/>
      <c r="F57" s="13"/>
      <c r="G57" s="13"/>
      <c r="H57" s="26"/>
      <c r="I57" s="13"/>
      <c r="J57" s="13"/>
      <c r="K57" s="13"/>
    </row>
    <row r="58" customFormat="false" ht="27.75" hidden="false" customHeight="true" outlineLevel="0" collapsed="false">
      <c r="B58" s="9"/>
      <c r="C58" s="9"/>
      <c r="D58" s="9"/>
      <c r="E58" s="9"/>
      <c r="F58" s="9"/>
      <c r="G58" s="9"/>
      <c r="H58" s="24"/>
      <c r="I58" s="9"/>
      <c r="J58" s="9"/>
      <c r="K58" s="9"/>
    </row>
    <row r="59" customFormat="false" ht="27.75" hidden="false" customHeight="true" outlineLevel="0" collapsed="false">
      <c r="B59" s="13"/>
      <c r="C59" s="13"/>
      <c r="D59" s="13"/>
      <c r="E59" s="13"/>
      <c r="F59" s="13"/>
      <c r="G59" s="13"/>
      <c r="H59" s="26"/>
      <c r="I59" s="13"/>
      <c r="J59" s="13"/>
      <c r="K59" s="13"/>
    </row>
    <row r="60" customFormat="false" ht="27.75" hidden="false" customHeight="true" outlineLevel="0" collapsed="false">
      <c r="B60" s="9"/>
      <c r="C60" s="9"/>
      <c r="D60" s="9"/>
      <c r="E60" s="9"/>
      <c r="F60" s="9"/>
      <c r="G60" s="9"/>
      <c r="H60" s="24"/>
      <c r="I60" s="9"/>
      <c r="J60" s="9"/>
      <c r="K60" s="9"/>
    </row>
    <row r="61" customFormat="false" ht="27.75" hidden="false" customHeight="true" outlineLevel="0" collapsed="false">
      <c r="B61" s="13"/>
      <c r="C61" s="13"/>
      <c r="D61" s="13"/>
      <c r="E61" s="13"/>
      <c r="F61" s="13"/>
      <c r="G61" s="13"/>
      <c r="H61" s="26"/>
      <c r="I61" s="13"/>
      <c r="J61" s="13"/>
      <c r="K61" s="13"/>
    </row>
    <row r="62" customFormat="false" ht="27.75" hidden="false" customHeight="true" outlineLevel="0" collapsed="false">
      <c r="B62" s="9"/>
      <c r="C62" s="9"/>
      <c r="D62" s="9"/>
      <c r="E62" s="9"/>
      <c r="F62" s="9"/>
      <c r="G62" s="9"/>
      <c r="H62" s="24"/>
      <c r="I62" s="9"/>
      <c r="J62" s="9"/>
      <c r="K62" s="9"/>
    </row>
    <row r="63" customFormat="false" ht="27.75" hidden="false" customHeight="true" outlineLevel="0" collapsed="false">
      <c r="B63" s="13"/>
      <c r="C63" s="13"/>
      <c r="D63" s="13"/>
      <c r="E63" s="13"/>
      <c r="F63" s="13"/>
      <c r="G63" s="13"/>
      <c r="H63" s="26"/>
      <c r="I63" s="13"/>
      <c r="J63" s="13"/>
      <c r="K63" s="13"/>
    </row>
    <row r="64" customFormat="false" ht="27.75" hidden="false" customHeight="true" outlineLevel="0" collapsed="false">
      <c r="B64" s="9"/>
      <c r="C64" s="9"/>
      <c r="D64" s="9"/>
      <c r="E64" s="9"/>
      <c r="F64" s="9"/>
      <c r="G64" s="9"/>
      <c r="H64" s="24"/>
      <c r="I64" s="9"/>
      <c r="J64" s="9"/>
      <c r="K64" s="9"/>
    </row>
    <row r="65" customFormat="false" ht="27.75" hidden="false" customHeight="true" outlineLevel="0" collapsed="false">
      <c r="B65" s="13"/>
      <c r="C65" s="13"/>
      <c r="D65" s="13"/>
      <c r="E65" s="13"/>
      <c r="F65" s="13"/>
      <c r="G65" s="13"/>
      <c r="H65" s="26"/>
      <c r="I65" s="13"/>
      <c r="J65" s="13"/>
      <c r="K65" s="13"/>
    </row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>
      <c r="B68" s="20" t="s">
        <v>366</v>
      </c>
    </row>
    <row r="69" customFormat="false" ht="16.5" hidden="false" customHeight="true" outlineLevel="0" collapsed="false"/>
    <row r="70" customFormat="false" ht="31.5" hidden="false" customHeight="true" outlineLevel="0" collapsed="false">
      <c r="B70" s="5" t="s">
        <v>367</v>
      </c>
      <c r="D70" s="21" t="n">
        <f aca="false">COUNTA(C16:C65)</f>
        <v>0</v>
      </c>
    </row>
    <row r="71" customFormat="false" ht="24" hidden="false" customHeight="true" outlineLevel="0" collapsed="false">
      <c r="B71" s="5" t="s">
        <v>368</v>
      </c>
      <c r="D71" s="21" t="n">
        <f aca="false">COUNTIF(I16:I65,"Pass")</f>
        <v>0</v>
      </c>
    </row>
    <row r="72" customFormat="false" ht="24" hidden="false" customHeight="true" outlineLevel="0" collapsed="false">
      <c r="B72" s="5" t="s">
        <v>369</v>
      </c>
      <c r="D72" s="21" t="n">
        <f aca="false">COUNTIF(I16:I65,"Fail")</f>
        <v>0</v>
      </c>
    </row>
    <row r="73" customFormat="false" ht="24" hidden="false" customHeight="true" outlineLevel="0" collapsed="false">
      <c r="B73" s="5" t="s">
        <v>322</v>
      </c>
      <c r="D73" s="21" t="n">
        <f aca="false">COUNTIF(I16:I65,"Blocked")</f>
        <v>0</v>
      </c>
    </row>
    <row r="74" customFormat="false" ht="24" hidden="false" customHeight="true" outlineLevel="0" collapsed="false">
      <c r="B74" s="5" t="s">
        <v>370</v>
      </c>
      <c r="D74" s="21" t="n">
        <f aca="false">COUNTIF(I16:I65,"Not Run")</f>
        <v>0</v>
      </c>
    </row>
    <row r="75" customFormat="false" ht="48" hidden="false" customHeight="true" outlineLevel="0" collapsed="false">
      <c r="B75" s="5" t="s">
        <v>371</v>
      </c>
      <c r="D75" s="22" t="n">
        <f aca="false">IFERROR(COUNTIF(I16:I65,"Pass")/(COUNTIF(I16:I65,"Pass")+COUNTIF(I16:I65,"Fail")),0)</f>
        <v>0</v>
      </c>
    </row>
    <row r="76" customFormat="false" ht="63" hidden="false" customHeight="true" outlineLevel="0" collapsed="false">
      <c r="B76" s="5" t="s">
        <v>372</v>
      </c>
      <c r="D76" s="21" t="n">
        <f aca="false">COUNTA(J16:J65)</f>
        <v>0</v>
      </c>
    </row>
  </sheetData>
  <mergeCells count="6">
    <mergeCell ref="C7:F7"/>
    <mergeCell ref="C8:F8"/>
    <mergeCell ref="C9:F9"/>
    <mergeCell ref="C10:F10"/>
    <mergeCell ref="C11:F11"/>
    <mergeCell ref="C12:F12"/>
  </mergeCells>
  <conditionalFormatting sqref="I16:I65">
    <cfRule type="expression" priority="2" aboveAverage="0" equalAverage="0" bottom="0" percent="0" rank="0" text="" dxfId="2">
      <formula>EXACT(I16,"Pass")</formula>
    </cfRule>
    <cfRule type="expression" priority="3" aboveAverage="0" equalAverage="0" bottom="0" percent="0" rank="0" text="" dxfId="0">
      <formula>EXACT(I16,"Fail")</formula>
    </cfRule>
    <cfRule type="expression" priority="4" aboveAverage="0" equalAverage="0" bottom="0" percent="0" rank="0" text="" dxfId="0">
      <formula>EXACT(I16,"Blocked")</formula>
    </cfRule>
    <cfRule type="expression" priority="5" aboveAverage="0" equalAverage="0" bottom="0" percent="0" rank="0" text="" dxfId="1">
      <formula>EXACT(I16,"Not Run")</formula>
    </cfRule>
  </conditionalFormatting>
  <dataValidations count="1">
    <dataValidation allowBlank="true" errorStyle="stop" operator="between" showDropDown="false" showErrorMessage="false" showInputMessage="false" sqref="I16:I65" type="list">
      <formula1>"Pass,Fail,Blocked,Not Run,N/A"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28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373</v>
      </c>
    </row>
    <row r="3" customFormat="false" ht="16.5" hidden="false" customHeight="true" outlineLevel="0" collapsed="false">
      <c r="B3" s="2" t="s">
        <v>374</v>
      </c>
    </row>
    <row r="4" customFormat="false" ht="16.5" hidden="false" customHeight="true" outlineLevel="0" collapsed="false"/>
    <row r="5" customFormat="false" ht="16.5" hidden="false" customHeight="true" outlineLevel="0" collapsed="false">
      <c r="B5" s="20" t="s">
        <v>375</v>
      </c>
    </row>
    <row r="6" customFormat="false" ht="16.5" hidden="false" customHeight="true" outlineLevel="0" collapsed="false"/>
    <row r="7" customFormat="false" ht="16.5" hidden="false" customHeight="true" outlineLevel="0" collapsed="false">
      <c r="B7" s="48" t="s">
        <v>376</v>
      </c>
      <c r="C7" s="49" t="n">
        <f aca="false">COUNTIF(K12:K71,"Open")+COUNTIF(K12:K71,"In Progress")</f>
        <v>0</v>
      </c>
      <c r="D7" s="48" t="s">
        <v>377</v>
      </c>
      <c r="E7" s="49" t="n">
        <f aca="true">SUMPRODUCT((K12:K71&lt;&gt;"Done")*(K12:K71&lt;&gt;"Verified")*(K12:K71&lt;&gt;"Dropped")*(I12:I71&lt;&gt;"")*(I12:I71&lt;TODAY()))</f>
        <v>0</v>
      </c>
      <c r="F7" s="48" t="s">
        <v>378</v>
      </c>
      <c r="G7" s="49" t="n">
        <f aca="false">COUNTIF(K12:K71,"Done")</f>
        <v>0</v>
      </c>
      <c r="H7" s="48" t="s">
        <v>379</v>
      </c>
      <c r="I7" s="49" t="n">
        <f aca="false">COUNTIF(L12:L71,"Confirmed effective")</f>
        <v>0</v>
      </c>
      <c r="J7" s="48" t="s">
        <v>380</v>
      </c>
      <c r="K7" s="49" t="n">
        <f aca="false">COUNTIF(M12:M71,"Yes")</f>
        <v>0</v>
      </c>
    </row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>
      <c r="B10" s="20" t="s">
        <v>381</v>
      </c>
    </row>
    <row r="11" customFormat="false" ht="36" hidden="false" customHeight="true" outlineLevel="0" collapsed="false">
      <c r="B11" s="7" t="s">
        <v>382</v>
      </c>
      <c r="C11" s="7" t="s">
        <v>383</v>
      </c>
      <c r="D11" s="7" t="s">
        <v>384</v>
      </c>
      <c r="E11" s="7" t="s">
        <v>234</v>
      </c>
      <c r="F11" s="7" t="s">
        <v>385</v>
      </c>
      <c r="G11" s="7" t="s">
        <v>386</v>
      </c>
      <c r="H11" s="7" t="s">
        <v>238</v>
      </c>
      <c r="I11" s="7" t="s">
        <v>318</v>
      </c>
      <c r="J11" s="7" t="s">
        <v>237</v>
      </c>
      <c r="K11" s="7" t="s">
        <v>18</v>
      </c>
      <c r="L11" s="7" t="s">
        <v>387</v>
      </c>
      <c r="M11" s="7" t="s">
        <v>388</v>
      </c>
      <c r="N11" s="7" t="s">
        <v>271</v>
      </c>
    </row>
    <row r="12" customFormat="false" ht="27.75" hidden="false" customHeight="true" outlineLevel="0" collapsed="false">
      <c r="B12" s="9"/>
      <c r="C12" s="9"/>
      <c r="D12" s="9"/>
      <c r="E12" s="9"/>
      <c r="F12" s="9"/>
      <c r="G12" s="9"/>
      <c r="H12" s="9"/>
      <c r="I12" s="24"/>
      <c r="J12" s="9"/>
      <c r="K12" s="9"/>
      <c r="L12" s="9"/>
      <c r="M12" s="9"/>
      <c r="N12" s="9"/>
    </row>
    <row r="13" customFormat="false" ht="27.75" hidden="false" customHeight="true" outlineLevel="0" collapsed="false">
      <c r="B13" s="13"/>
      <c r="C13" s="13"/>
      <c r="D13" s="13"/>
      <c r="E13" s="13"/>
      <c r="F13" s="13"/>
      <c r="G13" s="13"/>
      <c r="H13" s="13"/>
      <c r="I13" s="26"/>
      <c r="J13" s="13"/>
      <c r="K13" s="13"/>
      <c r="L13" s="13"/>
      <c r="M13" s="13"/>
      <c r="N13" s="13"/>
    </row>
    <row r="14" customFormat="false" ht="27.75" hidden="false" customHeight="true" outlineLevel="0" collapsed="false">
      <c r="B14" s="9"/>
      <c r="C14" s="9"/>
      <c r="D14" s="9"/>
      <c r="E14" s="9"/>
      <c r="F14" s="9"/>
      <c r="G14" s="9"/>
      <c r="H14" s="9"/>
      <c r="I14" s="24"/>
      <c r="J14" s="9"/>
      <c r="K14" s="9"/>
      <c r="L14" s="9"/>
      <c r="M14" s="9"/>
      <c r="N14" s="9"/>
    </row>
    <row r="15" customFormat="false" ht="27.75" hidden="false" customHeight="true" outlineLevel="0" collapsed="false">
      <c r="B15" s="13"/>
      <c r="C15" s="13"/>
      <c r="D15" s="13"/>
      <c r="E15" s="13"/>
      <c r="F15" s="13"/>
      <c r="G15" s="13"/>
      <c r="H15" s="13"/>
      <c r="I15" s="26"/>
      <c r="J15" s="13"/>
      <c r="K15" s="13"/>
      <c r="L15" s="13"/>
      <c r="M15" s="13"/>
      <c r="N15" s="13"/>
    </row>
    <row r="16" customFormat="false" ht="27.75" hidden="false" customHeight="true" outlineLevel="0" collapsed="false">
      <c r="B16" s="9"/>
      <c r="C16" s="9"/>
      <c r="D16" s="9"/>
      <c r="E16" s="9"/>
      <c r="F16" s="9"/>
      <c r="G16" s="9"/>
      <c r="H16" s="9"/>
      <c r="I16" s="24"/>
      <c r="J16" s="9"/>
      <c r="K16" s="9"/>
      <c r="L16" s="9"/>
      <c r="M16" s="9"/>
      <c r="N16" s="9"/>
    </row>
    <row r="17" customFormat="false" ht="27.75" hidden="false" customHeight="true" outlineLevel="0" collapsed="false">
      <c r="B17" s="13"/>
      <c r="C17" s="13"/>
      <c r="D17" s="13"/>
      <c r="E17" s="13"/>
      <c r="F17" s="13"/>
      <c r="G17" s="13"/>
      <c r="H17" s="13"/>
      <c r="I17" s="26"/>
      <c r="J17" s="13"/>
      <c r="K17" s="13"/>
      <c r="L17" s="13"/>
      <c r="M17" s="13"/>
      <c r="N17" s="13"/>
    </row>
    <row r="18" customFormat="false" ht="27.75" hidden="false" customHeight="true" outlineLevel="0" collapsed="false">
      <c r="B18" s="9"/>
      <c r="C18" s="9"/>
      <c r="D18" s="9"/>
      <c r="E18" s="9"/>
      <c r="F18" s="9"/>
      <c r="G18" s="9"/>
      <c r="H18" s="9"/>
      <c r="I18" s="24"/>
      <c r="J18" s="9"/>
      <c r="K18" s="9"/>
      <c r="L18" s="9"/>
      <c r="M18" s="9"/>
      <c r="N18" s="9"/>
    </row>
    <row r="19" customFormat="false" ht="27.75" hidden="false" customHeight="true" outlineLevel="0" collapsed="false">
      <c r="B19" s="13"/>
      <c r="C19" s="13"/>
      <c r="D19" s="13"/>
      <c r="E19" s="13"/>
      <c r="F19" s="13"/>
      <c r="G19" s="13"/>
      <c r="H19" s="13"/>
      <c r="I19" s="26"/>
      <c r="J19" s="13"/>
      <c r="K19" s="13"/>
      <c r="L19" s="13"/>
      <c r="M19" s="13"/>
      <c r="N19" s="13"/>
    </row>
    <row r="20" customFormat="false" ht="27.75" hidden="false" customHeight="true" outlineLevel="0" collapsed="false">
      <c r="B20" s="9"/>
      <c r="C20" s="9"/>
      <c r="D20" s="9"/>
      <c r="E20" s="9"/>
      <c r="F20" s="9"/>
      <c r="G20" s="9"/>
      <c r="H20" s="9"/>
      <c r="I20" s="24"/>
      <c r="J20" s="9"/>
      <c r="K20" s="9"/>
      <c r="L20" s="9"/>
      <c r="M20" s="9"/>
      <c r="N20" s="9"/>
    </row>
    <row r="21" customFormat="false" ht="27.75" hidden="false" customHeight="true" outlineLevel="0" collapsed="false">
      <c r="B21" s="13"/>
      <c r="C21" s="13"/>
      <c r="D21" s="13"/>
      <c r="E21" s="13"/>
      <c r="F21" s="13"/>
      <c r="G21" s="13"/>
      <c r="H21" s="13"/>
      <c r="I21" s="26"/>
      <c r="J21" s="13"/>
      <c r="K21" s="13"/>
      <c r="L21" s="13"/>
      <c r="M21" s="13"/>
      <c r="N21" s="13"/>
    </row>
    <row r="22" customFormat="false" ht="27.75" hidden="false" customHeight="true" outlineLevel="0" collapsed="false">
      <c r="B22" s="9"/>
      <c r="C22" s="9"/>
      <c r="D22" s="9"/>
      <c r="E22" s="9"/>
      <c r="F22" s="9"/>
      <c r="G22" s="9"/>
      <c r="H22" s="9"/>
      <c r="I22" s="24"/>
      <c r="J22" s="9"/>
      <c r="K22" s="9"/>
      <c r="L22" s="9"/>
      <c r="M22" s="9"/>
      <c r="N22" s="9"/>
    </row>
    <row r="23" customFormat="false" ht="27.75" hidden="false" customHeight="true" outlineLevel="0" collapsed="false">
      <c r="B23" s="13"/>
      <c r="C23" s="13"/>
      <c r="D23" s="13"/>
      <c r="E23" s="13"/>
      <c r="F23" s="13"/>
      <c r="G23" s="13"/>
      <c r="H23" s="13"/>
      <c r="I23" s="26"/>
      <c r="J23" s="13"/>
      <c r="K23" s="13"/>
      <c r="L23" s="13"/>
      <c r="M23" s="13"/>
      <c r="N23" s="13"/>
    </row>
    <row r="24" customFormat="false" ht="27.75" hidden="false" customHeight="true" outlineLevel="0" collapsed="false">
      <c r="B24" s="9"/>
      <c r="C24" s="9"/>
      <c r="D24" s="9"/>
      <c r="E24" s="9"/>
      <c r="F24" s="9"/>
      <c r="G24" s="9"/>
      <c r="H24" s="9"/>
      <c r="I24" s="24"/>
      <c r="J24" s="9"/>
      <c r="K24" s="9"/>
      <c r="L24" s="9"/>
      <c r="M24" s="9"/>
      <c r="N24" s="9"/>
    </row>
    <row r="25" customFormat="false" ht="27.75" hidden="false" customHeight="true" outlineLevel="0" collapsed="false">
      <c r="B25" s="13"/>
      <c r="C25" s="13"/>
      <c r="D25" s="13"/>
      <c r="E25" s="13"/>
      <c r="F25" s="13"/>
      <c r="G25" s="13"/>
      <c r="H25" s="13"/>
      <c r="I25" s="26"/>
      <c r="J25" s="13"/>
      <c r="K25" s="13"/>
      <c r="L25" s="13"/>
      <c r="M25" s="13"/>
      <c r="N25" s="13"/>
    </row>
    <row r="26" customFormat="false" ht="27.75" hidden="false" customHeight="true" outlineLevel="0" collapsed="false">
      <c r="B26" s="9"/>
      <c r="C26" s="9"/>
      <c r="D26" s="9"/>
      <c r="E26" s="9"/>
      <c r="F26" s="9"/>
      <c r="G26" s="9"/>
      <c r="H26" s="9"/>
      <c r="I26" s="24"/>
      <c r="J26" s="9"/>
      <c r="K26" s="9"/>
      <c r="L26" s="9"/>
      <c r="M26" s="9"/>
      <c r="N26" s="9"/>
    </row>
    <row r="27" customFormat="false" ht="27.75" hidden="false" customHeight="true" outlineLevel="0" collapsed="false">
      <c r="B27" s="13"/>
      <c r="C27" s="13"/>
      <c r="D27" s="13"/>
      <c r="E27" s="13"/>
      <c r="F27" s="13"/>
      <c r="G27" s="13"/>
      <c r="H27" s="13"/>
      <c r="I27" s="26"/>
      <c r="J27" s="13"/>
      <c r="K27" s="13"/>
      <c r="L27" s="13"/>
      <c r="M27" s="13"/>
      <c r="N27" s="13"/>
    </row>
    <row r="28" customFormat="false" ht="27.75" hidden="false" customHeight="true" outlineLevel="0" collapsed="false">
      <c r="B28" s="9"/>
      <c r="C28" s="9"/>
      <c r="D28" s="9"/>
      <c r="E28" s="9"/>
      <c r="F28" s="9"/>
      <c r="G28" s="9"/>
      <c r="H28" s="9"/>
      <c r="I28" s="24"/>
      <c r="J28" s="9"/>
      <c r="K28" s="9"/>
      <c r="L28" s="9"/>
      <c r="M28" s="9"/>
      <c r="N28" s="9"/>
    </row>
    <row r="29" customFormat="false" ht="27.75" hidden="false" customHeight="true" outlineLevel="0" collapsed="false">
      <c r="B29" s="13"/>
      <c r="C29" s="13"/>
      <c r="D29" s="13"/>
      <c r="E29" s="13"/>
      <c r="F29" s="13"/>
      <c r="G29" s="13"/>
      <c r="H29" s="13"/>
      <c r="I29" s="26"/>
      <c r="J29" s="13"/>
      <c r="K29" s="13"/>
      <c r="L29" s="13"/>
      <c r="M29" s="13"/>
      <c r="N29" s="13"/>
    </row>
    <row r="30" customFormat="false" ht="27.75" hidden="false" customHeight="true" outlineLevel="0" collapsed="false">
      <c r="B30" s="9"/>
      <c r="C30" s="9"/>
      <c r="D30" s="9"/>
      <c r="E30" s="9"/>
      <c r="F30" s="9"/>
      <c r="G30" s="9"/>
      <c r="H30" s="9"/>
      <c r="I30" s="24"/>
      <c r="J30" s="9"/>
      <c r="K30" s="9"/>
      <c r="L30" s="9"/>
      <c r="M30" s="9"/>
      <c r="N30" s="9"/>
    </row>
    <row r="31" customFormat="false" ht="27.75" hidden="false" customHeight="true" outlineLevel="0" collapsed="false">
      <c r="B31" s="13"/>
      <c r="C31" s="13"/>
      <c r="D31" s="13"/>
      <c r="E31" s="13"/>
      <c r="F31" s="13"/>
      <c r="G31" s="13"/>
      <c r="H31" s="13"/>
      <c r="I31" s="26"/>
      <c r="J31" s="13"/>
      <c r="K31" s="13"/>
      <c r="L31" s="13"/>
      <c r="M31" s="13"/>
      <c r="N31" s="13"/>
    </row>
    <row r="32" customFormat="false" ht="27.75" hidden="false" customHeight="true" outlineLevel="0" collapsed="false">
      <c r="B32" s="9"/>
      <c r="C32" s="9"/>
      <c r="D32" s="9"/>
      <c r="E32" s="9"/>
      <c r="F32" s="9"/>
      <c r="G32" s="9"/>
      <c r="H32" s="9"/>
      <c r="I32" s="24"/>
      <c r="J32" s="9"/>
      <c r="K32" s="9"/>
      <c r="L32" s="9"/>
      <c r="M32" s="9"/>
      <c r="N32" s="9"/>
    </row>
    <row r="33" customFormat="false" ht="27.75" hidden="false" customHeight="true" outlineLevel="0" collapsed="false">
      <c r="B33" s="13"/>
      <c r="C33" s="13"/>
      <c r="D33" s="13"/>
      <c r="E33" s="13"/>
      <c r="F33" s="13"/>
      <c r="G33" s="13"/>
      <c r="H33" s="13"/>
      <c r="I33" s="26"/>
      <c r="J33" s="13"/>
      <c r="K33" s="13"/>
      <c r="L33" s="13"/>
      <c r="M33" s="13"/>
      <c r="N33" s="13"/>
    </row>
    <row r="34" customFormat="false" ht="27.75" hidden="false" customHeight="true" outlineLevel="0" collapsed="false">
      <c r="B34" s="9"/>
      <c r="C34" s="9"/>
      <c r="D34" s="9"/>
      <c r="E34" s="9"/>
      <c r="F34" s="9"/>
      <c r="G34" s="9"/>
      <c r="H34" s="9"/>
      <c r="I34" s="24"/>
      <c r="J34" s="9"/>
      <c r="K34" s="9"/>
      <c r="L34" s="9"/>
      <c r="M34" s="9"/>
      <c r="N34" s="9"/>
    </row>
    <row r="35" customFormat="false" ht="27.75" hidden="false" customHeight="true" outlineLevel="0" collapsed="false">
      <c r="B35" s="13"/>
      <c r="C35" s="13"/>
      <c r="D35" s="13"/>
      <c r="E35" s="13"/>
      <c r="F35" s="13"/>
      <c r="G35" s="13"/>
      <c r="H35" s="13"/>
      <c r="I35" s="26"/>
      <c r="J35" s="13"/>
      <c r="K35" s="13"/>
      <c r="L35" s="13"/>
      <c r="M35" s="13"/>
      <c r="N35" s="13"/>
    </row>
    <row r="36" customFormat="false" ht="27.75" hidden="false" customHeight="true" outlineLevel="0" collapsed="false">
      <c r="B36" s="9"/>
      <c r="C36" s="9"/>
      <c r="D36" s="9"/>
      <c r="E36" s="9"/>
      <c r="F36" s="9"/>
      <c r="G36" s="9"/>
      <c r="H36" s="9"/>
      <c r="I36" s="24"/>
      <c r="J36" s="9"/>
      <c r="K36" s="9"/>
      <c r="L36" s="9"/>
      <c r="M36" s="9"/>
      <c r="N36" s="9"/>
    </row>
    <row r="37" customFormat="false" ht="27.75" hidden="false" customHeight="true" outlineLevel="0" collapsed="false">
      <c r="B37" s="13"/>
      <c r="C37" s="13"/>
      <c r="D37" s="13"/>
      <c r="E37" s="13"/>
      <c r="F37" s="13"/>
      <c r="G37" s="13"/>
      <c r="H37" s="13"/>
      <c r="I37" s="26"/>
      <c r="J37" s="13"/>
      <c r="K37" s="13"/>
      <c r="L37" s="13"/>
      <c r="M37" s="13"/>
      <c r="N37" s="13"/>
    </row>
    <row r="38" customFormat="false" ht="27.75" hidden="false" customHeight="true" outlineLevel="0" collapsed="false">
      <c r="B38" s="9"/>
      <c r="C38" s="9"/>
      <c r="D38" s="9"/>
      <c r="E38" s="9"/>
      <c r="F38" s="9"/>
      <c r="G38" s="9"/>
      <c r="H38" s="9"/>
      <c r="I38" s="24"/>
      <c r="J38" s="9"/>
      <c r="K38" s="9"/>
      <c r="L38" s="9"/>
      <c r="M38" s="9"/>
      <c r="N38" s="9"/>
    </row>
    <row r="39" customFormat="false" ht="27.75" hidden="false" customHeight="true" outlineLevel="0" collapsed="false">
      <c r="B39" s="13"/>
      <c r="C39" s="13"/>
      <c r="D39" s="13"/>
      <c r="E39" s="13"/>
      <c r="F39" s="13"/>
      <c r="G39" s="13"/>
      <c r="H39" s="13"/>
      <c r="I39" s="26"/>
      <c r="J39" s="13"/>
      <c r="K39" s="13"/>
      <c r="L39" s="13"/>
      <c r="M39" s="13"/>
      <c r="N39" s="13"/>
    </row>
    <row r="40" customFormat="false" ht="27.75" hidden="false" customHeight="true" outlineLevel="0" collapsed="false">
      <c r="B40" s="9"/>
      <c r="C40" s="9"/>
      <c r="D40" s="9"/>
      <c r="E40" s="9"/>
      <c r="F40" s="9"/>
      <c r="G40" s="9"/>
      <c r="H40" s="9"/>
      <c r="I40" s="24"/>
      <c r="J40" s="9"/>
      <c r="K40" s="9"/>
      <c r="L40" s="9"/>
      <c r="M40" s="9"/>
      <c r="N40" s="9"/>
    </row>
    <row r="41" customFormat="false" ht="27.75" hidden="false" customHeight="true" outlineLevel="0" collapsed="false">
      <c r="B41" s="13"/>
      <c r="C41" s="13"/>
      <c r="D41" s="13"/>
      <c r="E41" s="13"/>
      <c r="F41" s="13"/>
      <c r="G41" s="13"/>
      <c r="H41" s="13"/>
      <c r="I41" s="26"/>
      <c r="J41" s="13"/>
      <c r="K41" s="13"/>
      <c r="L41" s="13"/>
      <c r="M41" s="13"/>
      <c r="N41" s="13"/>
    </row>
    <row r="42" customFormat="false" ht="27.75" hidden="false" customHeight="true" outlineLevel="0" collapsed="false">
      <c r="B42" s="9"/>
      <c r="C42" s="9"/>
      <c r="D42" s="9"/>
      <c r="E42" s="9"/>
      <c r="F42" s="9"/>
      <c r="G42" s="9"/>
      <c r="H42" s="9"/>
      <c r="I42" s="24"/>
      <c r="J42" s="9"/>
      <c r="K42" s="9"/>
      <c r="L42" s="9"/>
      <c r="M42" s="9"/>
      <c r="N42" s="9"/>
    </row>
    <row r="43" customFormat="false" ht="27.75" hidden="false" customHeight="true" outlineLevel="0" collapsed="false">
      <c r="B43" s="13"/>
      <c r="C43" s="13"/>
      <c r="D43" s="13"/>
      <c r="E43" s="13"/>
      <c r="F43" s="13"/>
      <c r="G43" s="13"/>
      <c r="H43" s="13"/>
      <c r="I43" s="26"/>
      <c r="J43" s="13"/>
      <c r="K43" s="13"/>
      <c r="L43" s="13"/>
      <c r="M43" s="13"/>
      <c r="N43" s="13"/>
    </row>
    <row r="44" customFormat="false" ht="27.75" hidden="false" customHeight="true" outlineLevel="0" collapsed="false">
      <c r="B44" s="9"/>
      <c r="C44" s="9"/>
      <c r="D44" s="9"/>
      <c r="E44" s="9"/>
      <c r="F44" s="9"/>
      <c r="G44" s="9"/>
      <c r="H44" s="9"/>
      <c r="I44" s="24"/>
      <c r="J44" s="9"/>
      <c r="K44" s="9"/>
      <c r="L44" s="9"/>
      <c r="M44" s="9"/>
      <c r="N44" s="9"/>
    </row>
    <row r="45" customFormat="false" ht="27.75" hidden="false" customHeight="true" outlineLevel="0" collapsed="false">
      <c r="B45" s="13"/>
      <c r="C45" s="13"/>
      <c r="D45" s="13"/>
      <c r="E45" s="13"/>
      <c r="F45" s="13"/>
      <c r="G45" s="13"/>
      <c r="H45" s="13"/>
      <c r="I45" s="26"/>
      <c r="J45" s="13"/>
      <c r="K45" s="13"/>
      <c r="L45" s="13"/>
      <c r="M45" s="13"/>
      <c r="N45" s="13"/>
    </row>
    <row r="46" customFormat="false" ht="27.75" hidden="false" customHeight="true" outlineLevel="0" collapsed="false">
      <c r="B46" s="9"/>
      <c r="C46" s="9"/>
      <c r="D46" s="9"/>
      <c r="E46" s="9"/>
      <c r="F46" s="9"/>
      <c r="G46" s="9"/>
      <c r="H46" s="9"/>
      <c r="I46" s="24"/>
      <c r="J46" s="9"/>
      <c r="K46" s="9"/>
      <c r="L46" s="9"/>
      <c r="M46" s="9"/>
      <c r="N46" s="9"/>
    </row>
    <row r="47" customFormat="false" ht="27.75" hidden="false" customHeight="true" outlineLevel="0" collapsed="false">
      <c r="B47" s="13"/>
      <c r="C47" s="13"/>
      <c r="D47" s="13"/>
      <c r="E47" s="13"/>
      <c r="F47" s="13"/>
      <c r="G47" s="13"/>
      <c r="H47" s="13"/>
      <c r="I47" s="26"/>
      <c r="J47" s="13"/>
      <c r="K47" s="13"/>
      <c r="L47" s="13"/>
      <c r="M47" s="13"/>
      <c r="N47" s="13"/>
    </row>
    <row r="48" customFormat="false" ht="27.75" hidden="false" customHeight="true" outlineLevel="0" collapsed="false">
      <c r="B48" s="9"/>
      <c r="C48" s="9"/>
      <c r="D48" s="9"/>
      <c r="E48" s="9"/>
      <c r="F48" s="9"/>
      <c r="G48" s="9"/>
      <c r="H48" s="9"/>
      <c r="I48" s="24"/>
      <c r="J48" s="9"/>
      <c r="K48" s="9"/>
      <c r="L48" s="9"/>
      <c r="M48" s="9"/>
      <c r="N48" s="9"/>
    </row>
    <row r="49" customFormat="false" ht="27.75" hidden="false" customHeight="true" outlineLevel="0" collapsed="false">
      <c r="B49" s="13"/>
      <c r="C49" s="13"/>
      <c r="D49" s="13"/>
      <c r="E49" s="13"/>
      <c r="F49" s="13"/>
      <c r="G49" s="13"/>
      <c r="H49" s="13"/>
      <c r="I49" s="26"/>
      <c r="J49" s="13"/>
      <c r="K49" s="13"/>
      <c r="L49" s="13"/>
      <c r="M49" s="13"/>
      <c r="N49" s="13"/>
    </row>
    <row r="50" customFormat="false" ht="27.75" hidden="false" customHeight="true" outlineLevel="0" collapsed="false">
      <c r="B50" s="9"/>
      <c r="C50" s="9"/>
      <c r="D50" s="9"/>
      <c r="E50" s="9"/>
      <c r="F50" s="9"/>
      <c r="G50" s="9"/>
      <c r="H50" s="9"/>
      <c r="I50" s="24"/>
      <c r="J50" s="9"/>
      <c r="K50" s="9"/>
      <c r="L50" s="9"/>
      <c r="M50" s="9"/>
      <c r="N50" s="9"/>
    </row>
    <row r="51" customFormat="false" ht="27.75" hidden="false" customHeight="true" outlineLevel="0" collapsed="false">
      <c r="B51" s="13"/>
      <c r="C51" s="13"/>
      <c r="D51" s="13"/>
      <c r="E51" s="13"/>
      <c r="F51" s="13"/>
      <c r="G51" s="13"/>
      <c r="H51" s="13"/>
      <c r="I51" s="26"/>
      <c r="J51" s="13"/>
      <c r="K51" s="13"/>
      <c r="L51" s="13"/>
      <c r="M51" s="13"/>
      <c r="N51" s="13"/>
    </row>
    <row r="52" customFormat="false" ht="27.75" hidden="false" customHeight="true" outlineLevel="0" collapsed="false">
      <c r="B52" s="9"/>
      <c r="C52" s="9"/>
      <c r="D52" s="9"/>
      <c r="E52" s="9"/>
      <c r="F52" s="9"/>
      <c r="G52" s="9"/>
      <c r="H52" s="9"/>
      <c r="I52" s="24"/>
      <c r="J52" s="9"/>
      <c r="K52" s="9"/>
      <c r="L52" s="9"/>
      <c r="M52" s="9"/>
      <c r="N52" s="9"/>
    </row>
    <row r="53" customFormat="false" ht="27.75" hidden="false" customHeight="true" outlineLevel="0" collapsed="false">
      <c r="B53" s="13"/>
      <c r="C53" s="13"/>
      <c r="D53" s="13"/>
      <c r="E53" s="13"/>
      <c r="F53" s="13"/>
      <c r="G53" s="13"/>
      <c r="H53" s="13"/>
      <c r="I53" s="26"/>
      <c r="J53" s="13"/>
      <c r="K53" s="13"/>
      <c r="L53" s="13"/>
      <c r="M53" s="13"/>
      <c r="N53" s="13"/>
    </row>
    <row r="54" customFormat="false" ht="27.75" hidden="false" customHeight="true" outlineLevel="0" collapsed="false">
      <c r="B54" s="9"/>
      <c r="C54" s="9"/>
      <c r="D54" s="9"/>
      <c r="E54" s="9"/>
      <c r="F54" s="9"/>
      <c r="G54" s="9"/>
      <c r="H54" s="9"/>
      <c r="I54" s="24"/>
      <c r="J54" s="9"/>
      <c r="K54" s="9"/>
      <c r="L54" s="9"/>
      <c r="M54" s="9"/>
      <c r="N54" s="9"/>
    </row>
    <row r="55" customFormat="false" ht="27.75" hidden="false" customHeight="true" outlineLevel="0" collapsed="false">
      <c r="B55" s="13"/>
      <c r="C55" s="13"/>
      <c r="D55" s="13"/>
      <c r="E55" s="13"/>
      <c r="F55" s="13"/>
      <c r="G55" s="13"/>
      <c r="H55" s="13"/>
      <c r="I55" s="26"/>
      <c r="J55" s="13"/>
      <c r="K55" s="13"/>
      <c r="L55" s="13"/>
      <c r="M55" s="13"/>
      <c r="N55" s="13"/>
    </row>
    <row r="56" customFormat="false" ht="27.75" hidden="false" customHeight="true" outlineLevel="0" collapsed="false">
      <c r="B56" s="9"/>
      <c r="C56" s="9"/>
      <c r="D56" s="9"/>
      <c r="E56" s="9"/>
      <c r="F56" s="9"/>
      <c r="G56" s="9"/>
      <c r="H56" s="9"/>
      <c r="I56" s="24"/>
      <c r="J56" s="9"/>
      <c r="K56" s="9"/>
      <c r="L56" s="9"/>
      <c r="M56" s="9"/>
      <c r="N56" s="9"/>
    </row>
    <row r="57" customFormat="false" ht="27.75" hidden="false" customHeight="true" outlineLevel="0" collapsed="false">
      <c r="B57" s="13"/>
      <c r="C57" s="13"/>
      <c r="D57" s="13"/>
      <c r="E57" s="13"/>
      <c r="F57" s="13"/>
      <c r="G57" s="13"/>
      <c r="H57" s="13"/>
      <c r="I57" s="26"/>
      <c r="J57" s="13"/>
      <c r="K57" s="13"/>
      <c r="L57" s="13"/>
      <c r="M57" s="13"/>
      <c r="N57" s="13"/>
    </row>
    <row r="58" customFormat="false" ht="27.75" hidden="false" customHeight="true" outlineLevel="0" collapsed="false">
      <c r="B58" s="9"/>
      <c r="C58" s="9"/>
      <c r="D58" s="9"/>
      <c r="E58" s="9"/>
      <c r="F58" s="9"/>
      <c r="G58" s="9"/>
      <c r="H58" s="9"/>
      <c r="I58" s="24"/>
      <c r="J58" s="9"/>
      <c r="K58" s="9"/>
      <c r="L58" s="9"/>
      <c r="M58" s="9"/>
      <c r="N58" s="9"/>
    </row>
    <row r="59" customFormat="false" ht="27.75" hidden="false" customHeight="true" outlineLevel="0" collapsed="false">
      <c r="B59" s="13"/>
      <c r="C59" s="13"/>
      <c r="D59" s="13"/>
      <c r="E59" s="13"/>
      <c r="F59" s="13"/>
      <c r="G59" s="13"/>
      <c r="H59" s="13"/>
      <c r="I59" s="26"/>
      <c r="J59" s="13"/>
      <c r="K59" s="13"/>
      <c r="L59" s="13"/>
      <c r="M59" s="13"/>
      <c r="N59" s="13"/>
    </row>
    <row r="60" customFormat="false" ht="27.75" hidden="false" customHeight="true" outlineLevel="0" collapsed="false">
      <c r="B60" s="9"/>
      <c r="C60" s="9"/>
      <c r="D60" s="9"/>
      <c r="E60" s="9"/>
      <c r="F60" s="9"/>
      <c r="G60" s="9"/>
      <c r="H60" s="9"/>
      <c r="I60" s="24"/>
      <c r="J60" s="9"/>
      <c r="K60" s="9"/>
      <c r="L60" s="9"/>
      <c r="M60" s="9"/>
      <c r="N60" s="9"/>
    </row>
    <row r="61" customFormat="false" ht="27.75" hidden="false" customHeight="true" outlineLevel="0" collapsed="false">
      <c r="B61" s="13"/>
      <c r="C61" s="13"/>
      <c r="D61" s="13"/>
      <c r="E61" s="13"/>
      <c r="F61" s="13"/>
      <c r="G61" s="13"/>
      <c r="H61" s="13"/>
      <c r="I61" s="26"/>
      <c r="J61" s="13"/>
      <c r="K61" s="13"/>
      <c r="L61" s="13"/>
      <c r="M61" s="13"/>
      <c r="N61" s="13"/>
    </row>
    <row r="62" customFormat="false" ht="27.75" hidden="false" customHeight="true" outlineLevel="0" collapsed="false">
      <c r="B62" s="9"/>
      <c r="C62" s="9"/>
      <c r="D62" s="9"/>
      <c r="E62" s="9"/>
      <c r="F62" s="9"/>
      <c r="G62" s="9"/>
      <c r="H62" s="9"/>
      <c r="I62" s="24"/>
      <c r="J62" s="9"/>
      <c r="K62" s="9"/>
      <c r="L62" s="9"/>
      <c r="M62" s="9"/>
      <c r="N62" s="9"/>
    </row>
    <row r="63" customFormat="false" ht="27.75" hidden="false" customHeight="true" outlineLevel="0" collapsed="false">
      <c r="B63" s="13"/>
      <c r="C63" s="13"/>
      <c r="D63" s="13"/>
      <c r="E63" s="13"/>
      <c r="F63" s="13"/>
      <c r="G63" s="13"/>
      <c r="H63" s="13"/>
      <c r="I63" s="26"/>
      <c r="J63" s="13"/>
      <c r="K63" s="13"/>
      <c r="L63" s="13"/>
      <c r="M63" s="13"/>
      <c r="N63" s="13"/>
    </row>
    <row r="64" customFormat="false" ht="27.75" hidden="false" customHeight="true" outlineLevel="0" collapsed="false">
      <c r="B64" s="9"/>
      <c r="C64" s="9"/>
      <c r="D64" s="9"/>
      <c r="E64" s="9"/>
      <c r="F64" s="9"/>
      <c r="G64" s="9"/>
      <c r="H64" s="9"/>
      <c r="I64" s="24"/>
      <c r="J64" s="9"/>
      <c r="K64" s="9"/>
      <c r="L64" s="9"/>
      <c r="M64" s="9"/>
      <c r="N64" s="9"/>
    </row>
    <row r="65" customFormat="false" ht="27.75" hidden="false" customHeight="true" outlineLevel="0" collapsed="false">
      <c r="B65" s="13"/>
      <c r="C65" s="13"/>
      <c r="D65" s="13"/>
      <c r="E65" s="13"/>
      <c r="F65" s="13"/>
      <c r="G65" s="13"/>
      <c r="H65" s="13"/>
      <c r="I65" s="26"/>
      <c r="J65" s="13"/>
      <c r="K65" s="13"/>
      <c r="L65" s="13"/>
      <c r="M65" s="13"/>
      <c r="N65" s="13"/>
    </row>
    <row r="66" customFormat="false" ht="27.75" hidden="false" customHeight="true" outlineLevel="0" collapsed="false">
      <c r="B66" s="9"/>
      <c r="C66" s="9"/>
      <c r="D66" s="9"/>
      <c r="E66" s="9"/>
      <c r="F66" s="9"/>
      <c r="G66" s="9"/>
      <c r="H66" s="9"/>
      <c r="I66" s="24"/>
      <c r="J66" s="9"/>
      <c r="K66" s="9"/>
      <c r="L66" s="9"/>
      <c r="M66" s="9"/>
      <c r="N66" s="9"/>
    </row>
    <row r="67" customFormat="false" ht="27.75" hidden="false" customHeight="true" outlineLevel="0" collapsed="false">
      <c r="B67" s="13"/>
      <c r="C67" s="13"/>
      <c r="D67" s="13"/>
      <c r="E67" s="13"/>
      <c r="F67" s="13"/>
      <c r="G67" s="13"/>
      <c r="H67" s="13"/>
      <c r="I67" s="26"/>
      <c r="J67" s="13"/>
      <c r="K67" s="13"/>
      <c r="L67" s="13"/>
      <c r="M67" s="13"/>
      <c r="N67" s="13"/>
    </row>
    <row r="68" customFormat="false" ht="27.75" hidden="false" customHeight="true" outlineLevel="0" collapsed="false">
      <c r="B68" s="9"/>
      <c r="C68" s="9"/>
      <c r="D68" s="9"/>
      <c r="E68" s="9"/>
      <c r="F68" s="9"/>
      <c r="G68" s="9"/>
      <c r="H68" s="9"/>
      <c r="I68" s="24"/>
      <c r="J68" s="9"/>
      <c r="K68" s="9"/>
      <c r="L68" s="9"/>
      <c r="M68" s="9"/>
      <c r="N68" s="9"/>
    </row>
    <row r="69" customFormat="false" ht="27.75" hidden="false" customHeight="true" outlineLevel="0" collapsed="false">
      <c r="B69" s="13"/>
      <c r="C69" s="13"/>
      <c r="D69" s="13"/>
      <c r="E69" s="13"/>
      <c r="F69" s="13"/>
      <c r="G69" s="13"/>
      <c r="H69" s="13"/>
      <c r="I69" s="26"/>
      <c r="J69" s="13"/>
      <c r="K69" s="13"/>
      <c r="L69" s="13"/>
      <c r="M69" s="13"/>
      <c r="N69" s="13"/>
    </row>
    <row r="70" customFormat="false" ht="27.75" hidden="false" customHeight="true" outlineLevel="0" collapsed="false">
      <c r="B70" s="9"/>
      <c r="C70" s="9"/>
      <c r="D70" s="9"/>
      <c r="E70" s="9"/>
      <c r="F70" s="9"/>
      <c r="G70" s="9"/>
      <c r="H70" s="9"/>
      <c r="I70" s="24"/>
      <c r="J70" s="9"/>
      <c r="K70" s="9"/>
      <c r="L70" s="9"/>
      <c r="M70" s="9"/>
      <c r="N70" s="9"/>
    </row>
    <row r="71" customFormat="false" ht="27.75" hidden="false" customHeight="true" outlineLevel="0" collapsed="false">
      <c r="B71" s="13"/>
      <c r="C71" s="13"/>
      <c r="D71" s="13"/>
      <c r="E71" s="13"/>
      <c r="F71" s="13"/>
      <c r="G71" s="13"/>
      <c r="H71" s="13"/>
      <c r="I71" s="26"/>
      <c r="J71" s="13"/>
      <c r="K71" s="13"/>
      <c r="L71" s="13"/>
      <c r="M71" s="13"/>
      <c r="N71" s="13"/>
    </row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>
      <c r="B75" s="20" t="s">
        <v>220</v>
      </c>
    </row>
    <row r="76" customFormat="false" ht="16.5" hidden="false" customHeight="true" outlineLevel="0" collapsed="false"/>
    <row r="77" customFormat="false" ht="36" hidden="false" customHeight="true" outlineLevel="0" collapsed="false">
      <c r="B77" s="5" t="s">
        <v>382</v>
      </c>
      <c r="C77" s="16" t="s">
        <v>389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customFormat="false" ht="36" hidden="false" customHeight="true" outlineLevel="0" collapsed="false">
      <c r="B78" s="5" t="s">
        <v>383</v>
      </c>
      <c r="C78" s="16" t="s">
        <v>390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customFormat="false" ht="36" hidden="false" customHeight="true" outlineLevel="0" collapsed="false">
      <c r="B79" s="5" t="s">
        <v>234</v>
      </c>
      <c r="C79" s="16" t="s">
        <v>391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customFormat="false" ht="36" hidden="false" customHeight="true" outlineLevel="0" collapsed="false">
      <c r="B80" s="5" t="s">
        <v>386</v>
      </c>
      <c r="C80" s="16" t="s">
        <v>392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customFormat="false" ht="36" hidden="false" customHeight="true" outlineLevel="0" collapsed="false">
      <c r="B81" s="5" t="s">
        <v>18</v>
      </c>
      <c r="C81" s="16" t="s">
        <v>393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customFormat="false" ht="36" hidden="false" customHeight="true" outlineLevel="0" collapsed="false">
      <c r="B82" s="5" t="s">
        <v>394</v>
      </c>
      <c r="C82" s="16" t="s">
        <v>395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customFormat="false" ht="36" hidden="false" customHeight="true" outlineLevel="0" collapsed="false">
      <c r="B83" s="5" t="s">
        <v>396</v>
      </c>
      <c r="C83" s="16" t="s">
        <v>397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customFormat="false" ht="36" hidden="false" customHeight="true" outlineLevel="0" collapsed="false">
      <c r="B84" s="5" t="s">
        <v>377</v>
      </c>
      <c r="C84" s="16" t="s">
        <v>398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</row>
  </sheetData>
  <mergeCells count="8">
    <mergeCell ref="C77:M77"/>
    <mergeCell ref="C78:M78"/>
    <mergeCell ref="C79:M79"/>
    <mergeCell ref="C80:M80"/>
    <mergeCell ref="C81:M81"/>
    <mergeCell ref="C82:M82"/>
    <mergeCell ref="C83:M83"/>
    <mergeCell ref="C84:M84"/>
  </mergeCells>
  <conditionalFormatting sqref="K12:K71">
    <cfRule type="expression" priority="2" aboveAverage="0" equalAverage="0" bottom="0" percent="0" rank="0" text="" dxfId="2">
      <formula>OR(EXACT(K12,"Verified"),EXACT(K12,"Done"))</formula>
    </cfRule>
    <cfRule type="expression" priority="3" aboveAverage="0" equalAverage="0" bottom="0" percent="0" rank="0" text="" dxfId="1">
      <formula>EXACT(K12,"In Progress")</formula>
    </cfRule>
    <cfRule type="expression" priority="4" aboveAverage="0" equalAverage="0" bottom="0" percent="0" rank="0" text="" dxfId="0">
      <formula>OR(EXACT(K12,"Open"),EXACT(K12,"Dropped"))</formula>
    </cfRule>
  </conditionalFormatting>
  <conditionalFormatting sqref="L12:L71">
    <cfRule type="expression" priority="5" aboveAverage="0" equalAverage="0" bottom="0" percent="0" rank="0" text="" dxfId="2">
      <formula>EXACT(L12,"Confirmed effective")</formula>
    </cfRule>
    <cfRule type="expression" priority="6" aboveAverage="0" equalAverage="0" bottom="0" percent="0" rank="0" text="" dxfId="0">
      <formula>EXACT(L12,"Not effective")</formula>
    </cfRule>
    <cfRule type="expression" priority="7" aboveAverage="0" equalAverage="0" bottom="0" percent="0" rank="0" text="" dxfId="1">
      <formula>EXACT(L12,"Partially effective")</formula>
    </cfRule>
  </conditionalFormatting>
  <conditionalFormatting sqref="M12:M71">
    <cfRule type="expression" priority="8" aboveAverage="0" equalAverage="0" bottom="0" percent="0" rank="0" text="" dxfId="0">
      <formula>EXACT(M12,"Yes")</formula>
    </cfRule>
    <cfRule type="expression" priority="9" aboveAverage="0" equalAverage="0" bottom="0" percent="0" rank="0" text="" dxfId="2">
      <formula>EXACT(M12,"No")</formula>
    </cfRule>
  </conditionalFormatting>
  <conditionalFormatting sqref="I12:I71">
    <cfRule type="expression" priority="10" aboveAverage="0" equalAverage="0" bottom="0" percent="0" rank="0" text="" dxfId="0">
      <formula>AND(I12&lt;&gt;"",I12&lt;TODAY(),K12&lt;&gt;"Done",K12&lt;&gt;"Verified",K12&lt;&gt;"Dropped")</formula>
    </cfRule>
  </conditionalFormatting>
  <dataValidations count="6">
    <dataValidation allowBlank="true" errorStyle="stop" operator="between" showDropDown="false" showErrorMessage="false" showInputMessage="false" sqref="D12:D71" type="list">
      <formula1>"SEV-1,SEV-2,SEV-3,SEV-4"</formula1>
      <formula2>0</formula2>
    </dataValidation>
    <dataValidation allowBlank="true" errorStyle="stop" operator="between" showDropDown="false" showErrorMessage="false" showInputMessage="false" sqref="E12:E71" type="list">
      <formula1>"Code fix,Infrastructure,Process,Tooling,Training,Policy,Detection / monitoring"</formula1>
      <formula2>0</formula2>
    </dataValidation>
    <dataValidation allowBlank="true" errorStyle="stop" operator="between" showDropDown="false" showErrorMessage="false" showInputMessage="false" sqref="J12:J71" type="list">
      <formula1>"P0 (immediate),P1 (this sprint),P2 (this quarter),P3 (backlog)"</formula1>
      <formula2>0</formula2>
    </dataValidation>
    <dataValidation allowBlank="true" errorStyle="stop" operator="between" showDropDown="false" showErrorMessage="false" showInputMessage="false" sqref="K12:K71" type="list">
      <formula1>"Open,In Progress,Done,Verified,Dropped"</formula1>
      <formula2>0</formula2>
    </dataValidation>
    <dataValidation allowBlank="true" errorStyle="stop" operator="between" showDropDown="false" showErrorMessage="false" showInputMessage="false" sqref="L12:L71" type="list">
      <formula1>"Not yet verified,Confirmed effective,Partially effective,Not effective"</formula1>
      <formula2>0</formula2>
    </dataValidation>
    <dataValidation allowBlank="true" errorStyle="stop" operator="between" showDropDown="false" showErrorMessage="false" showInputMessage="false" sqref="M12:M71" type="list">
      <formula1>"No,Yes,N/A — verification 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36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92</v>
      </c>
    </row>
    <row r="3" customFormat="false" ht="16.5" hidden="false" customHeight="true" outlineLevel="0" collapsed="false">
      <c r="B3" s="2" t="s">
        <v>399</v>
      </c>
    </row>
    <row r="4" customFormat="false" ht="16.5" hidden="false" customHeight="true" outlineLevel="0" collapsed="false"/>
    <row r="5" customFormat="false" ht="31.5" hidden="false" customHeight="true" outlineLevel="0" collapsed="false">
      <c r="B5" s="7" t="s">
        <v>233</v>
      </c>
      <c r="C5" s="7" t="s">
        <v>124</v>
      </c>
      <c r="D5" s="7" t="s">
        <v>282</v>
      </c>
      <c r="E5" s="7" t="s">
        <v>400</v>
      </c>
      <c r="F5" s="7" t="s">
        <v>401</v>
      </c>
      <c r="G5" s="7" t="s">
        <v>402</v>
      </c>
      <c r="H5" s="7" t="s">
        <v>18</v>
      </c>
    </row>
    <row r="6" customFormat="false" ht="27.75" hidden="false" customHeight="true" outlineLevel="0" collapsed="false">
      <c r="B6" s="9"/>
      <c r="C6" s="24"/>
      <c r="D6" s="9"/>
      <c r="E6" s="9"/>
      <c r="F6" s="9"/>
      <c r="G6" s="9"/>
      <c r="H6" s="9"/>
    </row>
    <row r="7" customFormat="false" ht="27.75" hidden="false" customHeight="true" outlineLevel="0" collapsed="false">
      <c r="B7" s="13"/>
      <c r="C7" s="26"/>
      <c r="D7" s="13"/>
      <c r="E7" s="13"/>
      <c r="F7" s="13"/>
      <c r="G7" s="13"/>
      <c r="H7" s="13"/>
    </row>
    <row r="8" customFormat="false" ht="27.75" hidden="false" customHeight="true" outlineLevel="0" collapsed="false">
      <c r="B8" s="9"/>
      <c r="C8" s="24"/>
      <c r="D8" s="9"/>
      <c r="E8" s="9"/>
      <c r="F8" s="9"/>
      <c r="G8" s="9"/>
      <c r="H8" s="9"/>
    </row>
    <row r="9" customFormat="false" ht="27.75" hidden="false" customHeight="true" outlineLevel="0" collapsed="false">
      <c r="B9" s="13"/>
      <c r="C9" s="26"/>
      <c r="D9" s="13"/>
      <c r="E9" s="13"/>
      <c r="F9" s="13"/>
      <c r="G9" s="13"/>
      <c r="H9" s="13"/>
    </row>
    <row r="10" customFormat="false" ht="27.75" hidden="false" customHeight="true" outlineLevel="0" collapsed="false">
      <c r="B10" s="9"/>
      <c r="C10" s="24"/>
      <c r="D10" s="9"/>
      <c r="E10" s="9"/>
      <c r="F10" s="9"/>
      <c r="G10" s="9"/>
      <c r="H10" s="9"/>
    </row>
    <row r="11" customFormat="false" ht="27.75" hidden="false" customHeight="true" outlineLevel="0" collapsed="false">
      <c r="B11" s="13"/>
      <c r="C11" s="26"/>
      <c r="D11" s="13"/>
      <c r="E11" s="13"/>
      <c r="F11" s="13"/>
      <c r="G11" s="13"/>
      <c r="H11" s="13"/>
    </row>
    <row r="12" customFormat="false" ht="27.75" hidden="false" customHeight="true" outlineLevel="0" collapsed="false">
      <c r="B12" s="9"/>
      <c r="C12" s="24"/>
      <c r="D12" s="9"/>
      <c r="E12" s="9"/>
      <c r="F12" s="9"/>
      <c r="G12" s="9"/>
      <c r="H12" s="9"/>
    </row>
    <row r="13" customFormat="false" ht="27.75" hidden="false" customHeight="true" outlineLevel="0" collapsed="false">
      <c r="B13" s="13"/>
      <c r="C13" s="26"/>
      <c r="D13" s="13"/>
      <c r="E13" s="13"/>
      <c r="F13" s="13"/>
      <c r="G13" s="13"/>
      <c r="H13" s="13"/>
    </row>
    <row r="14" customFormat="false" ht="27.75" hidden="false" customHeight="true" outlineLevel="0" collapsed="false">
      <c r="B14" s="9"/>
      <c r="C14" s="24"/>
      <c r="D14" s="9"/>
      <c r="E14" s="9"/>
      <c r="F14" s="9"/>
      <c r="G14" s="9"/>
      <c r="H14" s="9"/>
    </row>
    <row r="15" customFormat="false" ht="27.75" hidden="false" customHeight="true" outlineLevel="0" collapsed="false">
      <c r="B15" s="13"/>
      <c r="C15" s="26"/>
      <c r="D15" s="13"/>
      <c r="E15" s="13"/>
      <c r="F15" s="13"/>
      <c r="G15" s="13"/>
      <c r="H15" s="13"/>
    </row>
    <row r="16" customFormat="false" ht="27.75" hidden="false" customHeight="true" outlineLevel="0" collapsed="false">
      <c r="B16" s="9"/>
      <c r="C16" s="24"/>
      <c r="D16" s="9"/>
      <c r="E16" s="9"/>
      <c r="F16" s="9"/>
      <c r="G16" s="9"/>
      <c r="H16" s="9"/>
    </row>
    <row r="17" customFormat="false" ht="27.75" hidden="false" customHeight="true" outlineLevel="0" collapsed="false">
      <c r="B17" s="13"/>
      <c r="C17" s="26"/>
      <c r="D17" s="13"/>
      <c r="E17" s="13"/>
      <c r="F17" s="13"/>
      <c r="G17" s="13"/>
      <c r="H17" s="13"/>
    </row>
    <row r="18" customFormat="false" ht="27.75" hidden="false" customHeight="true" outlineLevel="0" collapsed="false">
      <c r="B18" s="9"/>
      <c r="C18" s="24"/>
      <c r="D18" s="9"/>
      <c r="E18" s="9"/>
      <c r="F18" s="9"/>
      <c r="G18" s="9"/>
      <c r="H18" s="9"/>
    </row>
    <row r="19" customFormat="false" ht="27.75" hidden="false" customHeight="true" outlineLevel="0" collapsed="false">
      <c r="B19" s="13"/>
      <c r="C19" s="26"/>
      <c r="D19" s="13"/>
      <c r="E19" s="13"/>
      <c r="F19" s="13"/>
      <c r="G19" s="13"/>
      <c r="H19" s="13"/>
    </row>
    <row r="20" customFormat="false" ht="27.75" hidden="false" customHeight="true" outlineLevel="0" collapsed="false">
      <c r="B20" s="9"/>
      <c r="C20" s="24"/>
      <c r="D20" s="9"/>
      <c r="E20" s="9"/>
      <c r="F20" s="9"/>
      <c r="G20" s="9"/>
      <c r="H20" s="9"/>
    </row>
    <row r="21" customFormat="false" ht="27.75" hidden="false" customHeight="true" outlineLevel="0" collapsed="false">
      <c r="B21" s="13"/>
      <c r="C21" s="26"/>
      <c r="D21" s="13"/>
      <c r="E21" s="13"/>
      <c r="F21" s="13"/>
      <c r="G21" s="13"/>
      <c r="H21" s="13"/>
    </row>
    <row r="22" customFormat="false" ht="27.75" hidden="false" customHeight="true" outlineLevel="0" collapsed="false">
      <c r="B22" s="9"/>
      <c r="C22" s="24"/>
      <c r="D22" s="9"/>
      <c r="E22" s="9"/>
      <c r="F22" s="9"/>
      <c r="G22" s="9"/>
      <c r="H22" s="9"/>
    </row>
    <row r="23" customFormat="false" ht="27.75" hidden="false" customHeight="true" outlineLevel="0" collapsed="false">
      <c r="B23" s="13"/>
      <c r="C23" s="26"/>
      <c r="D23" s="13"/>
      <c r="E23" s="13"/>
      <c r="F23" s="13"/>
      <c r="G23" s="13"/>
      <c r="H23" s="13"/>
    </row>
    <row r="24" customFormat="false" ht="27.75" hidden="false" customHeight="true" outlineLevel="0" collapsed="false">
      <c r="B24" s="9"/>
      <c r="C24" s="24"/>
      <c r="D24" s="9"/>
      <c r="E24" s="9"/>
      <c r="F24" s="9"/>
      <c r="G24" s="9"/>
      <c r="H24" s="9"/>
    </row>
    <row r="25" customFormat="false" ht="27.75" hidden="false" customHeight="true" outlineLevel="0" collapsed="false">
      <c r="B25" s="13"/>
      <c r="C25" s="26"/>
      <c r="D25" s="13"/>
      <c r="E25" s="13"/>
      <c r="F25" s="13"/>
      <c r="G25" s="13"/>
      <c r="H25" s="13"/>
    </row>
    <row r="26" customFormat="false" ht="27.75" hidden="false" customHeight="true" outlineLevel="0" collapsed="false">
      <c r="B26" s="9"/>
      <c r="C26" s="24"/>
      <c r="D26" s="9"/>
      <c r="E26" s="9"/>
      <c r="F26" s="9"/>
      <c r="G26" s="9"/>
      <c r="H26" s="9"/>
    </row>
    <row r="27" customFormat="false" ht="27.75" hidden="false" customHeight="true" outlineLevel="0" collapsed="false">
      <c r="B27" s="13"/>
      <c r="C27" s="26"/>
      <c r="D27" s="13"/>
      <c r="E27" s="13"/>
      <c r="F27" s="13"/>
      <c r="G27" s="13"/>
      <c r="H27" s="13"/>
    </row>
    <row r="28" customFormat="false" ht="27.75" hidden="false" customHeight="true" outlineLevel="0" collapsed="false">
      <c r="B28" s="9"/>
      <c r="C28" s="24"/>
      <c r="D28" s="9"/>
      <c r="E28" s="9"/>
      <c r="F28" s="9"/>
      <c r="G28" s="9"/>
      <c r="H28" s="9"/>
    </row>
    <row r="29" customFormat="false" ht="27.75" hidden="false" customHeight="true" outlineLevel="0" collapsed="false">
      <c r="B29" s="13"/>
      <c r="C29" s="26"/>
      <c r="D29" s="13"/>
      <c r="E29" s="13"/>
      <c r="F29" s="13"/>
      <c r="G29" s="13"/>
      <c r="H29" s="13"/>
    </row>
    <row r="30" customFormat="false" ht="27.75" hidden="false" customHeight="true" outlineLevel="0" collapsed="false">
      <c r="B30" s="9"/>
      <c r="C30" s="24"/>
      <c r="D30" s="9"/>
      <c r="E30" s="9"/>
      <c r="F30" s="9"/>
      <c r="G30" s="9"/>
      <c r="H30" s="9"/>
    </row>
  </sheetData>
  <dataValidations count="2">
    <dataValidation allowBlank="true" errorStyle="stop" operator="between" showDropDown="false" showErrorMessage="false" showInputMessage="false" sqref="D6:D30" type="list">
      <formula1>"Process,Tools,Comms,Staffing,Vendor,Technical,Strategic,Stakeholder"</formula1>
      <formula2>0</formula2>
    </dataValidation>
    <dataValidation allowBlank="true" errorStyle="stop" operator="between" showDropDown="false" showErrorMessage="false" showInputMessage="false" sqref="H6:H30" type="list">
      <formula1>"Captured,Shared,Applied,In knowledge base"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6.5" hidden="false" customHeight="true" outlineLevel="0" collapsed="false"/>
    <row r="2" customFormat="false" ht="27.75" hidden="false" customHeight="true" outlineLevel="0" collapsed="false">
      <c r="B2" s="15" t="s">
        <v>403</v>
      </c>
    </row>
    <row r="3" customFormat="false" ht="16.5" hidden="false" customHeight="true" outlineLevel="0" collapsed="false">
      <c r="B3" s="2" t="s">
        <v>404</v>
      </c>
    </row>
    <row r="4" customFormat="false" ht="16.5" hidden="false" customHeight="true" outlineLevel="0" collapsed="false"/>
    <row r="5" customFormat="false" ht="27.75" hidden="false" customHeight="true" outlineLevel="0" collapsed="false">
      <c r="B5" s="5" t="s">
        <v>4</v>
      </c>
      <c r="C5" s="6"/>
    </row>
    <row r="6" customFormat="false" ht="27.75" hidden="false" customHeight="true" outlineLevel="0" collapsed="false">
      <c r="B6" s="5" t="s">
        <v>405</v>
      </c>
      <c r="C6" s="6"/>
    </row>
    <row r="7" customFormat="false" ht="27.75" hidden="false" customHeight="true" outlineLevel="0" collapsed="false">
      <c r="B7" s="5" t="s">
        <v>341</v>
      </c>
      <c r="C7" s="6"/>
    </row>
    <row r="8" customFormat="false" ht="21.75" hidden="false" customHeight="true" outlineLevel="0" collapsed="false">
      <c r="B8" s="17" t="s">
        <v>406</v>
      </c>
      <c r="C8" s="17"/>
    </row>
    <row r="9" customFormat="false" ht="36" hidden="false" customHeight="true" outlineLevel="0" collapsed="false">
      <c r="B9" s="5" t="s">
        <v>407</v>
      </c>
      <c r="C9" s="16" t="s">
        <v>408</v>
      </c>
    </row>
    <row r="10" customFormat="false" ht="36" hidden="false" customHeight="true" outlineLevel="0" collapsed="false">
      <c r="B10" s="5" t="s">
        <v>409</v>
      </c>
      <c r="C10" s="16" t="s">
        <v>410</v>
      </c>
    </row>
    <row r="11" customFormat="false" ht="36" hidden="false" customHeight="true" outlineLevel="0" collapsed="false">
      <c r="B11" s="5" t="s">
        <v>411</v>
      </c>
      <c r="C11" s="16" t="s">
        <v>412</v>
      </c>
    </row>
    <row r="12" customFormat="false" ht="36" hidden="false" customHeight="true" outlineLevel="0" collapsed="false">
      <c r="B12" s="5" t="s">
        <v>413</v>
      </c>
      <c r="C12" s="16" t="s">
        <v>414</v>
      </c>
    </row>
    <row r="13" customFormat="false" ht="36" hidden="false" customHeight="true" outlineLevel="0" collapsed="false">
      <c r="B13" s="5" t="s">
        <v>415</v>
      </c>
      <c r="C13" s="16" t="s">
        <v>416</v>
      </c>
    </row>
    <row r="14" customFormat="false" ht="21.75" hidden="false" customHeight="true" outlineLevel="0" collapsed="false">
      <c r="B14" s="17" t="s">
        <v>417</v>
      </c>
      <c r="C14" s="17"/>
    </row>
    <row r="15" customFormat="false" ht="36" hidden="false" customHeight="true" outlineLevel="0" collapsed="false">
      <c r="B15" s="5" t="s">
        <v>418</v>
      </c>
      <c r="C15" s="16" t="s">
        <v>419</v>
      </c>
    </row>
    <row r="16" customFormat="false" ht="36" hidden="false" customHeight="true" outlineLevel="0" collapsed="false">
      <c r="B16" s="5" t="s">
        <v>420</v>
      </c>
      <c r="C16" s="16" t="s">
        <v>421</v>
      </c>
    </row>
    <row r="17" customFormat="false" ht="36" hidden="false" customHeight="true" outlineLevel="0" collapsed="false">
      <c r="B17" s="5" t="s">
        <v>422</v>
      </c>
      <c r="C17" s="16" t="s">
        <v>423</v>
      </c>
    </row>
    <row r="18" customFormat="false" ht="36" hidden="false" customHeight="true" outlineLevel="0" collapsed="false">
      <c r="B18" s="5" t="s">
        <v>424</v>
      </c>
      <c r="C18" s="16" t="s">
        <v>425</v>
      </c>
    </row>
    <row r="19" customFormat="false" ht="36" hidden="false" customHeight="true" outlineLevel="0" collapsed="false">
      <c r="B19" s="5" t="s">
        <v>426</v>
      </c>
      <c r="C19" s="16" t="s">
        <v>427</v>
      </c>
    </row>
    <row r="20" customFormat="false" ht="21.75" hidden="false" customHeight="true" outlineLevel="0" collapsed="false">
      <c r="B20" s="17" t="s">
        <v>428</v>
      </c>
      <c r="C20" s="17"/>
    </row>
    <row r="21" customFormat="false" ht="36" hidden="false" customHeight="true" outlineLevel="0" collapsed="false">
      <c r="B21" s="5" t="s">
        <v>429</v>
      </c>
      <c r="C21" s="16" t="s">
        <v>430</v>
      </c>
    </row>
    <row r="22" customFormat="false" ht="36" hidden="false" customHeight="true" outlineLevel="0" collapsed="false">
      <c r="B22" s="5" t="s">
        <v>431</v>
      </c>
      <c r="C22" s="16" t="s">
        <v>432</v>
      </c>
    </row>
    <row r="23" customFormat="false" ht="36" hidden="false" customHeight="true" outlineLevel="0" collapsed="false">
      <c r="B23" s="5" t="s">
        <v>433</v>
      </c>
      <c r="C23" s="16" t="s">
        <v>434</v>
      </c>
    </row>
    <row r="24" customFormat="false" ht="21.75" hidden="false" customHeight="true" outlineLevel="0" collapsed="false">
      <c r="B24" s="17" t="s">
        <v>435</v>
      </c>
      <c r="C24" s="17"/>
    </row>
    <row r="25" customFormat="false" ht="36" hidden="false" customHeight="true" outlineLevel="0" collapsed="false">
      <c r="B25" s="5" t="s">
        <v>436</v>
      </c>
      <c r="C25" s="16" t="s">
        <v>437</v>
      </c>
    </row>
    <row r="26" customFormat="false" ht="36" hidden="false" customHeight="true" outlineLevel="0" collapsed="false">
      <c r="B26" s="5" t="s">
        <v>438</v>
      </c>
      <c r="C26" s="16" t="s">
        <v>439</v>
      </c>
    </row>
    <row r="27" customFormat="false" ht="36" hidden="false" customHeight="true" outlineLevel="0" collapsed="false">
      <c r="B27" s="5" t="s">
        <v>440</v>
      </c>
      <c r="C27" s="16" t="s">
        <v>441</v>
      </c>
    </row>
    <row r="28" customFormat="false" ht="21.75" hidden="false" customHeight="true" outlineLevel="0" collapsed="false">
      <c r="B28" s="17" t="s">
        <v>442</v>
      </c>
      <c r="C28" s="17"/>
    </row>
    <row r="29" customFormat="false" ht="36" hidden="false" customHeight="true" outlineLevel="0" collapsed="false">
      <c r="B29" s="5" t="s">
        <v>443</v>
      </c>
      <c r="C29" s="16" t="s">
        <v>444</v>
      </c>
    </row>
    <row r="30" customFormat="false" ht="36" hidden="false" customHeight="true" outlineLevel="0" collapsed="false">
      <c r="B30" s="5" t="s">
        <v>445</v>
      </c>
      <c r="C30" s="16" t="s">
        <v>446</v>
      </c>
    </row>
    <row r="31" customFormat="false" ht="36" hidden="false" customHeight="true" outlineLevel="0" collapsed="false">
      <c r="B31" s="5" t="s">
        <v>447</v>
      </c>
      <c r="C31" s="16" t="s">
        <v>448</v>
      </c>
    </row>
    <row r="32" customFormat="false" ht="21.75" hidden="false" customHeight="true" outlineLevel="0" collapsed="false">
      <c r="B32" s="17" t="s">
        <v>449</v>
      </c>
      <c r="C32" s="17"/>
    </row>
    <row r="33" customFormat="false" ht="36" hidden="false" customHeight="true" outlineLevel="0" collapsed="false">
      <c r="B33" s="5" t="s">
        <v>450</v>
      </c>
      <c r="C33" s="16" t="s">
        <v>451</v>
      </c>
    </row>
    <row r="34" customFormat="false" ht="36" hidden="false" customHeight="true" outlineLevel="0" collapsed="false">
      <c r="B34" s="5" t="s">
        <v>452</v>
      </c>
      <c r="C34" s="16" t="s">
        <v>453</v>
      </c>
    </row>
    <row r="35" customFormat="false" ht="36" hidden="false" customHeight="true" outlineLevel="0" collapsed="false">
      <c r="B35" s="5" t="s">
        <v>454</v>
      </c>
      <c r="C35" s="16" t="s">
        <v>455</v>
      </c>
    </row>
    <row r="36" customFormat="false" ht="21.75" hidden="false" customHeight="true" outlineLevel="0" collapsed="false">
      <c r="B36" s="17" t="s">
        <v>176</v>
      </c>
      <c r="C36" s="17"/>
    </row>
    <row r="37" customFormat="false" ht="36" hidden="false" customHeight="true" outlineLevel="0" collapsed="false">
      <c r="B37" s="5" t="s">
        <v>456</v>
      </c>
      <c r="C37" s="16" t="s">
        <v>180</v>
      </c>
    </row>
    <row r="38" customFormat="false" ht="36" hidden="false" customHeight="true" outlineLevel="0" collapsed="false">
      <c r="B38" s="5" t="s">
        <v>457</v>
      </c>
      <c r="C38" s="16" t="s">
        <v>180</v>
      </c>
    </row>
    <row r="39" customFormat="false" ht="36" hidden="false" customHeight="true" outlineLevel="0" collapsed="false">
      <c r="B39" s="5" t="s">
        <v>458</v>
      </c>
      <c r="C39" s="16" t="s">
        <v>180</v>
      </c>
    </row>
  </sheetData>
  <mergeCells count="7">
    <mergeCell ref="B8:C8"/>
    <mergeCell ref="B14:C14"/>
    <mergeCell ref="B20:C20"/>
    <mergeCell ref="B24:C24"/>
    <mergeCell ref="B28:C28"/>
    <mergeCell ref="B32:C32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2026-04-28T01:50:10Z</dcterms:created>
  <dc:creator/>
  <dc:description/>
  <dc:language>en-US</dc:language>
  <cp:lastModifiedBy>Candice Williams</cp:lastModifiedBy>
  <dcterms:modified xsi:type="dcterms:W3CDTF">2026-07-27T00:18:12Z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